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jas" sheetId="1" state="visible" r:id="rId3"/>
    <sheet name="Vendedores" sheetId="2" state="visible" r:id="rId4"/>
    <sheet name="Produtos" sheetId="3" state="visible" r:id="rId5"/>
    <sheet name="Vendas" sheetId="4" state="visible" r:id="rId6"/>
    <sheet name="Desempenho_Vendedores" sheetId="5" state="visible" r:id="rId7"/>
    <sheet name="Resumo_Produto" sheetId="6" state="visible" r:id="rId8"/>
  </sheets>
  <definedNames>
    <definedName function="false" hidden="true" localSheetId="4" name="_xlnm._FilterDatabase" vbProcedure="false">Desempenho_Vendedores!$A$1:$G$101</definedName>
    <definedName function="false" hidden="true" localSheetId="0" name="_xlnm._FilterDatabase" vbProcedure="false">Lojas!$A$1:$E$11</definedName>
    <definedName function="false" hidden="true" localSheetId="2" name="_xlnm._FilterDatabase" vbProcedure="false">Produtos!$A$1:$G$11</definedName>
    <definedName function="false" hidden="true" localSheetId="5" name="_xlnm._FilterDatabase" vbProcedure="false">Resumo_Produto!$A$1:$K$11</definedName>
    <definedName function="false" hidden="true" localSheetId="3" name="_xlnm._FilterDatabase" vbProcedure="false">Vendas!$A$1:$L$2181</definedName>
    <definedName function="false" hidden="true" localSheetId="1" name="_xlnm._FilterDatabase" vbProcedure="false">Vendedores!$A$1:$E$101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<sst xmlns="http://schemas.openxmlformats.org/spreadsheetml/2006/main" count="7080" uniqueCount="2476">
  <si>
    <t xml:space="preserve">loja_id</t>
  </si>
  <si>
    <t xml:space="preserve">nome_loja</t>
  </si>
  <si>
    <t xml:space="preserve">cidade</t>
  </si>
  <si>
    <t xml:space="preserve">estado</t>
  </si>
  <si>
    <t xml:space="preserve">regiao</t>
  </si>
  <si>
    <t xml:space="preserve">L01</t>
  </si>
  <si>
    <t xml:space="preserve">Loja São Paulo</t>
  </si>
  <si>
    <t xml:space="preserve">São Paulo</t>
  </si>
  <si>
    <t xml:space="preserve">SP</t>
  </si>
  <si>
    <t xml:space="preserve">Sudeste</t>
  </si>
  <si>
    <t xml:space="preserve">L02</t>
  </si>
  <si>
    <t xml:space="preserve">Loja Rio de Janeiro</t>
  </si>
  <si>
    <t xml:space="preserve">Rio de Janeiro</t>
  </si>
  <si>
    <t xml:space="preserve">RJ</t>
  </si>
  <si>
    <t xml:space="preserve">L03</t>
  </si>
  <si>
    <t xml:space="preserve">Loja Belo Horizonte</t>
  </si>
  <si>
    <t xml:space="preserve">Belo Horizonte</t>
  </si>
  <si>
    <t xml:space="preserve">MG</t>
  </si>
  <si>
    <t xml:space="preserve">L04</t>
  </si>
  <si>
    <t xml:space="preserve">Loja Vitória</t>
  </si>
  <si>
    <t xml:space="preserve">Vitória</t>
  </si>
  <si>
    <t xml:space="preserve">ES</t>
  </si>
  <si>
    <t xml:space="preserve">L05</t>
  </si>
  <si>
    <t xml:space="preserve">Loja Curitiba</t>
  </si>
  <si>
    <t xml:space="preserve">Curitiba</t>
  </si>
  <si>
    <t xml:space="preserve">PR</t>
  </si>
  <si>
    <t xml:space="preserve">Sul</t>
  </si>
  <si>
    <t xml:space="preserve">L06</t>
  </si>
  <si>
    <t xml:space="preserve">Loja Porto Alegre</t>
  </si>
  <si>
    <t xml:space="preserve">Porto Alegre</t>
  </si>
  <si>
    <t xml:space="preserve">RS</t>
  </si>
  <si>
    <t xml:space="preserve">L07</t>
  </si>
  <si>
    <t xml:space="preserve">Loja Florianópolis</t>
  </si>
  <si>
    <t xml:space="preserve">Florianópolis</t>
  </si>
  <si>
    <t xml:space="preserve">SC</t>
  </si>
  <si>
    <t xml:space="preserve">L08</t>
  </si>
  <si>
    <t xml:space="preserve">Loja Salvador</t>
  </si>
  <si>
    <t xml:space="preserve">Salvador</t>
  </si>
  <si>
    <t xml:space="preserve">BA</t>
  </si>
  <si>
    <t xml:space="preserve">Nordeste</t>
  </si>
  <si>
    <t xml:space="preserve">L09</t>
  </si>
  <si>
    <t xml:space="preserve">Loja Recife</t>
  </si>
  <si>
    <t xml:space="preserve">Recife</t>
  </si>
  <si>
    <t xml:space="preserve">PE</t>
  </si>
  <si>
    <t xml:space="preserve">L10</t>
  </si>
  <si>
    <t xml:space="preserve">Loja Fortaleza</t>
  </si>
  <si>
    <t xml:space="preserve">Fortaleza</t>
  </si>
  <si>
    <t xml:space="preserve">CE</t>
  </si>
  <si>
    <t xml:space="preserve">vendedor_id</t>
  </si>
  <si>
    <t xml:space="preserve">nome_vendedor</t>
  </si>
  <si>
    <t xml:space="preserve">V001</t>
  </si>
  <si>
    <t xml:space="preserve">Hugo Silva</t>
  </si>
  <si>
    <t xml:space="preserve">V002</t>
  </si>
  <si>
    <t xml:space="preserve">Rafael Almeida</t>
  </si>
  <si>
    <t xml:space="preserve">V003</t>
  </si>
  <si>
    <t xml:space="preserve">Olívia Pereira</t>
  </si>
  <si>
    <t xml:space="preserve">V004</t>
  </si>
  <si>
    <t xml:space="preserve">Gabriela Alves</t>
  </si>
  <si>
    <t xml:space="preserve">V005</t>
  </si>
  <si>
    <t xml:space="preserve">Fabio Monteiro</t>
  </si>
  <si>
    <t xml:space="preserve">V006</t>
  </si>
  <si>
    <t xml:space="preserve">Bernardo Souza</t>
  </si>
  <si>
    <t xml:space="preserve">V007</t>
  </si>
  <si>
    <t xml:space="preserve">Bruno Oliveira</t>
  </si>
  <si>
    <t xml:space="preserve">V008</t>
  </si>
  <si>
    <t xml:space="preserve">Nelson Almeida</t>
  </si>
  <si>
    <t xml:space="preserve">V009</t>
  </si>
  <si>
    <t xml:space="preserve">Giovana Barbosa</t>
  </si>
  <si>
    <t xml:space="preserve">V010</t>
  </si>
  <si>
    <t xml:space="preserve">Bruno Alves</t>
  </si>
  <si>
    <t xml:space="preserve">V011</t>
  </si>
  <si>
    <t xml:space="preserve">Mariana Alves</t>
  </si>
  <si>
    <t xml:space="preserve">V012</t>
  </si>
  <si>
    <t xml:space="preserve">Aline Almeida</t>
  </si>
  <si>
    <t xml:space="preserve">V013</t>
  </si>
  <si>
    <t xml:space="preserve">Camila Monteiro</t>
  </si>
  <si>
    <t xml:space="preserve">V014</t>
  </si>
  <si>
    <t xml:space="preserve">Rafael Silva</t>
  </si>
  <si>
    <t xml:space="preserve">V015</t>
  </si>
  <si>
    <t xml:space="preserve">Karina Gomes</t>
  </si>
  <si>
    <t xml:space="preserve">V016</t>
  </si>
  <si>
    <t xml:space="preserve">Vitor Nascimento</t>
  </si>
  <si>
    <t xml:space="preserve">V017</t>
  </si>
  <si>
    <t xml:space="preserve">João Rodrigues</t>
  </si>
  <si>
    <t xml:space="preserve">V018</t>
  </si>
  <si>
    <t xml:space="preserve">Vitor Santos</t>
  </si>
  <si>
    <t xml:space="preserve">V019</t>
  </si>
  <si>
    <t xml:space="preserve">Fabio Carvalho</t>
  </si>
  <si>
    <t xml:space="preserve">V020</t>
  </si>
  <si>
    <t xml:space="preserve">Gabriela Fernandes</t>
  </si>
  <si>
    <t xml:space="preserve">V021</t>
  </si>
  <si>
    <t xml:space="preserve">Wanda Barbosa</t>
  </si>
  <si>
    <t xml:space="preserve">V022</t>
  </si>
  <si>
    <t xml:space="preserve">Queila Souza</t>
  </si>
  <si>
    <t xml:space="preserve">V023</t>
  </si>
  <si>
    <t xml:space="preserve">Daniel Alves</t>
  </si>
  <si>
    <t xml:space="preserve">V024</t>
  </si>
  <si>
    <t xml:space="preserve">Hugo Carvalho</t>
  </si>
  <si>
    <t xml:space="preserve">V025</t>
  </si>
  <si>
    <t xml:space="preserve">Fabio Alves</t>
  </si>
  <si>
    <t xml:space="preserve">V026</t>
  </si>
  <si>
    <t xml:space="preserve">Sofia Barbosa</t>
  </si>
  <si>
    <t xml:space="preserve">V027</t>
  </si>
  <si>
    <t xml:space="preserve">Xavier Monteiro</t>
  </si>
  <si>
    <t xml:space="preserve">V028</t>
  </si>
  <si>
    <t xml:space="preserve">Mariana Oliveira</t>
  </si>
  <si>
    <t xml:space="preserve">V029</t>
  </si>
  <si>
    <t xml:space="preserve">Carla Almeida</t>
  </si>
  <si>
    <t xml:space="preserve">V030</t>
  </si>
  <si>
    <t xml:space="preserve">Sofia Oliveira</t>
  </si>
  <si>
    <t xml:space="preserve">V031</t>
  </si>
  <si>
    <t xml:space="preserve">Olívia Santos</t>
  </si>
  <si>
    <t xml:space="preserve">V032</t>
  </si>
  <si>
    <t xml:space="preserve">Yasmin Nascimento</t>
  </si>
  <si>
    <t xml:space="preserve">V033</t>
  </si>
  <si>
    <t xml:space="preserve">Daniel Fernandes</t>
  </si>
  <si>
    <t xml:space="preserve">V034</t>
  </si>
  <si>
    <t xml:space="preserve">Karina Fernandes</t>
  </si>
  <si>
    <t xml:space="preserve">V035</t>
  </si>
  <si>
    <t xml:space="preserve">Wanda Rodrigues</t>
  </si>
  <si>
    <t xml:space="preserve">V036</t>
  </si>
  <si>
    <t xml:space="preserve">Rafael Oliveira</t>
  </si>
  <si>
    <t xml:space="preserve">V037</t>
  </si>
  <si>
    <t xml:space="preserve">Marcela Costa</t>
  </si>
  <si>
    <t xml:space="preserve">V038</t>
  </si>
  <si>
    <t xml:space="preserve">Ingrid Almeida</t>
  </si>
  <si>
    <t xml:space="preserve">V039</t>
  </si>
  <si>
    <t xml:space="preserve">Karina Martins</t>
  </si>
  <si>
    <t xml:space="preserve">V040</t>
  </si>
  <si>
    <t xml:space="preserve">V041</t>
  </si>
  <si>
    <t xml:space="preserve">Jorge Almeida</t>
  </si>
  <si>
    <t xml:space="preserve">V042</t>
  </si>
  <si>
    <t xml:space="preserve">Ursula Souza</t>
  </si>
  <si>
    <t xml:space="preserve">V043</t>
  </si>
  <si>
    <t xml:space="preserve">Olívia Souza</t>
  </si>
  <si>
    <t xml:space="preserve">V044</t>
  </si>
  <si>
    <t xml:space="preserve">Ursula Carvalho</t>
  </si>
  <si>
    <t xml:space="preserve">V045</t>
  </si>
  <si>
    <t xml:space="preserve">V046</t>
  </si>
  <si>
    <t xml:space="preserve">Nelson Monteiro</t>
  </si>
  <si>
    <t xml:space="preserve">V047</t>
  </si>
  <si>
    <t xml:space="preserve">Ursula Rodrigues</t>
  </si>
  <si>
    <t xml:space="preserve">V048</t>
  </si>
  <si>
    <t xml:space="preserve">Felipe Carvalho</t>
  </si>
  <si>
    <t xml:space="preserve">V049</t>
  </si>
  <si>
    <t xml:space="preserve">Daniel Pereira</t>
  </si>
  <si>
    <t xml:space="preserve">V050</t>
  </si>
  <si>
    <t xml:space="preserve">Queila Pereira</t>
  </si>
  <si>
    <t xml:space="preserve">V051</t>
  </si>
  <si>
    <t xml:space="preserve">Pedro Alves</t>
  </si>
  <si>
    <t xml:space="preserve">V052</t>
  </si>
  <si>
    <t xml:space="preserve">Ingrid Nascimento</t>
  </si>
  <si>
    <t xml:space="preserve">V053</t>
  </si>
  <si>
    <t xml:space="preserve">Leonardo Gomes</t>
  </si>
  <si>
    <t xml:space="preserve">V054</t>
  </si>
  <si>
    <t xml:space="preserve">Leonardo Carvalho</t>
  </si>
  <si>
    <t xml:space="preserve">V055</t>
  </si>
  <si>
    <t xml:space="preserve">Xavier Almeida</t>
  </si>
  <si>
    <t xml:space="preserve">V056</t>
  </si>
  <si>
    <t xml:space="preserve">Isabela Ribeiro</t>
  </si>
  <si>
    <t xml:space="preserve">V057</t>
  </si>
  <si>
    <t xml:space="preserve">Felipe Oliveira</t>
  </si>
  <si>
    <t xml:space="preserve">V058</t>
  </si>
  <si>
    <t xml:space="preserve">Diego Santos</t>
  </si>
  <si>
    <t xml:space="preserve">V059</t>
  </si>
  <si>
    <t xml:space="preserve">João Costa</t>
  </si>
  <si>
    <t xml:space="preserve">V060</t>
  </si>
  <si>
    <t xml:space="preserve">Bernardo Barbosa</t>
  </si>
  <si>
    <t xml:space="preserve">V061</t>
  </si>
  <si>
    <t xml:space="preserve">Elaine Carvalho</t>
  </si>
  <si>
    <t xml:space="preserve">V062</t>
  </si>
  <si>
    <t xml:space="preserve">Yasmin Barbosa</t>
  </si>
  <si>
    <t xml:space="preserve">V063</t>
  </si>
  <si>
    <t xml:space="preserve">Daniel Ribeiro</t>
  </si>
  <si>
    <t xml:space="preserve">V064</t>
  </si>
  <si>
    <t xml:space="preserve">Queila Alves</t>
  </si>
  <si>
    <t xml:space="preserve">V065</t>
  </si>
  <si>
    <t xml:space="preserve">Ana Santos</t>
  </si>
  <si>
    <t xml:space="preserve">V066</t>
  </si>
  <si>
    <t xml:space="preserve">V067</t>
  </si>
  <si>
    <t xml:space="preserve">V068</t>
  </si>
  <si>
    <t xml:space="preserve">Sofia Gomes</t>
  </si>
  <si>
    <t xml:space="preserve">V069</t>
  </si>
  <si>
    <t xml:space="preserve">V070</t>
  </si>
  <si>
    <t xml:space="preserve">Ana Nascimento</t>
  </si>
  <si>
    <t xml:space="preserve">V071</t>
  </si>
  <si>
    <t xml:space="preserve">Giovana Costa</t>
  </si>
  <si>
    <t xml:space="preserve">V072</t>
  </si>
  <si>
    <t xml:space="preserve">Giovana Santos</t>
  </si>
  <si>
    <t xml:space="preserve">V073</t>
  </si>
  <si>
    <t xml:space="preserve">Thiago Ribeiro</t>
  </si>
  <si>
    <t xml:space="preserve">V074</t>
  </si>
  <si>
    <t xml:space="preserve">Marcela Rodrigues</t>
  </si>
  <si>
    <t xml:space="preserve">V075</t>
  </si>
  <si>
    <t xml:space="preserve">João Fernandes</t>
  </si>
  <si>
    <t xml:space="preserve">V076</t>
  </si>
  <si>
    <t xml:space="preserve">Karina Alves</t>
  </si>
  <si>
    <t xml:space="preserve">V077</t>
  </si>
  <si>
    <t xml:space="preserve">Henrique Silva</t>
  </si>
  <si>
    <t xml:space="preserve">V078</t>
  </si>
  <si>
    <t xml:space="preserve">Marcela Araújo</t>
  </si>
  <si>
    <t xml:space="preserve">V079</t>
  </si>
  <si>
    <t xml:space="preserve">Felipe Silva</t>
  </si>
  <si>
    <t xml:space="preserve">V080</t>
  </si>
  <si>
    <t xml:space="preserve">Hugo Fernandes</t>
  </si>
  <si>
    <t xml:space="preserve">V081</t>
  </si>
  <si>
    <t xml:space="preserve">Thiago Almeida</t>
  </si>
  <si>
    <t xml:space="preserve">V082</t>
  </si>
  <si>
    <t xml:space="preserve">Diego Almeida</t>
  </si>
  <si>
    <t xml:space="preserve">V083</t>
  </si>
  <si>
    <t xml:space="preserve">Kelly Oliveira</t>
  </si>
  <si>
    <t xml:space="preserve">V084</t>
  </si>
  <si>
    <t xml:space="preserve">Fabio Rocha</t>
  </si>
  <si>
    <t xml:space="preserve">V085</t>
  </si>
  <si>
    <t xml:space="preserve">Elaine Alves</t>
  </si>
  <si>
    <t xml:space="preserve">V086</t>
  </si>
  <si>
    <t xml:space="preserve">Isabela Pereira</t>
  </si>
  <si>
    <t xml:space="preserve">V087</t>
  </si>
  <si>
    <t xml:space="preserve">Eduarda Alves</t>
  </si>
  <si>
    <t xml:space="preserve">V088</t>
  </si>
  <si>
    <t xml:space="preserve">Karina Nascimento</t>
  </si>
  <si>
    <t xml:space="preserve">V089</t>
  </si>
  <si>
    <t xml:space="preserve">Henrique Barbosa</t>
  </si>
  <si>
    <t xml:space="preserve">V090</t>
  </si>
  <si>
    <t xml:space="preserve">Bernardo Rodrigues</t>
  </si>
  <si>
    <t xml:space="preserve">V091</t>
  </si>
  <si>
    <t xml:space="preserve">Ingrid Rodrigues</t>
  </si>
  <si>
    <t xml:space="preserve">V092</t>
  </si>
  <si>
    <t xml:space="preserve">Thiago Carvalho</t>
  </si>
  <si>
    <t xml:space="preserve">V093</t>
  </si>
  <si>
    <t xml:space="preserve">Xavier Martins</t>
  </si>
  <si>
    <t xml:space="preserve">V094</t>
  </si>
  <si>
    <t xml:space="preserve">Henrique Martins</t>
  </si>
  <si>
    <t xml:space="preserve">V095</t>
  </si>
  <si>
    <t xml:space="preserve">Hugo Almeida</t>
  </si>
  <si>
    <t xml:space="preserve">V096</t>
  </si>
  <si>
    <t xml:space="preserve">Olívia Oliveira</t>
  </si>
  <si>
    <t xml:space="preserve">V097</t>
  </si>
  <si>
    <t xml:space="preserve">Vitor Silva</t>
  </si>
  <si>
    <t xml:space="preserve">V098</t>
  </si>
  <si>
    <t xml:space="preserve">Leonardo Alves</t>
  </si>
  <si>
    <t xml:space="preserve">V099</t>
  </si>
  <si>
    <t xml:space="preserve">Olívia Monteiro</t>
  </si>
  <si>
    <t xml:space="preserve">V100</t>
  </si>
  <si>
    <t xml:space="preserve">Olívia Silva</t>
  </si>
  <si>
    <t xml:space="preserve">produto_id</t>
  </si>
  <si>
    <t xml:space="preserve">categoria</t>
  </si>
  <si>
    <t xml:space="preserve">modelo</t>
  </si>
  <si>
    <t xml:space="preserve">preco_unitario</t>
  </si>
  <si>
    <t xml:space="preserve">custo_unitario</t>
  </si>
  <si>
    <t xml:space="preserve">margem_unitaria</t>
  </si>
  <si>
    <t xml:space="preserve">margem_%</t>
  </si>
  <si>
    <t xml:space="preserve">P01</t>
  </si>
  <si>
    <t xml:space="preserve">Notebook</t>
  </si>
  <si>
    <t xml:space="preserve">Lenovo</t>
  </si>
  <si>
    <t xml:space="preserve">P02</t>
  </si>
  <si>
    <t xml:space="preserve">Positivo</t>
  </si>
  <si>
    <t xml:space="preserve">P03</t>
  </si>
  <si>
    <t xml:space="preserve">Celular</t>
  </si>
  <si>
    <t xml:space="preserve">Samsung</t>
  </si>
  <si>
    <t xml:space="preserve">P04</t>
  </si>
  <si>
    <t xml:space="preserve">Motorola</t>
  </si>
  <si>
    <t xml:space="preserve">P05</t>
  </si>
  <si>
    <t xml:space="preserve">Fone de Ouvido</t>
  </si>
  <si>
    <t xml:space="preserve">De Celular</t>
  </si>
  <si>
    <t xml:space="preserve">P06</t>
  </si>
  <si>
    <t xml:space="preserve">Headset</t>
  </si>
  <si>
    <t xml:space="preserve">P07</t>
  </si>
  <si>
    <t xml:space="preserve">Carregador de Celular</t>
  </si>
  <si>
    <t xml:space="preserve">Tipo C</t>
  </si>
  <si>
    <t xml:space="preserve">P08</t>
  </si>
  <si>
    <t xml:space="preserve">Controle de Videogame</t>
  </si>
  <si>
    <t xml:space="preserve">Xbox</t>
  </si>
  <si>
    <t xml:space="preserve">P09</t>
  </si>
  <si>
    <t xml:space="preserve">PS4</t>
  </si>
  <si>
    <t xml:space="preserve">P10</t>
  </si>
  <si>
    <t xml:space="preserve">PS5</t>
  </si>
  <si>
    <t xml:space="preserve">Preço e custo unitário são premissas de entrada (célula azul) definidas pela empresa.</t>
  </si>
  <si>
    <t xml:space="preserve">venda_id</t>
  </si>
  <si>
    <t xml:space="preserve">data</t>
  </si>
  <si>
    <t xml:space="preserve">produto</t>
  </si>
  <si>
    <t xml:space="preserve">quantidade</t>
  </si>
  <si>
    <t xml:space="preserve">valor_total</t>
  </si>
  <si>
    <t xml:space="preserve">custo_total</t>
  </si>
  <si>
    <t xml:space="preserve">VD00190</t>
  </si>
  <si>
    <t xml:space="preserve">VD00711</t>
  </si>
  <si>
    <t xml:space="preserve">VD00719</t>
  </si>
  <si>
    <t xml:space="preserve">VD01338</t>
  </si>
  <si>
    <t xml:space="preserve">VD00767</t>
  </si>
  <si>
    <t xml:space="preserve">VD02085</t>
  </si>
  <si>
    <t xml:space="preserve">VD00725</t>
  </si>
  <si>
    <t xml:space="preserve">VD00042</t>
  </si>
  <si>
    <t xml:space="preserve">VD00977</t>
  </si>
  <si>
    <t xml:space="preserve">VD00064</t>
  </si>
  <si>
    <t xml:space="preserve">VD01010</t>
  </si>
  <si>
    <t xml:space="preserve">VD01309</t>
  </si>
  <si>
    <t xml:space="preserve">VD01539</t>
  </si>
  <si>
    <t xml:space="preserve">VD00155</t>
  </si>
  <si>
    <t xml:space="preserve">VD00305</t>
  </si>
  <si>
    <t xml:space="preserve">VD01210</t>
  </si>
  <si>
    <t xml:space="preserve">VD02036</t>
  </si>
  <si>
    <t xml:space="preserve">VD00496</t>
  </si>
  <si>
    <t xml:space="preserve">VD01026</t>
  </si>
  <si>
    <t xml:space="preserve">VD01731</t>
  </si>
  <si>
    <t xml:space="preserve">VD01340</t>
  </si>
  <si>
    <t xml:space="preserve">VD00514</t>
  </si>
  <si>
    <t xml:space="preserve">VD01085</t>
  </si>
  <si>
    <t xml:space="preserve">VD01443</t>
  </si>
  <si>
    <t xml:space="preserve">VD01681</t>
  </si>
  <si>
    <t xml:space="preserve">VD02050</t>
  </si>
  <si>
    <t xml:space="preserve">VD02176</t>
  </si>
  <si>
    <t xml:space="preserve">VD00984</t>
  </si>
  <si>
    <t xml:space="preserve">VD00781</t>
  </si>
  <si>
    <t xml:space="preserve">VD00848</t>
  </si>
  <si>
    <t xml:space="preserve">VD02142</t>
  </si>
  <si>
    <t xml:space="preserve">VD01773</t>
  </si>
  <si>
    <t xml:space="preserve">VD01582</t>
  </si>
  <si>
    <t xml:space="preserve">VD00758</t>
  </si>
  <si>
    <t xml:space="preserve">VD00141</t>
  </si>
  <si>
    <t xml:space="preserve">VD00887</t>
  </si>
  <si>
    <t xml:space="preserve">VD01218</t>
  </si>
  <si>
    <t xml:space="preserve">VD00262</t>
  </si>
  <si>
    <t xml:space="preserve">VD00996</t>
  </si>
  <si>
    <t xml:space="preserve">VD01188</t>
  </si>
  <si>
    <t xml:space="preserve">VD02021</t>
  </si>
  <si>
    <t xml:space="preserve">VD01988</t>
  </si>
  <si>
    <t xml:space="preserve">VD00546</t>
  </si>
  <si>
    <t xml:space="preserve">VD00605</t>
  </si>
  <si>
    <t xml:space="preserve">VD00961</t>
  </si>
  <si>
    <t xml:space="preserve">VD01764</t>
  </si>
  <si>
    <t xml:space="preserve">VD00816</t>
  </si>
  <si>
    <t xml:space="preserve">VD01339</t>
  </si>
  <si>
    <t xml:space="preserve">VD01859</t>
  </si>
  <si>
    <t xml:space="preserve">VD02115</t>
  </si>
  <si>
    <t xml:space="preserve">VD01786</t>
  </si>
  <si>
    <t xml:space="preserve">VD00855</t>
  </si>
  <si>
    <t xml:space="preserve">VD00663</t>
  </si>
  <si>
    <t xml:space="preserve">VD01712</t>
  </si>
  <si>
    <t xml:space="preserve">VD01302</t>
  </si>
  <si>
    <t xml:space="preserve">VD00532</t>
  </si>
  <si>
    <t xml:space="preserve">VD01496</t>
  </si>
  <si>
    <t xml:space="preserve">VD02103</t>
  </si>
  <si>
    <t xml:space="preserve">VD02178</t>
  </si>
  <si>
    <t xml:space="preserve">VD00641</t>
  </si>
  <si>
    <t xml:space="preserve">VD01567</t>
  </si>
  <si>
    <t xml:space="preserve">VD01688</t>
  </si>
  <si>
    <t xml:space="preserve">VD00930</t>
  </si>
  <si>
    <t xml:space="preserve">VD00077</t>
  </si>
  <si>
    <t xml:space="preserve">VD01430</t>
  </si>
  <si>
    <t xml:space="preserve">VD01080</t>
  </si>
  <si>
    <t xml:space="preserve">VD01995</t>
  </si>
  <si>
    <t xml:space="preserve">VD01736</t>
  </si>
  <si>
    <t xml:space="preserve">VD02165</t>
  </si>
  <si>
    <t xml:space="preserve">VD02094</t>
  </si>
  <si>
    <t xml:space="preserve">VD00819</t>
  </si>
  <si>
    <t xml:space="preserve">VD01250</t>
  </si>
  <si>
    <t xml:space="preserve">VD01792</t>
  </si>
  <si>
    <t xml:space="preserve">VD01254</t>
  </si>
  <si>
    <t xml:space="preserve">VD01923</t>
  </si>
  <si>
    <t xml:space="preserve">VD00913</t>
  </si>
  <si>
    <t xml:space="preserve">VD00436</t>
  </si>
  <si>
    <t xml:space="preserve">VD01869</t>
  </si>
  <si>
    <t xml:space="preserve">VD01760</t>
  </si>
  <si>
    <t xml:space="preserve">VD01404</t>
  </si>
  <si>
    <t xml:space="preserve">VD00108</t>
  </si>
  <si>
    <t xml:space="preserve">VD00291</t>
  </si>
  <si>
    <t xml:space="preserve">VD01198</t>
  </si>
  <si>
    <t xml:space="preserve">VD01889</t>
  </si>
  <si>
    <t xml:space="preserve">VD00250</t>
  </si>
  <si>
    <t xml:space="preserve">VD01286</t>
  </si>
  <si>
    <t xml:space="preserve">VD02023</t>
  </si>
  <si>
    <t xml:space="preserve">VD00547</t>
  </si>
  <si>
    <t xml:space="preserve">VD01672</t>
  </si>
  <si>
    <t xml:space="preserve">VD00843</t>
  </si>
  <si>
    <t xml:space="preserve">VD01631</t>
  </si>
  <si>
    <t xml:space="preserve">VD01185</t>
  </si>
  <si>
    <t xml:space="preserve">VD01448</t>
  </si>
  <si>
    <t xml:space="preserve">VD00893</t>
  </si>
  <si>
    <t xml:space="preserve">VD00502</t>
  </si>
  <si>
    <t xml:space="preserve">VD01154</t>
  </si>
  <si>
    <t xml:space="preserve">VD02055</t>
  </si>
  <si>
    <t xml:space="preserve">VD00388</t>
  </si>
  <si>
    <t xml:space="preserve">VD01697</t>
  </si>
  <si>
    <t xml:space="preserve">VD00389</t>
  </si>
  <si>
    <t xml:space="preserve">VD00982</t>
  </si>
  <si>
    <t xml:space="preserve">VD00330</t>
  </si>
  <si>
    <t xml:space="preserve">VD00228</t>
  </si>
  <si>
    <t xml:space="preserve">VD00334</t>
  </si>
  <si>
    <t xml:space="preserve">VD01933</t>
  </si>
  <si>
    <t xml:space="preserve">VD00047</t>
  </si>
  <si>
    <t xml:space="preserve">VD01735</t>
  </si>
  <si>
    <t xml:space="preserve">VD00565</t>
  </si>
  <si>
    <t xml:space="preserve">VD01725</t>
  </si>
  <si>
    <t xml:space="preserve">VD00400</t>
  </si>
  <si>
    <t xml:space="preserve">VD01023</t>
  </si>
  <si>
    <t xml:space="preserve">VD02026</t>
  </si>
  <si>
    <t xml:space="preserve">VD01661</t>
  </si>
  <si>
    <t xml:space="preserve">VD00462</t>
  </si>
  <si>
    <t xml:space="preserve">VD01074</t>
  </si>
  <si>
    <t xml:space="preserve">VD01468</t>
  </si>
  <si>
    <t xml:space="preserve">VD01315</t>
  </si>
  <si>
    <t xml:space="preserve">VD02086</t>
  </si>
  <si>
    <t xml:space="preserve">VD00244</t>
  </si>
  <si>
    <t xml:space="preserve">VD01789</t>
  </si>
  <si>
    <t xml:space="preserve">VD02092</t>
  </si>
  <si>
    <t xml:space="preserve">VD02126</t>
  </si>
  <si>
    <t xml:space="preserve">VD00768</t>
  </si>
  <si>
    <t xml:space="preserve">VD01158</t>
  </si>
  <si>
    <t xml:space="preserve">VD00548</t>
  </si>
  <si>
    <t xml:space="preserve">VD00850</t>
  </si>
  <si>
    <t xml:space="preserve">VD00012</t>
  </si>
  <si>
    <t xml:space="preserve">VD00907</t>
  </si>
  <si>
    <t xml:space="preserve">VD00223</t>
  </si>
  <si>
    <t xml:space="preserve">VD00374</t>
  </si>
  <si>
    <t xml:space="preserve">VD01915</t>
  </si>
  <si>
    <t xml:space="preserve">VD01360</t>
  </si>
  <si>
    <t xml:space="preserve">VD02062</t>
  </si>
  <si>
    <t xml:space="preserve">VD00446</t>
  </si>
  <si>
    <t xml:space="preserve">VD01426</t>
  </si>
  <si>
    <t xml:space="preserve">VD01013</t>
  </si>
  <si>
    <t xml:space="preserve">VD01100</t>
  </si>
  <si>
    <t xml:space="preserve">VD00297</t>
  </si>
  <si>
    <t xml:space="preserve">VD01820</t>
  </si>
  <si>
    <t xml:space="preserve">VD02002</t>
  </si>
  <si>
    <t xml:space="preserve">VD00610</t>
  </si>
  <si>
    <t xml:space="preserve">VD02167</t>
  </si>
  <si>
    <t xml:space="preserve">VD01061</t>
  </si>
  <si>
    <t xml:space="preserve">VD00366</t>
  </si>
  <si>
    <t xml:space="preserve">VD00142</t>
  </si>
  <si>
    <t xml:space="preserve">VD02097</t>
  </si>
  <si>
    <t xml:space="preserve">VD00564</t>
  </si>
  <si>
    <t xml:space="preserve">VD00456</t>
  </si>
  <si>
    <t xml:space="preserve">VD00742</t>
  </si>
  <si>
    <t xml:space="preserve">VD01380</t>
  </si>
  <si>
    <t xml:space="preserve">VD00284</t>
  </si>
  <si>
    <t xml:space="preserve">VD02111</t>
  </si>
  <si>
    <t xml:space="preserve">VD00361</t>
  </si>
  <si>
    <t xml:space="preserve">VD01696</t>
  </si>
  <si>
    <t xml:space="preserve">VD00550</t>
  </si>
  <si>
    <t xml:space="preserve">VD01594</t>
  </si>
  <si>
    <t xml:space="preserve">VD00303</t>
  </si>
  <si>
    <t xml:space="preserve">VD00928</t>
  </si>
  <si>
    <t xml:space="preserve">VD00598</t>
  </si>
  <si>
    <t xml:space="preserve">VD01695</t>
  </si>
  <si>
    <t xml:space="preserve">VD00327</t>
  </si>
  <si>
    <t xml:space="preserve">VD00210</t>
  </si>
  <si>
    <t xml:space="preserve">VD00823</t>
  </si>
  <si>
    <t xml:space="preserve">VD01627</t>
  </si>
  <si>
    <t xml:space="preserve">VD02046</t>
  </si>
  <si>
    <t xml:space="preserve">VD02172</t>
  </si>
  <si>
    <t xml:space="preserve">VD00022</t>
  </si>
  <si>
    <t xml:space="preserve">VD00764</t>
  </si>
  <si>
    <t xml:space="preserve">VD00530</t>
  </si>
  <si>
    <t xml:space="preserve">VD01181</t>
  </si>
  <si>
    <t xml:space="preserve">VD01538</t>
  </si>
  <si>
    <t xml:space="preserve">VD00268</t>
  </si>
  <si>
    <t xml:space="preserve">VD00583</t>
  </si>
  <si>
    <t xml:space="preserve">VD02123</t>
  </si>
  <si>
    <t xml:space="preserve">VD00802</t>
  </si>
  <si>
    <t xml:space="preserve">VD00478</t>
  </si>
  <si>
    <t xml:space="preserve">VD00704</t>
  </si>
  <si>
    <t xml:space="preserve">VD00020</t>
  </si>
  <si>
    <t xml:space="preserve">VD02007</t>
  </si>
  <si>
    <t xml:space="preserve">VD00332</t>
  </si>
  <si>
    <t xml:space="preserve">VD02170</t>
  </si>
  <si>
    <t xml:space="preserve">VD00015</t>
  </si>
  <si>
    <t xml:space="preserve">VD01298</t>
  </si>
  <si>
    <t xml:space="preserve">VD01637</t>
  </si>
  <si>
    <t xml:space="preserve">VD01249</t>
  </si>
  <si>
    <t xml:space="preserve">VD00713</t>
  </si>
  <si>
    <t xml:space="preserve">VD01641</t>
  </si>
  <si>
    <t xml:space="preserve">VD00271</t>
  </si>
  <si>
    <t xml:space="preserve">VD01126</t>
  </si>
  <si>
    <t xml:space="preserve">VD00628</t>
  </si>
  <si>
    <t xml:space="preserve">VD01866</t>
  </si>
  <si>
    <t xml:space="preserve">VD00338</t>
  </si>
  <si>
    <t xml:space="preserve">VD00904</t>
  </si>
  <si>
    <t xml:space="preserve">VD00279</t>
  </si>
  <si>
    <t xml:space="preserve">VD02043</t>
  </si>
  <si>
    <t xml:space="preserve">VD01591</t>
  </si>
  <si>
    <t xml:space="preserve">VD00023</t>
  </si>
  <si>
    <t xml:space="preserve">VD01273</t>
  </si>
  <si>
    <t xml:space="preserve">VD00535</t>
  </si>
  <si>
    <t xml:space="preserve">VD00885</t>
  </si>
  <si>
    <t xml:space="preserve">VD01614</t>
  </si>
  <si>
    <t xml:space="preserve">VD00774</t>
  </si>
  <si>
    <t xml:space="preserve">VD00380</t>
  </si>
  <si>
    <t xml:space="preserve">VD00188</t>
  </si>
  <si>
    <t xml:space="preserve">VD00257</t>
  </si>
  <si>
    <t xml:space="preserve">VD00643</t>
  </si>
  <si>
    <t xml:space="preserve">VD00078</t>
  </si>
  <si>
    <t xml:space="preserve">VD00002</t>
  </si>
  <si>
    <t xml:space="preserve">VD00270</t>
  </si>
  <si>
    <t xml:space="preserve">VD01082</t>
  </si>
  <si>
    <t xml:space="preserve">VD00031</t>
  </si>
  <si>
    <t xml:space="preserve">VD01081</t>
  </si>
  <si>
    <t xml:space="preserve">VD02168</t>
  </si>
  <si>
    <t xml:space="preserve">VD01961</t>
  </si>
  <si>
    <t xml:space="preserve">VD00747</t>
  </si>
  <si>
    <t xml:space="preserve">VD01193</t>
  </si>
  <si>
    <t xml:space="preserve">VD01850</t>
  </si>
  <si>
    <t xml:space="preserve">VD00202</t>
  </si>
  <si>
    <t xml:space="preserve">VD01114</t>
  </si>
  <si>
    <t xml:space="preserve">VD00402</t>
  </si>
  <si>
    <t xml:space="preserve">VD00603</t>
  </si>
  <si>
    <t xml:space="preserve">VD00320</t>
  </si>
  <si>
    <t xml:space="preserve">VD00805</t>
  </si>
  <si>
    <t xml:space="preserve">VD01136</t>
  </si>
  <si>
    <t xml:space="preserve">VD01347</t>
  </si>
  <si>
    <t xml:space="preserve">VD00857</t>
  </si>
  <si>
    <t xml:space="preserve">VD01568</t>
  </si>
  <si>
    <t xml:space="preserve">VD00115</t>
  </si>
  <si>
    <t xml:space="preserve">VD01112</t>
  </si>
  <si>
    <t xml:space="preserve">VD00878</t>
  </si>
  <si>
    <t xml:space="preserve">VD01618</t>
  </si>
  <si>
    <t xml:space="preserve">VD01445</t>
  </si>
  <si>
    <t xml:space="preserve">VD01179</t>
  </si>
  <si>
    <t xml:space="preserve">VD01209</t>
  </si>
  <si>
    <t xml:space="preserve">VD01242</t>
  </si>
  <si>
    <t xml:space="preserve">VD01248</t>
  </si>
  <si>
    <t xml:space="preserve">VD01281</t>
  </si>
  <si>
    <t xml:space="preserve">VD00091</t>
  </si>
  <si>
    <t xml:space="preserve">VD01321</t>
  </si>
  <si>
    <t xml:space="preserve">VD00106</t>
  </si>
  <si>
    <t xml:space="preserve">VD00371</t>
  </si>
  <si>
    <t xml:space="preserve">VD00947</t>
  </si>
  <si>
    <t xml:space="preserve">VD00367</t>
  </si>
  <si>
    <t xml:space="preserve">VD01410</t>
  </si>
  <si>
    <t xml:space="preserve">VD02161</t>
  </si>
  <si>
    <t xml:space="preserve">VD01548</t>
  </si>
  <si>
    <t xml:space="preserve">VD00363</t>
  </si>
  <si>
    <t xml:space="preserve">VD01371</t>
  </si>
  <si>
    <t xml:space="preserve">VD00687</t>
  </si>
  <si>
    <t xml:space="preserve">VD00617</t>
  </si>
  <si>
    <t xml:space="preserve">VD00738</t>
  </si>
  <si>
    <t xml:space="preserve">VD00650</t>
  </si>
  <si>
    <t xml:space="preserve">VD01684</t>
  </si>
  <si>
    <t xml:space="preserve">VD01983</t>
  </si>
  <si>
    <t xml:space="preserve">VD02096</t>
  </si>
  <si>
    <t xml:space="preserve">VD00625</t>
  </si>
  <si>
    <t xml:space="preserve">VD01925</t>
  </si>
  <si>
    <t xml:space="preserve">VD00786</t>
  </si>
  <si>
    <t xml:space="preserve">VD01186</t>
  </si>
  <si>
    <t xml:space="preserve">VD02090</t>
  </si>
  <si>
    <t xml:space="preserve">VD00865</t>
  </si>
  <si>
    <t xml:space="preserve">VD01558</t>
  </si>
  <si>
    <t xml:space="preserve">VD00901</t>
  </si>
  <si>
    <t xml:space="preserve">VD00729</t>
  </si>
  <si>
    <t xml:space="preserve">VD02018</t>
  </si>
  <si>
    <t xml:space="preserve">VD00735</t>
  </si>
  <si>
    <t xml:space="preserve">VD01935</t>
  </si>
  <si>
    <t xml:space="preserve">VD00174</t>
  </si>
  <si>
    <t xml:space="preserve">VD01914</t>
  </si>
  <si>
    <t xml:space="preserve">VD00830</t>
  </si>
  <si>
    <t xml:space="preserve">VD02057</t>
  </si>
  <si>
    <t xml:space="preserve">VD00433</t>
  </si>
  <si>
    <t xml:space="preserve">VD01530</t>
  </si>
  <si>
    <t xml:space="preserve">VD00328</t>
  </si>
  <si>
    <t xml:space="preserve">VD00041</t>
  </si>
  <si>
    <t xml:space="preserve">VD00294</t>
  </si>
  <si>
    <t xml:space="preserve">VD01177</t>
  </si>
  <si>
    <t xml:space="preserve">VD01970</t>
  </si>
  <si>
    <t xml:space="preserve">VD00623</t>
  </si>
  <si>
    <t xml:space="preserve">VD01876</t>
  </si>
  <si>
    <t xml:space="preserve">VD01488</t>
  </si>
  <si>
    <t xml:space="preserve">VD01686</t>
  </si>
  <si>
    <t xml:space="preserve">VD00709</t>
  </si>
  <si>
    <t xml:space="preserve">VD00013</t>
  </si>
  <si>
    <t xml:space="preserve">VD01155</t>
  </si>
  <si>
    <t xml:space="preserve">VD00597</t>
  </si>
  <si>
    <t xml:space="preserve">VD00863</t>
  </si>
  <si>
    <t xml:space="preserve">VD01326</t>
  </si>
  <si>
    <t xml:space="preserve">VD01153</t>
  </si>
  <si>
    <t xml:space="preserve">VD01584</t>
  </si>
  <si>
    <t xml:space="preserve">VD02169</t>
  </si>
  <si>
    <t xml:space="preserve">VD00277</t>
  </si>
  <si>
    <t xml:space="preserve">VD01772</t>
  </si>
  <si>
    <t xml:space="preserve">VD01349</t>
  </si>
  <si>
    <t xml:space="preserve">VD00999</t>
  </si>
  <si>
    <t xml:space="preserve">VD01790</t>
  </si>
  <si>
    <t xml:space="preserve">VD00280</t>
  </si>
  <si>
    <t xml:space="preserve">VD01511</t>
  </si>
  <si>
    <t xml:space="preserve">VD00822</t>
  </si>
  <si>
    <t xml:space="preserve">VD02034</t>
  </si>
  <si>
    <t xml:space="preserve">VD01491</t>
  </si>
  <si>
    <t xml:space="preserve">VD01384</t>
  </si>
  <si>
    <t xml:space="preserve">VD01104</t>
  </si>
  <si>
    <t xml:space="preserve">VD01846</t>
  </si>
  <si>
    <t xml:space="preserve">VD00654</t>
  </si>
  <si>
    <t xml:space="preserve">VD00200</t>
  </si>
  <si>
    <t xml:space="preserve">VD00349</t>
  </si>
  <si>
    <t xml:space="preserve">VD02109</t>
  </si>
  <si>
    <t xml:space="preserve">VD01174</t>
  </si>
  <si>
    <t xml:space="preserve">VD01797</t>
  </si>
  <si>
    <t xml:space="preserve">VD02116</t>
  </si>
  <si>
    <t xml:space="preserve">VD00717</t>
  </si>
  <si>
    <t xml:space="preserve">VD02105</t>
  </si>
  <si>
    <t xml:space="preserve">VD00836</t>
  </si>
  <si>
    <t xml:space="preserve">VD00274</t>
  </si>
  <si>
    <t xml:space="preserve">VD01129</t>
  </si>
  <si>
    <t xml:space="preserve">VD00991</t>
  </si>
  <si>
    <t xml:space="preserve">VD00285</t>
  </si>
  <si>
    <t xml:space="preserve">VD02173</t>
  </si>
  <si>
    <t xml:space="preserve">VD01251</t>
  </si>
  <si>
    <t xml:space="preserve">VD01009</t>
  </si>
  <si>
    <t xml:space="preserve">VD00362</t>
  </si>
  <si>
    <t xml:space="preserve">VD00116</t>
  </si>
  <si>
    <t xml:space="preserve">VD01608</t>
  </si>
  <si>
    <t xml:space="preserve">VD00922</t>
  </si>
  <si>
    <t xml:space="preserve">VD01331</t>
  </si>
  <si>
    <t xml:space="preserve">VD01029</t>
  </si>
  <si>
    <t xml:space="preserve">VD00801</t>
  </si>
  <si>
    <t xml:space="preserve">VD00113</t>
  </si>
  <si>
    <t xml:space="preserve">VD00081</t>
  </si>
  <si>
    <t xml:space="preserve">VD00619</t>
  </si>
  <si>
    <t xml:space="preserve">VD00631</t>
  </si>
  <si>
    <t xml:space="preserve">VD00966</t>
  </si>
  <si>
    <t xml:space="preserve">VD02179</t>
  </si>
  <si>
    <t xml:space="preserve">VD00454</t>
  </si>
  <si>
    <t xml:space="preserve">VD00890</t>
  </si>
  <si>
    <t xml:space="preserve">VD01450</t>
  </si>
  <si>
    <t xml:space="preserve">VD01621</t>
  </si>
  <si>
    <t xml:space="preserve">VD00061</t>
  </si>
  <si>
    <t xml:space="preserve">VD01710</t>
  </si>
  <si>
    <t xml:space="preserve">VD01505</t>
  </si>
  <si>
    <t xml:space="preserve">VD01519</t>
  </si>
  <si>
    <t xml:space="preserve">VD00373</t>
  </si>
  <si>
    <t xml:space="preserve">VD01673</t>
  </si>
  <si>
    <t xml:space="preserve">VD01570</t>
  </si>
  <si>
    <t xml:space="preserve">VD01802</t>
  </si>
  <si>
    <t xml:space="preserve">VD01540</t>
  </si>
  <si>
    <t xml:space="preserve">VD01516</t>
  </si>
  <si>
    <t xml:space="preserve">VD01994</t>
  </si>
  <si>
    <t xml:space="preserve">VD00508</t>
  </si>
  <si>
    <t xml:space="preserve">VD01292</t>
  </si>
  <si>
    <t xml:space="preserve">VD01801</t>
  </si>
  <si>
    <t xml:space="preserve">VD00834</t>
  </si>
  <si>
    <t xml:space="preserve">VD00545</t>
  </si>
  <si>
    <t xml:space="preserve">VD02113</t>
  </si>
  <si>
    <t xml:space="preserve">VD00245</t>
  </si>
  <si>
    <t xml:space="preserve">VD01663</t>
  </si>
  <si>
    <t xml:space="preserve">VD01483</t>
  </si>
  <si>
    <t xml:space="preserve">VD00112</t>
  </si>
  <si>
    <t xml:space="preserve">VD00672</t>
  </si>
  <si>
    <t xml:space="preserve">VD00037</t>
  </si>
  <si>
    <t xml:space="preserve">VD00183</t>
  </si>
  <si>
    <t xml:space="preserve">VD01778</t>
  </si>
  <si>
    <t xml:space="preserve">VD00659</t>
  </si>
  <si>
    <t xml:space="preserve">VD01069</t>
  </si>
  <si>
    <t xml:space="preserve">VD00756</t>
  </si>
  <si>
    <t xml:space="preserve">VD00146</t>
  </si>
  <si>
    <t xml:space="preserve">VD01139</t>
  </si>
  <si>
    <t xml:space="preserve">VD01636</t>
  </si>
  <si>
    <t xml:space="preserve">VD01352</t>
  </si>
  <si>
    <t xml:space="preserve">VD02077</t>
  </si>
  <si>
    <t xml:space="preserve">VD00117</t>
  </si>
  <si>
    <t xml:space="preserve">VD00459</t>
  </si>
  <si>
    <t xml:space="preserve">VD01008</t>
  </si>
  <si>
    <t xml:space="preserve">VD00761</t>
  </si>
  <si>
    <t xml:space="preserve">VD01021</t>
  </si>
  <si>
    <t xml:space="preserve">VD01138</t>
  </si>
  <si>
    <t xml:space="preserve">VD00772</t>
  </si>
  <si>
    <t xml:space="preserve">VD01628</t>
  </si>
  <si>
    <t xml:space="preserve">VD01917</t>
  </si>
  <si>
    <t xml:space="preserve">VD01827</t>
  </si>
  <si>
    <t xml:space="preserve">VD01466</t>
  </si>
  <si>
    <t xml:space="preserve">VD01596</t>
  </si>
  <si>
    <t xml:space="preserve">VD00149</t>
  </si>
  <si>
    <t xml:space="preserve">VD00795</t>
  </si>
  <si>
    <t xml:space="preserve">VD01403</t>
  </si>
  <si>
    <t xml:space="preserve">VD00943</t>
  </si>
  <si>
    <t xml:space="preserve">VD01878</t>
  </si>
  <si>
    <t xml:space="preserve">VD00963</t>
  </si>
  <si>
    <t xml:space="preserve">VD00429</t>
  </si>
  <si>
    <t xml:space="preserve">VD01024</t>
  </si>
  <si>
    <t xml:space="preserve">VD01758</t>
  </si>
  <si>
    <t xml:space="preserve">VD01433</t>
  </si>
  <si>
    <t xml:space="preserve">VD01615</t>
  </si>
  <si>
    <t xml:space="preserve">VD00718</t>
  </si>
  <si>
    <t xml:space="preserve">VD01729</t>
  </si>
  <si>
    <t xml:space="preserve">VD00909</t>
  </si>
  <si>
    <t xml:space="preserve">VD00445</t>
  </si>
  <si>
    <t xml:space="preserve">VD02141</t>
  </si>
  <si>
    <t xml:space="preserve">VD00425</t>
  </si>
  <si>
    <t xml:space="preserve">VD00344</t>
  </si>
  <si>
    <t xml:space="preserve">VD00841</t>
  </si>
  <si>
    <t xml:space="preserve">VD01214</t>
  </si>
  <si>
    <t xml:space="preserve">VD00806</t>
  </si>
  <si>
    <t xml:space="preserve">VD02056</t>
  </si>
  <si>
    <t xml:space="preserve">VD02117</t>
  </si>
  <si>
    <t xml:space="preserve">VD01648</t>
  </si>
  <si>
    <t xml:space="preserve">VD01783</t>
  </si>
  <si>
    <t xml:space="preserve">VD00720</t>
  </si>
  <si>
    <t xml:space="preserve">VD01713</t>
  </si>
  <si>
    <t xml:space="preserve">VD01504</t>
  </si>
  <si>
    <t xml:space="preserve">VD02076</t>
  </si>
  <si>
    <t xml:space="preserve">VD00422</t>
  </si>
  <si>
    <t xml:space="preserve">VD01492</t>
  </si>
  <si>
    <t xml:space="preserve">VD01779</t>
  </si>
  <si>
    <t xml:space="preserve">VD01359</t>
  </si>
  <si>
    <t xml:space="preserve">VD00990</t>
  </si>
  <si>
    <t xml:space="preserve">VD00956</t>
  </si>
  <si>
    <t xml:space="preserve">VD00994</t>
  </si>
  <si>
    <t xml:space="preserve">VD01907</t>
  </si>
  <si>
    <t xml:space="preserve">VD01120</t>
  </si>
  <si>
    <t xml:space="preserve">VD01546</t>
  </si>
  <si>
    <t xml:space="preserve">VD01142</t>
  </si>
  <si>
    <t xml:space="preserve">VD01400</t>
  </si>
  <si>
    <t xml:space="preserve">VD00677</t>
  </si>
  <si>
    <t xml:space="preserve">VD01362</t>
  </si>
  <si>
    <t xml:space="preserve">VD01456</t>
  </si>
  <si>
    <t xml:space="preserve">VD01263</t>
  </si>
  <si>
    <t xml:space="preserve">VD00507</t>
  </si>
  <si>
    <t xml:space="preserve">VD00304</t>
  </si>
  <si>
    <t xml:space="preserve">VD01877</t>
  </si>
  <si>
    <t xml:space="preserve">VD01399</t>
  </si>
  <si>
    <t xml:space="preserve">VD01699</t>
  </si>
  <si>
    <t xml:space="preserve">VD00627</t>
  </si>
  <si>
    <t xml:space="preserve">VD00464</t>
  </si>
  <si>
    <t xml:space="preserve">VD00227</t>
  </si>
  <si>
    <t xml:space="preserve">VD01172</t>
  </si>
  <si>
    <t xml:space="preserve">VD02035</t>
  </si>
  <si>
    <t xml:space="preserve">VD00971</t>
  </si>
  <si>
    <t xml:space="preserve">VD00408</t>
  </si>
  <si>
    <t xml:space="preserve">VD02128</t>
  </si>
  <si>
    <t xml:space="preserve">VD01753</t>
  </si>
  <si>
    <t xml:space="preserve">VD01606</t>
  </si>
  <si>
    <t xml:space="preserve">VD00214</t>
  </si>
  <si>
    <t xml:space="preserve">VD00235</t>
  </si>
  <si>
    <t xml:space="preserve">VD00201</t>
  </si>
  <si>
    <t xml:space="preserve">VD01143</t>
  </si>
  <si>
    <t xml:space="preserve">VD01887</t>
  </si>
  <si>
    <t xml:space="preserve">VD01372</t>
  </si>
  <si>
    <t xml:space="preserve">VD00575</t>
  </si>
  <si>
    <t xml:space="preserve">VD01574</t>
  </si>
  <si>
    <t xml:space="preserve">VD00260</t>
  </si>
  <si>
    <t xml:space="preserve">VD00259</t>
  </si>
  <si>
    <t xml:space="preserve">VD01721</t>
  </si>
  <si>
    <t xml:space="preserve">VD00489</t>
  </si>
  <si>
    <t xml:space="preserve">VD01438</t>
  </si>
  <si>
    <t xml:space="preserve">VD01765</t>
  </si>
  <si>
    <t xml:space="preserve">VD01998</t>
  </si>
  <si>
    <t xml:space="preserve">VD02051</t>
  </si>
  <si>
    <t xml:space="preserve">VD00797</t>
  </si>
  <si>
    <t xml:space="preserve">VD00318</t>
  </si>
  <si>
    <t xml:space="preserve">VD01401</t>
  </si>
  <si>
    <t xml:space="preserve">VD01947</t>
  </si>
  <si>
    <t xml:space="preserve">VD00364</t>
  </si>
  <si>
    <t xml:space="preserve">VD01730</t>
  </si>
  <si>
    <t xml:space="preserve">VD00046</t>
  </si>
  <si>
    <t xml:space="preserve">VD01532</t>
  </si>
  <si>
    <t xml:space="preserve">VD01630</t>
  </si>
  <si>
    <t xml:space="preserve">VD02027</t>
  </si>
  <si>
    <t xml:space="preserve">VD00324</t>
  </si>
  <si>
    <t xml:space="preserve">VD01941</t>
  </si>
  <si>
    <t xml:space="preserve">VD01227</t>
  </si>
  <si>
    <t xml:space="preserve">VD01916</t>
  </si>
  <si>
    <t xml:space="preserve">VD01571</t>
  </si>
  <si>
    <t xml:space="preserve">VD01955</t>
  </si>
  <si>
    <t xml:space="preserve">VD00434</t>
  </si>
  <si>
    <t xml:space="preserve">VD00753</t>
  </si>
  <si>
    <t xml:space="preserve">VD00792</t>
  </si>
  <si>
    <t xml:space="preserve">VD01545</t>
  </si>
  <si>
    <t xml:space="preserve">VD01999</t>
  </si>
  <si>
    <t xml:space="preserve">VD01344</t>
  </si>
  <si>
    <t xml:space="preserve">VD00544</t>
  </si>
  <si>
    <t xml:space="preserve">VD01060</t>
  </si>
  <si>
    <t xml:space="preserve">VD00248</t>
  </si>
  <si>
    <t xml:space="preserve">VD00765</t>
  </si>
  <si>
    <t xml:space="preserve">VD01065</t>
  </si>
  <si>
    <t xml:space="preserve">VD01090</t>
  </si>
  <si>
    <t xml:space="preserve">VD00154</t>
  </si>
  <si>
    <t xml:space="preserve">VD01388</t>
  </si>
  <si>
    <t xml:space="preserve">VD00449</t>
  </si>
  <si>
    <t xml:space="preserve">VD02078</t>
  </si>
  <si>
    <t xml:space="preserve">VD00441</t>
  </si>
  <si>
    <t xml:space="preserve">VD02022</t>
  </si>
  <si>
    <t xml:space="preserve">VD02019</t>
  </si>
  <si>
    <t xml:space="preserve">VD02017</t>
  </si>
  <si>
    <t xml:space="preserve">VD02075</t>
  </si>
  <si>
    <t xml:space="preserve">VD01900</t>
  </si>
  <si>
    <t xml:space="preserve">VD01176</t>
  </si>
  <si>
    <t xml:space="preserve">VD00043</t>
  </si>
  <si>
    <t xml:space="preserve">VD00664</t>
  </si>
  <si>
    <t xml:space="preserve">VD00353</t>
  </si>
  <si>
    <t xml:space="preserve">VD00957</t>
  </si>
  <si>
    <t xml:space="preserve">VD00100</t>
  </si>
  <si>
    <t xml:space="preserve">VD02044</t>
  </si>
  <si>
    <t xml:space="preserve">VD01579</t>
  </si>
  <si>
    <t xml:space="preserve">VD01293</t>
  </si>
  <si>
    <t xml:space="preserve">VD01482</t>
  </si>
  <si>
    <t xml:space="preserve">VD00808</t>
  </si>
  <si>
    <t xml:space="preserve">VD01812</t>
  </si>
  <si>
    <t xml:space="preserve">VD01842</t>
  </si>
  <si>
    <t xml:space="preserve">VD01642</t>
  </si>
  <si>
    <t xml:space="preserve">VD01635</t>
  </si>
  <si>
    <t xml:space="preserve">VD00689</t>
  </si>
  <si>
    <t xml:space="preserve">VD00319</t>
  </si>
  <si>
    <t xml:space="preserve">VD00917</t>
  </si>
  <si>
    <t xml:space="preserve">VD01883</t>
  </si>
  <si>
    <t xml:space="preserve">VD00881</t>
  </si>
  <si>
    <t xml:space="preserve">VD00799</t>
  </si>
  <si>
    <t xml:space="preserve">VD01473</t>
  </si>
  <si>
    <t xml:space="preserve">VD00261</t>
  </si>
  <si>
    <t xml:space="preserve">VD00665</t>
  </si>
  <si>
    <t xml:space="preserve">VD00825</t>
  </si>
  <si>
    <t xml:space="preserve">VD00810</t>
  </si>
  <si>
    <t xml:space="preserve">VD00840</t>
  </si>
  <si>
    <t xml:space="preserve">VD00168</t>
  </si>
  <si>
    <t xml:space="preserve">VD01057</t>
  </si>
  <si>
    <t xml:space="preserve">VD00414</t>
  </si>
  <si>
    <t xml:space="preserve">VD00501</t>
  </si>
  <si>
    <t xml:space="preserve">VD00769</t>
  </si>
  <si>
    <t xml:space="preserve">VD01821</t>
  </si>
  <si>
    <t xml:space="preserve">VD01982</t>
  </si>
  <si>
    <t xml:space="preserve">VD00540</t>
  </si>
  <si>
    <t xml:space="preserve">VD00051</t>
  </si>
  <si>
    <t xml:space="preserve">VD01662</t>
  </si>
  <si>
    <t xml:space="preserve">VD00591</t>
  </si>
  <si>
    <t xml:space="preserve">VD01658</t>
  </si>
  <si>
    <t xml:space="preserve">VD01506</t>
  </si>
  <si>
    <t xml:space="preserve">VD00060</t>
  </si>
  <si>
    <t xml:space="preserve">VD01759</t>
  </si>
  <si>
    <t xml:space="preserve">VD01170</t>
  </si>
  <si>
    <t xml:space="preserve">VD01028</t>
  </si>
  <si>
    <t xml:space="preserve">VD00636</t>
  </si>
  <si>
    <t xml:space="preserve">VD02099</t>
  </si>
  <si>
    <t xml:space="preserve">VD01948</t>
  </si>
  <si>
    <t xml:space="preserve">VD02108</t>
  </si>
  <si>
    <t xml:space="preserve">VD00678</t>
  </si>
  <si>
    <t xml:space="preserve">VD01943</t>
  </si>
  <si>
    <t xml:space="preserve">VD00397</t>
  </si>
  <si>
    <t xml:space="preserve">VD01205</t>
  </si>
  <si>
    <t xml:space="preserve">VD01428</t>
  </si>
  <si>
    <t xml:space="preserve">VD00212</t>
  </si>
  <si>
    <t xml:space="preserve">VD00387</t>
  </si>
  <si>
    <t xml:space="preserve">VD00352</t>
  </si>
  <si>
    <t xml:space="preserve">VD00987</t>
  </si>
  <si>
    <t xml:space="preserve">VD01283</t>
  </si>
  <si>
    <t xml:space="preserve">VD01951</t>
  </si>
  <si>
    <t xml:space="preserve">VD01723</t>
  </si>
  <si>
    <t xml:space="preserve">VD01971</t>
  </si>
  <si>
    <t xml:space="preserve">VD00145</t>
  </si>
  <si>
    <t xml:space="preserve">VD00680</t>
  </si>
  <si>
    <t xml:space="preserve">VD01310</t>
  </si>
  <si>
    <t xml:space="preserve">VD00582</t>
  </si>
  <si>
    <t xml:space="preserve">VD01552</t>
  </si>
  <si>
    <t xml:space="preserve">VD01598</t>
  </si>
  <si>
    <t xml:space="preserve">VD00621</t>
  </si>
  <si>
    <t xml:space="preserve">VD00558</t>
  </si>
  <si>
    <t xml:space="preserve">VD00503</t>
  </si>
  <si>
    <t xml:space="preserve">VD00870</t>
  </si>
  <si>
    <t xml:space="preserve">VD01986</t>
  </si>
  <si>
    <t xml:space="preserve">VD00667</t>
  </si>
  <si>
    <t xml:space="preserve">VD00513</t>
  </si>
  <si>
    <t xml:space="preserve">VD01137</t>
  </si>
  <si>
    <t xml:space="preserve">VD00194</t>
  </si>
  <si>
    <t xml:space="preserve">VD01708</t>
  </si>
  <si>
    <t xml:space="preserve">VD01807</t>
  </si>
  <si>
    <t xml:space="preserve">VD00331</t>
  </si>
  <si>
    <t xml:space="preserve">VD00177</t>
  </si>
  <si>
    <t xml:space="preserve">VD01163</t>
  </si>
  <si>
    <t xml:space="preserve">VD00568</t>
  </si>
  <si>
    <t xml:space="preserve">VD01206</t>
  </si>
  <si>
    <t xml:space="preserve">VD01267</t>
  </si>
  <si>
    <t xml:space="preserve">VD01022</t>
  </si>
  <si>
    <t xml:space="preserve">VD00130</t>
  </si>
  <si>
    <t xml:space="preserve">VD00927</t>
  </si>
  <si>
    <t xml:space="preserve">VD01327</t>
  </si>
  <si>
    <t xml:space="preserve">VD01919</t>
  </si>
  <si>
    <t xml:space="preserve">VD01407</t>
  </si>
  <si>
    <t xml:space="preserve">VD01424</t>
  </si>
  <si>
    <t xml:space="preserve">VD01769</t>
  </si>
  <si>
    <t xml:space="preserve">VD01191</t>
  </si>
  <si>
    <t xml:space="preserve">VD00079</t>
  </si>
  <si>
    <t xml:space="preserve">VD01623</t>
  </si>
  <si>
    <t xml:space="preserve">VD00140</t>
  </si>
  <si>
    <t xml:space="preserve">VD01653</t>
  </si>
  <si>
    <t xml:space="preserve">VD00138</t>
  </si>
  <si>
    <t xml:space="preserve">VD00882</t>
  </si>
  <si>
    <t xml:space="preserve">VD00159</t>
  </si>
  <si>
    <t xml:space="preserve">VD01787</t>
  </si>
  <si>
    <t xml:space="preserve">VD00778</t>
  </si>
  <si>
    <t xml:space="preserve">VD01291</t>
  </si>
  <si>
    <t xml:space="preserve">VD00461</t>
  </si>
  <si>
    <t xml:space="preserve">VD00803</t>
  </si>
  <si>
    <t xml:space="preserve">VD01055</t>
  </si>
  <si>
    <t xml:space="preserve">VD01871</t>
  </si>
  <si>
    <t xml:space="preserve">VD01849</t>
  </si>
  <si>
    <t xml:space="preserve">VD02001</t>
  </si>
  <si>
    <t xml:space="preserve">VD01813</t>
  </si>
  <si>
    <t xml:space="preserve">VD00055</t>
  </si>
  <si>
    <t xml:space="preserve">VD00791</t>
  </si>
  <si>
    <t xml:space="preserve">VD01431</t>
  </si>
  <si>
    <t xml:space="preserve">VD00832</t>
  </si>
  <si>
    <t xml:space="preserve">VD00945</t>
  </si>
  <si>
    <t xml:space="preserve">VD01415</t>
  </si>
  <si>
    <t xml:space="preserve">VD00360</t>
  </si>
  <si>
    <t xml:space="preserve">VD00906</t>
  </si>
  <si>
    <t xml:space="preserve">VD01316</t>
  </si>
  <si>
    <t xml:space="preserve">VD00413</t>
  </si>
  <si>
    <t xml:space="preserve">VD01052</t>
  </si>
  <si>
    <t xml:space="preserve">VD01441</t>
  </si>
  <si>
    <t xml:space="preserve">VD01667</t>
  </si>
  <si>
    <t xml:space="preserve">VD00027</t>
  </si>
  <si>
    <t xml:space="preserve">VD01921</t>
  </si>
  <si>
    <t xml:space="preserve">VD00699</t>
  </si>
  <si>
    <t xml:space="preserve">VD02032</t>
  </si>
  <si>
    <t xml:space="preserve">VD00915</t>
  </si>
  <si>
    <t xml:space="preserve">VD01169</t>
  </si>
  <si>
    <t xml:space="preserve">VD00562</t>
  </si>
  <si>
    <t xml:space="preserve">VD00039</t>
  </si>
  <si>
    <t xml:space="preserve">VD01320</t>
  </si>
  <si>
    <t xml:space="preserve">VD00949</t>
  </si>
  <si>
    <t xml:space="preserve">VD01467</t>
  </si>
  <si>
    <t xml:space="preserve">VD00642</t>
  </si>
  <si>
    <t xml:space="preserve">VD00697</t>
  </si>
  <si>
    <t xml:space="preserve">VD00153</t>
  </si>
  <si>
    <t xml:space="preserve">VD00976</t>
  </si>
  <si>
    <t xml:space="preserve">VD01694</t>
  </si>
  <si>
    <t xml:space="preserve">VD01656</t>
  </si>
  <si>
    <t xml:space="preserve">VD02147</t>
  </si>
  <si>
    <t xml:space="preserve">VD00794</t>
  </si>
  <si>
    <t xml:space="preserve">VD01447</t>
  </si>
  <si>
    <t xml:space="preserve">VD01497</t>
  </si>
  <si>
    <t xml:space="preserve">VD01577</t>
  </si>
  <si>
    <t xml:space="preserve">VD00003</t>
  </si>
  <si>
    <t xml:space="preserve">VD00962</t>
  </si>
  <si>
    <t xml:space="preserve">VD00714</t>
  </si>
  <si>
    <t xml:space="preserve">VD01375</t>
  </si>
  <si>
    <t xml:space="preserve">VD00347</t>
  </si>
  <si>
    <t xml:space="preserve">VD00104</t>
  </si>
  <si>
    <t xml:space="preserve">VD01469</t>
  </si>
  <si>
    <t xml:space="preserve">VD01640</t>
  </si>
  <si>
    <t xml:space="preserve">VD00914</t>
  </si>
  <si>
    <t xml:space="preserve">VD01746</t>
  </si>
  <si>
    <t xml:space="preserve">VD01685</t>
  </si>
  <si>
    <t xml:space="preserve">VD01669</t>
  </si>
  <si>
    <t xml:space="preserve">VD00258</t>
  </si>
  <si>
    <t xml:space="preserve">VD01775</t>
  </si>
  <si>
    <t xml:space="preserve">VD00275</t>
  </si>
  <si>
    <t xml:space="preserve">VD01595</t>
  </si>
  <si>
    <t xml:space="preserve">VD00586</t>
  </si>
  <si>
    <t xml:space="preserve">VD00533</t>
  </si>
  <si>
    <t xml:space="preserve">VD00748</t>
  </si>
  <si>
    <t xml:space="preserve">VD01064</t>
  </si>
  <si>
    <t xml:space="preserve">VD00133</t>
  </si>
  <si>
    <t xml:space="preserve">VD00553</t>
  </si>
  <si>
    <t xml:space="preserve">VD01358</t>
  </si>
  <si>
    <t xml:space="preserve">VD00933</t>
  </si>
  <si>
    <t xml:space="preserve">VD01356</t>
  </si>
  <si>
    <t xml:space="preserve">VD01756</t>
  </si>
  <si>
    <t xml:space="preserve">VD00541</t>
  </si>
  <si>
    <t xml:space="preserve">VD00595</t>
  </si>
  <si>
    <t xml:space="preserve">VD00348</t>
  </si>
  <si>
    <t xml:space="preserve">VD02162</t>
  </si>
  <si>
    <t xml:space="preserve">VD02159</t>
  </si>
  <si>
    <t xml:space="preserve">VD00773</t>
  </si>
  <si>
    <t xml:space="preserve">VD01413</t>
  </si>
  <si>
    <t xml:space="preserve">VD00494</t>
  </si>
  <si>
    <t xml:space="preserve">VD00559</t>
  </si>
  <si>
    <t xml:space="preserve">VD00419</t>
  </si>
  <si>
    <t xml:space="preserve">VD00726</t>
  </si>
  <si>
    <t xml:space="preserve">VD01852</t>
  </si>
  <si>
    <t xml:space="preserve">VD00872</t>
  </si>
  <si>
    <t xml:space="preserve">VD01119</t>
  </si>
  <si>
    <t xml:space="preserve">VD01173</t>
  </si>
  <si>
    <t xml:space="preserve">VD01200</t>
  </si>
  <si>
    <t xml:space="preserve">VD00001</t>
  </si>
  <si>
    <t xml:space="preserve">VD00056</t>
  </si>
  <si>
    <t xml:space="preserve">VD00207</t>
  </si>
  <si>
    <t xml:space="preserve">VD00472</t>
  </si>
  <si>
    <t xml:space="preserve">VD00549</t>
  </si>
  <si>
    <t xml:space="preserve">VD01278</t>
  </si>
  <si>
    <t xml:space="preserve">VD01819</t>
  </si>
  <si>
    <t xml:space="preserve">VD00195</t>
  </si>
  <si>
    <t xml:space="preserve">VD01370</t>
  </si>
  <si>
    <t xml:space="preserve">VD02175</t>
  </si>
  <si>
    <t xml:space="preserve">VD01465</t>
  </si>
  <si>
    <t xml:space="preserve">VD01814</t>
  </si>
  <si>
    <t xml:space="preserve">VD02145</t>
  </si>
  <si>
    <t xml:space="preserve">VD02012</t>
  </si>
  <si>
    <t xml:space="preserve">VD00724</t>
  </si>
  <si>
    <t xml:space="preserve">VD01715</t>
  </si>
  <si>
    <t xml:space="preserve">VD00780</t>
  </si>
  <si>
    <t xml:space="preserve">VD01247</t>
  </si>
  <si>
    <t xml:space="preserve">VD01893</t>
  </si>
  <si>
    <t xml:space="preserve">VD00251</t>
  </si>
  <si>
    <t xml:space="preserve">VD01576</t>
  </si>
  <si>
    <t xml:space="preserve">VD01882</t>
  </si>
  <si>
    <t xml:space="preserve">VD01895</t>
  </si>
  <si>
    <t xml:space="preserve">VD00405</t>
  </si>
  <si>
    <t xml:space="preserve">VD00090</t>
  </si>
  <si>
    <t xml:space="preserve">VD02112</t>
  </si>
  <si>
    <t xml:space="preserve">VD01006</t>
  </si>
  <si>
    <t xml:space="preserve">VD01553</t>
  </si>
  <si>
    <t xml:space="preserve">VD00552</t>
  </si>
  <si>
    <t xml:space="preserve">VD00050</t>
  </si>
  <si>
    <t xml:space="preserve">VD02064</t>
  </si>
  <si>
    <t xml:space="preserve">VD01868</t>
  </si>
  <si>
    <t xml:space="preserve">VD00420</t>
  </si>
  <si>
    <t xml:space="preserve">VD00607</t>
  </si>
  <si>
    <t xml:space="preserve">VD01588</t>
  </si>
  <si>
    <t xml:space="preserve">VD00377</t>
  </si>
  <si>
    <t xml:space="preserve">VD00592</t>
  </si>
  <si>
    <t xml:space="preserve">VD00181</t>
  </si>
  <si>
    <t xml:space="preserve">VD00570</t>
  </si>
  <si>
    <t xml:space="preserve">VD00755</t>
  </si>
  <si>
    <t xml:space="preserve">VD01996</t>
  </si>
  <si>
    <t xml:space="preserve">VD01643</t>
  </si>
  <si>
    <t xml:space="preserve">VD02132</t>
  </si>
  <si>
    <t xml:space="preserve">VD00638</t>
  </si>
  <si>
    <t xml:space="preserve">VD00256</t>
  </si>
  <si>
    <t xml:space="preserve">VD00779</t>
  </si>
  <si>
    <t xml:space="preserve">VD00313</t>
  </si>
  <si>
    <t xml:space="preserve">VD00080</t>
  </si>
  <si>
    <t xml:space="preserve">VD01294</t>
  </si>
  <si>
    <t xml:space="preserve">VD00569</t>
  </si>
  <si>
    <t xml:space="preserve">VD00186</t>
  </si>
  <si>
    <t xml:space="preserve">VD01141</t>
  </si>
  <si>
    <t xml:space="preserve">VD00211</t>
  </si>
  <si>
    <t xml:space="preserve">VD02100</t>
  </si>
  <si>
    <t xml:space="preserve">VD00409</t>
  </si>
  <si>
    <t xml:space="preserve">VD00955</t>
  </si>
  <si>
    <t xml:space="preserve">VD01296</t>
  </si>
  <si>
    <t xml:space="preserve">VD02068</t>
  </si>
  <si>
    <t xml:space="preserve">VD01108</t>
  </si>
  <si>
    <t xml:space="preserve">VD01977</t>
  </si>
  <si>
    <t xml:space="preserve">VD00053</t>
  </si>
  <si>
    <t xml:space="preserve">VD01268</t>
  </si>
  <si>
    <t xml:space="preserve">VD00009</t>
  </si>
  <si>
    <t xml:space="preserve">VD01679</t>
  </si>
  <si>
    <t xml:space="preserve">VD01202</t>
  </si>
  <si>
    <t xml:space="preserve">VD02163</t>
  </si>
  <si>
    <t xml:space="preserve">VD01840</t>
  </si>
  <si>
    <t xml:space="preserve">VD00524</t>
  </si>
  <si>
    <t xml:space="preserve">VD01345</t>
  </si>
  <si>
    <t xml:space="preserve">VD01417</t>
  </si>
  <si>
    <t xml:space="preserve">VD00645</t>
  </si>
  <si>
    <t xml:space="preserve">VD01980</t>
  </si>
  <si>
    <t xml:space="preserve">VD01099</t>
  </si>
  <si>
    <t xml:space="preserve">VD01102</t>
  </si>
  <si>
    <t xml:space="preserve">VD01593</t>
  </si>
  <si>
    <t xml:space="preserve">VD01931</t>
  </si>
  <si>
    <t xml:space="preserve">VD02124</t>
  </si>
  <si>
    <t xml:space="preserve">VD02166</t>
  </si>
  <si>
    <t xml:space="preserve">VD01303</t>
  </si>
  <si>
    <t xml:space="preserve">VD01167</t>
  </si>
  <si>
    <t xml:space="preserve">VD01234</t>
  </si>
  <si>
    <t xml:space="preserve">VD01232</t>
  </si>
  <si>
    <t xml:space="preserve">VD00509</t>
  </si>
  <si>
    <t xml:space="preserve">VD01894</t>
  </si>
  <si>
    <t xml:space="preserve">VD01602</t>
  </si>
  <si>
    <t xml:space="preserve">VD00215</t>
  </si>
  <si>
    <t xml:space="preserve">VD02106</t>
  </si>
  <si>
    <t xml:space="preserve">VD01884</t>
  </si>
  <si>
    <t xml:space="preserve">VD00579</t>
  </si>
  <si>
    <t xml:space="preserve">VD00980</t>
  </si>
  <si>
    <t xml:space="preserve">VD01337</t>
  </si>
  <si>
    <t xml:space="preserve">VD01072</t>
  </si>
  <si>
    <t xml:space="preserve">VD01470</t>
  </si>
  <si>
    <t xml:space="preserve">VD02025</t>
  </si>
  <si>
    <t xml:space="preserve">VD00912</t>
  </si>
  <si>
    <t xml:space="preserve">VD02131</t>
  </si>
  <si>
    <t xml:space="preserve">VD00940</t>
  </si>
  <si>
    <t xml:space="preserve">VD01909</t>
  </si>
  <si>
    <t xml:space="preserve">VD01936</t>
  </si>
  <si>
    <t xml:space="preserve">VD01192</t>
  </si>
  <si>
    <t xml:space="preserve">VD00516</t>
  </si>
  <si>
    <t xml:space="preserve">VD00760</t>
  </si>
  <si>
    <t xml:space="preserve">VD01572</t>
  </si>
  <si>
    <t xml:space="preserve">VD01987</t>
  </si>
  <si>
    <t xml:space="preserve">VD02110</t>
  </si>
  <si>
    <t xml:space="preserve">VD00016</t>
  </si>
  <si>
    <t xml:space="preserve">VD02073</t>
  </si>
  <si>
    <t xml:space="preserve">VD01207</t>
  </si>
  <si>
    <t xml:space="preserve">VD01130</t>
  </si>
  <si>
    <t xml:space="preserve">VD00411</t>
  </si>
  <si>
    <t xml:space="preserve">VD01604</t>
  </si>
  <si>
    <t xml:space="preserve">VD00238</t>
  </si>
  <si>
    <t xml:space="preserve">VD01851</t>
  </si>
  <si>
    <t xml:space="preserve">VD00158</t>
  </si>
  <si>
    <t xml:space="preserve">VD00981</t>
  </si>
  <si>
    <t xml:space="preserve">VD00160</t>
  </si>
  <si>
    <t xml:space="preserve">VD01324</t>
  </si>
  <si>
    <t xml:space="preserve">VD00986</t>
  </si>
  <si>
    <t xml:space="preserve">VD00691</t>
  </si>
  <si>
    <t xml:space="preserve">VD01611</t>
  </si>
  <si>
    <t xml:space="preserve">VD00896</t>
  </si>
  <si>
    <t xml:space="preserve">VD00124</t>
  </si>
  <si>
    <t xml:space="preserve">VD01043</t>
  </si>
  <si>
    <t xml:space="preserve">VD01282</t>
  </si>
  <si>
    <t xml:space="preserve">VD01277</t>
  </si>
  <si>
    <t xml:space="preserve">VD01844</t>
  </si>
  <si>
    <t xml:space="preserve">VD00702</t>
  </si>
  <si>
    <t xml:space="preserve">VD01414</t>
  </si>
  <si>
    <t xml:space="preserve">VD00988</t>
  </si>
  <si>
    <t xml:space="preserve">VD00232</t>
  </si>
  <si>
    <t xml:space="preserve">VD00613</t>
  </si>
  <si>
    <t xml:space="preserve">VD01225</t>
  </si>
  <si>
    <t xml:space="preserve">VD01949</t>
  </si>
  <si>
    <t xml:space="preserve">VD00038</t>
  </si>
  <si>
    <t xml:space="preserve">VD01499</t>
  </si>
  <si>
    <t xml:space="preserve">VD00762</t>
  </si>
  <si>
    <t xml:space="preserve">VD00185</t>
  </si>
  <si>
    <t xml:space="preserve">VD00721</t>
  </si>
  <si>
    <t xml:space="preserve">VD00925</t>
  </si>
  <si>
    <t xml:space="preserve">VD01390</t>
  </si>
  <si>
    <t xml:space="preserve">VD00432</t>
  </si>
  <si>
    <t xml:space="preserve">VD02153</t>
  </si>
  <si>
    <t xml:space="preserve">VD01342</t>
  </si>
  <si>
    <t xml:space="preserve">VD00222</t>
  </si>
  <si>
    <t xml:space="preserve">VD00125</t>
  </si>
  <si>
    <t xml:space="preserve">VD01446</t>
  </si>
  <si>
    <t xml:space="preserve">VD00169</t>
  </si>
  <si>
    <t xml:space="preserve">VD00784</t>
  </si>
  <si>
    <t xml:space="preserve">VD02093</t>
  </si>
  <si>
    <t xml:space="preserve">VD01557</t>
  </si>
  <si>
    <t xml:space="preserve">VD00820</t>
  </si>
  <si>
    <t xml:space="preserve">VD01739</t>
  </si>
  <si>
    <t xml:space="preserve">VD01872</t>
  </si>
  <si>
    <t xml:space="preserve">VD00814</t>
  </si>
  <si>
    <t xml:space="preserve">VD00458</t>
  </si>
  <si>
    <t xml:space="preserve">VD00811</t>
  </si>
  <si>
    <t xml:space="preserve">VD02146</t>
  </si>
  <si>
    <t xml:space="preserve">VD00105</t>
  </si>
  <si>
    <t xml:space="preserve">VD02084</t>
  </si>
  <si>
    <t xml:space="preserve">VD00355</t>
  </si>
  <si>
    <t xml:space="preserve">VD01517</t>
  </si>
  <si>
    <t xml:space="preserve">VD00431</t>
  </si>
  <si>
    <t xml:space="preserve">VD01796</t>
  </si>
  <si>
    <t xml:space="preserve">VD00033</t>
  </si>
  <si>
    <t xml:space="preserve">VD00336</t>
  </si>
  <si>
    <t xml:space="preserve">VD01146</t>
  </si>
  <si>
    <t xml:space="preserve">VD01502</t>
  </si>
  <si>
    <t xml:space="preserve">VD01379</t>
  </si>
  <si>
    <t xml:space="preserve">VD01162</t>
  </si>
  <si>
    <t xml:space="preserve">VD01910</t>
  </si>
  <si>
    <t xml:space="preserve">VD00339</t>
  </si>
  <si>
    <t xml:space="preserve">VD00457</t>
  </si>
  <si>
    <t xml:space="preserve">VD00216</t>
  </si>
  <si>
    <t xml:space="preserve">VD02037</t>
  </si>
  <si>
    <t xml:space="preserve">VD00162</t>
  </si>
  <si>
    <t xml:space="preserve">VD00369</t>
  </si>
  <si>
    <t xml:space="preserve">VD00391</t>
  </si>
  <si>
    <t xml:space="preserve">VD01425</t>
  </si>
  <si>
    <t xml:space="preserve">VD00485</t>
  </si>
  <si>
    <t xml:space="preserve">VD00224</t>
  </si>
  <si>
    <t xml:space="preserve">VD01183</t>
  </si>
  <si>
    <t xml:space="preserve">VD00487</t>
  </si>
  <si>
    <t xml:space="preserve">VD01867</t>
  </si>
  <si>
    <t xml:space="preserve">VD01440</t>
  </si>
  <si>
    <t xml:space="preserve">VD02011</t>
  </si>
  <si>
    <t xml:space="preserve">VD01920</t>
  </si>
  <si>
    <t xml:space="preserve">VD01706</t>
  </si>
  <si>
    <t xml:space="preserve">VD00504</t>
  </si>
  <si>
    <t xml:space="preserve">VD01768</t>
  </si>
  <si>
    <t xml:space="preserve">VD00156</t>
  </si>
  <si>
    <t xml:space="preserve">VD00439</t>
  </si>
  <si>
    <t xml:space="preserve">VD00688</t>
  </si>
  <si>
    <t xml:space="preserve">VD01032</t>
  </si>
  <si>
    <t xml:space="preserve">VD00510</t>
  </si>
  <si>
    <t xml:space="preserve">VD00975</t>
  </si>
  <si>
    <t xml:space="preserve">VD01563</t>
  </si>
  <si>
    <t xml:space="preserve">VD01045</t>
  </si>
  <si>
    <t xml:space="preserve">VD01599</t>
  </si>
  <si>
    <t xml:space="preserve">VD00221</t>
  </si>
  <si>
    <t xml:space="preserve">VD01308</t>
  </si>
  <si>
    <t xml:space="preserve">VD00019</t>
  </si>
  <si>
    <t xml:space="preserve">VD00484</t>
  </si>
  <si>
    <t xml:space="preserve">VD00417</t>
  </si>
  <si>
    <t xml:space="preserve">VD02127</t>
  </si>
  <si>
    <t xml:space="preserve">VD00924</t>
  </si>
  <si>
    <t xml:space="preserve">VD00899</t>
  </si>
  <si>
    <t xml:space="preserve">VD01265</t>
  </si>
  <si>
    <t xml:space="preserve">VD00676</t>
  </si>
  <si>
    <t xml:space="preserve">VD00067</t>
  </si>
  <si>
    <t xml:space="preserve">VD01478</t>
  </si>
  <si>
    <t xml:space="preserve">VD01230</t>
  </si>
  <si>
    <t xml:space="preserve">VD02063</t>
  </si>
  <si>
    <t xml:space="preserve">VD01757</t>
  </si>
  <si>
    <t xml:space="preserve">VD00096</t>
  </si>
  <si>
    <t xml:space="preserve">VD01976</t>
  </si>
  <si>
    <t xml:space="preserve">VD01520</t>
  </si>
  <si>
    <t xml:space="preserve">VD01325</t>
  </si>
  <si>
    <t xml:space="preserve">VD00325</t>
  </si>
  <si>
    <t xml:space="preserve">VD01535</t>
  </si>
  <si>
    <t xml:space="preserve">VD02049</t>
  </si>
  <si>
    <t xml:space="preserve">VD01262</t>
  </si>
  <si>
    <t xml:space="preserve">VD01993</t>
  </si>
  <si>
    <t xml:space="preserve">VD00071</t>
  </si>
  <si>
    <t xml:space="preserve">VD01822</t>
  </si>
  <si>
    <t xml:space="preserve">VD01564</t>
  </si>
  <si>
    <t xml:space="preserve">VD01991</t>
  </si>
  <si>
    <t xml:space="preserve">VD01782</t>
  </si>
  <si>
    <t xml:space="preserve">VD01652</t>
  </si>
  <si>
    <t xml:space="preserve">VD01486</t>
  </si>
  <si>
    <t xml:space="preserve">VD00034</t>
  </si>
  <si>
    <t xml:space="preserve">VD01625</t>
  </si>
  <si>
    <t xml:space="preserve">VD00450</t>
  </si>
  <si>
    <t xml:space="preserve">VD00939</t>
  </si>
  <si>
    <t xml:space="preserve">VD01719</t>
  </si>
  <si>
    <t xml:space="preserve">VD01888</t>
  </si>
  <si>
    <t xml:space="preserve">VD00161</t>
  </si>
  <si>
    <t xml:space="preserve">VD01368</t>
  </si>
  <si>
    <t xml:space="preserve">VD00136</t>
  </si>
  <si>
    <t xml:space="preserve">VD00868</t>
  </si>
  <si>
    <t xml:space="preserve">VD01745</t>
  </si>
  <si>
    <t xml:space="preserve">VD01096</t>
  </si>
  <si>
    <t xml:space="preserve">VD00152</t>
  </si>
  <si>
    <t xml:space="preserve">VD00302</t>
  </si>
  <si>
    <t xml:space="preserve">VD01784</t>
  </si>
  <si>
    <t xml:space="preserve">VD00782</t>
  </si>
  <si>
    <t xml:space="preserve">VD01171</t>
  </si>
  <si>
    <t xml:space="preserve">VD01634</t>
  </si>
  <si>
    <t xml:space="preserve">VD01439</t>
  </si>
  <si>
    <t xml:space="preserve">VD00343</t>
  </si>
  <si>
    <t xml:space="preserve">VD02095</t>
  </si>
  <si>
    <t xml:space="preserve">VD00519</t>
  </si>
  <si>
    <t xml:space="preserve">VD00660</t>
  </si>
  <si>
    <t xml:space="preserve">VD01252</t>
  </si>
  <si>
    <t xml:space="preserve">VD00775</t>
  </si>
  <si>
    <t xml:space="preserve">VD00752</t>
  </si>
  <si>
    <t xml:space="preserve">VD00897</t>
  </si>
  <si>
    <t xml:space="preserve">VD00137</t>
  </si>
  <si>
    <t xml:space="preserve">VD01590</t>
  </si>
  <si>
    <t xml:space="preserve">VD01341</t>
  </si>
  <si>
    <t xml:space="preserve">VD01107</t>
  </si>
  <si>
    <t xml:space="preserve">VD00737</t>
  </si>
  <si>
    <t xml:space="preserve">VD01940</t>
  </si>
  <si>
    <t xml:space="preserve">VD01484</t>
  </si>
  <si>
    <t xml:space="preserve">VD01051</t>
  </si>
  <si>
    <t xml:space="preserve">VD01874</t>
  </si>
  <si>
    <t xml:space="preserve">VD01204</t>
  </si>
  <si>
    <t xml:space="preserve">VD01905</t>
  </si>
  <si>
    <t xml:space="preserve">VD00480</t>
  </si>
  <si>
    <t xml:space="preserve">VD00029</t>
  </si>
  <si>
    <t xml:space="preserve">VD01084</t>
  </si>
  <si>
    <t xml:space="preserve">VD01857</t>
  </si>
  <si>
    <t xml:space="preserve">VD00789</t>
  </si>
  <si>
    <t xml:space="preserve">VD00983</t>
  </si>
  <si>
    <t xml:space="preserve">VD00948</t>
  </si>
  <si>
    <t xml:space="preserve">VD00309</t>
  </si>
  <si>
    <t xml:space="preserve">VD01105</t>
  </si>
  <si>
    <t xml:space="preserve">VD00838</t>
  </si>
  <si>
    <t xml:space="preserve">VD01908</t>
  </si>
  <si>
    <t xml:space="preserve">VD01845</t>
  </si>
  <si>
    <t xml:space="preserve">VD00486</t>
  </si>
  <si>
    <t xml:space="preserve">VD01534</t>
  </si>
  <si>
    <t xml:space="preserve">VD02130</t>
  </si>
  <si>
    <t xml:space="preserve">VD00662</t>
  </si>
  <si>
    <t xml:space="preserve">VD01402</t>
  </si>
  <si>
    <t xml:space="preserve">VD00771</t>
  </si>
  <si>
    <t xml:space="preserve">VD01300</t>
  </si>
  <si>
    <t xml:space="preserve">VD00205</t>
  </si>
  <si>
    <t xml:space="preserve">VD00701</t>
  </si>
  <si>
    <t xml:space="preserve">VD00706</t>
  </si>
  <si>
    <t xml:space="preserve">VD00165</t>
  </si>
  <si>
    <t xml:space="preserve">VD01365</t>
  </si>
  <si>
    <t xml:space="preserve">VD00430</t>
  </si>
  <si>
    <t xml:space="preserve">VD01454</t>
  </si>
  <si>
    <t xml:space="preserve">VD00900</t>
  </si>
  <si>
    <t xml:space="preserve">VD01004</t>
  </si>
  <si>
    <t xml:space="preserve">VD00833</t>
  </si>
  <si>
    <t xml:space="preserve">VD01836</t>
  </si>
  <si>
    <t xml:space="preserve">VD00499</t>
  </si>
  <si>
    <t xml:space="preserve">VD01367</t>
  </si>
  <si>
    <t xml:space="preserve">VD01702</t>
  </si>
  <si>
    <t xml:space="preserve">VD00263</t>
  </si>
  <si>
    <t xml:space="preserve">VD01030</t>
  </si>
  <si>
    <t xml:space="preserve">VD00448</t>
  </si>
  <si>
    <t xml:space="preserve">VD00398</t>
  </si>
  <si>
    <t xml:space="preserve">VD01515</t>
  </si>
  <si>
    <t xml:space="preserve">VD01334</t>
  </si>
  <si>
    <t xml:space="preserve">VD00311</t>
  </si>
  <si>
    <t xml:space="preserve">VD01255</t>
  </si>
  <si>
    <t xml:space="preserve">VD00479</t>
  </si>
  <si>
    <t xml:space="preserve">VD01219</t>
  </si>
  <si>
    <t xml:space="preserve">VD01902</t>
  </si>
  <si>
    <t xml:space="preserve">VD00296</t>
  </si>
  <si>
    <t xml:space="preserve">VD00528</t>
  </si>
  <si>
    <t xml:space="preserve">VD00230</t>
  </si>
  <si>
    <t xml:space="preserve">VD01804</t>
  </si>
  <si>
    <t xml:space="preserve">VD00886</t>
  </si>
  <si>
    <t xml:space="preserve">VD00790</t>
  </si>
  <si>
    <t xml:space="preserve">VD01717</t>
  </si>
  <si>
    <t xml:space="preserve">VD01666</t>
  </si>
  <si>
    <t xml:space="preserve">VD00059</t>
  </si>
  <si>
    <t xml:space="preserve">VD01103</t>
  </si>
  <si>
    <t xml:space="preserve">VD00495</t>
  </si>
  <si>
    <t xml:space="preserve">VD00807</t>
  </si>
  <si>
    <t xml:space="preserve">VD00057</t>
  </si>
  <si>
    <t xml:space="preserve">VD00515</t>
  </si>
  <si>
    <t xml:space="preserve">VD00633</t>
  </si>
  <si>
    <t xml:space="preserve">VD00282</t>
  </si>
  <si>
    <t xml:space="preserve">VD00861</t>
  </si>
  <si>
    <t xml:space="preserve">VD00895</t>
  </si>
  <si>
    <t xml:space="preserve">VD00199</t>
  </si>
  <si>
    <t xml:space="preserve">VD00653</t>
  </si>
  <si>
    <t xml:space="preserve">VD00985</t>
  </si>
  <si>
    <t xml:space="preserve">VD01732</t>
  </si>
  <si>
    <t xml:space="preserve">VD00577</t>
  </si>
  <si>
    <t xml:space="preserve">VD00172</t>
  </si>
  <si>
    <t xml:space="preserve">VD01067</t>
  </si>
  <si>
    <t xml:space="preserve">VD00204</t>
  </si>
  <si>
    <t xml:space="preserve">VD01586</t>
  </si>
  <si>
    <t xml:space="preserve">VD00171</t>
  </si>
  <si>
    <t xml:space="preserve">VD01660</t>
  </si>
  <si>
    <t xml:space="preserve">VD00315</t>
  </si>
  <si>
    <t xml:space="preserve">VD01616</t>
  </si>
  <si>
    <t xml:space="preserve">VD01508</t>
  </si>
  <si>
    <t xml:space="preserve">VD01233</t>
  </si>
  <si>
    <t xml:space="preserve">VD00632</t>
  </si>
  <si>
    <t xml:space="preserve">VD01351</t>
  </si>
  <si>
    <t xml:space="preserve">VD00075</t>
  </si>
  <si>
    <t xml:space="preserve">VD00567</t>
  </si>
  <si>
    <t xml:space="preserve">VD00234</t>
  </si>
  <si>
    <t xml:space="preserve">VD01848</t>
  </si>
  <si>
    <t xml:space="preserve">VD01847</t>
  </si>
  <si>
    <t xml:space="preserve">VD01481</t>
  </si>
  <si>
    <t xml:space="preserve">VD00998</t>
  </si>
  <si>
    <t xml:space="preserve">VD00715</t>
  </si>
  <si>
    <t xml:space="preserve">VD00276</t>
  </si>
  <si>
    <t xml:space="preserve">VD01297</t>
  </si>
  <si>
    <t xml:space="preserve">VD00292</t>
  </si>
  <si>
    <t xml:space="preserve">VD02013</t>
  </si>
  <si>
    <t xml:space="preserve">VD00460</t>
  </si>
  <si>
    <t xml:space="preserve">VD00858</t>
  </si>
  <si>
    <t xml:space="preserve">VD00333</t>
  </si>
  <si>
    <t xml:space="preserve">VD00716</t>
  </si>
  <si>
    <t xml:space="preserve">VD00189</t>
  </si>
  <si>
    <t xml:space="preserve">VD01221</t>
  </si>
  <si>
    <t xml:space="preserve">VD01472</t>
  </si>
  <si>
    <t xml:space="preserve">VD00442</t>
  </si>
  <si>
    <t xml:space="preserve">VD01373</t>
  </si>
  <si>
    <t xml:space="preserve">VD00481</t>
  </si>
  <si>
    <t xml:space="preserve">VD01674</t>
  </si>
  <si>
    <t xml:space="preserve">VD00856</t>
  </si>
  <si>
    <t xml:space="preserve">VD01203</t>
  </si>
  <si>
    <t xml:space="preserve">VD00611</t>
  </si>
  <si>
    <t xml:space="preserve">VD01279</t>
  </si>
  <si>
    <t xml:space="preserve">VD01524</t>
  </si>
  <si>
    <t xml:space="preserve">VD01855</t>
  </si>
  <si>
    <t xml:space="preserve">VD01536</t>
  </si>
  <si>
    <t xml:space="preserve">VD00443</t>
  </si>
  <si>
    <t xml:space="preserve">VD01190</t>
  </si>
  <si>
    <t xml:space="preserve">VD01097</t>
  </si>
  <si>
    <t xml:space="preserve">VD01301</t>
  </si>
  <si>
    <t xml:space="preserve">VD00217</t>
  </si>
  <si>
    <t xml:space="preserve">VD02010</t>
  </si>
  <si>
    <t xml:space="preserve">VD00118</t>
  </si>
  <si>
    <t xml:space="preserve">VD00846</t>
  </si>
  <si>
    <t xml:space="preserve">VD01000</t>
  </si>
  <si>
    <t xml:space="preserve">VD00416</t>
  </si>
  <si>
    <t xml:space="preserve">VD01260</t>
  </si>
  <si>
    <t xml:space="preserve">VD00490</t>
  </si>
  <si>
    <t xml:space="preserve">VD02066</t>
  </si>
  <si>
    <t xml:space="preserve">VD00032</t>
  </si>
  <si>
    <t xml:space="preserve">VD00920</t>
  </si>
  <si>
    <t xml:space="preserve">VD00317</t>
  </si>
  <si>
    <t xml:space="preserve">VD00107</t>
  </si>
  <si>
    <t xml:space="preserve">VD00058</t>
  </si>
  <si>
    <t xml:space="preserve">VD00849</t>
  </si>
  <si>
    <t xml:space="preserve">VD01501</t>
  </si>
  <si>
    <t xml:space="preserve">VD00733</t>
  </si>
  <si>
    <t xml:space="preserve">VD01066</t>
  </si>
  <si>
    <t xml:space="preserve">VD00700</t>
  </si>
  <si>
    <t xml:space="preserve">VD00581</t>
  </si>
  <si>
    <t xml:space="preserve">VD01039</t>
  </si>
  <si>
    <t xml:space="preserve">VD00006</t>
  </si>
  <si>
    <t xml:space="preserve">VD00225</t>
  </si>
  <si>
    <t xml:space="preserve">VD01237</t>
  </si>
  <si>
    <t xml:space="preserve">VD00452</t>
  </si>
  <si>
    <t xml:space="preserve">VD00651</t>
  </si>
  <si>
    <t xml:space="preserve">VD00593</t>
  </si>
  <si>
    <t xml:space="preserve">VD01480</t>
  </si>
  <si>
    <t xml:space="preserve">VD00385</t>
  </si>
  <si>
    <t xml:space="preserve">VD00128</t>
  </si>
  <si>
    <t xml:space="preserve">VD01839</t>
  </si>
  <si>
    <t xml:space="preserve">VD01063</t>
  </si>
  <si>
    <t xml:space="preserve">VD01125</t>
  </si>
  <si>
    <t xml:space="preserve">VD00821</t>
  </si>
  <si>
    <t xml:space="preserve">VD01766</t>
  </si>
  <si>
    <t xml:space="preserve">VD01671</t>
  </si>
  <si>
    <t xml:space="preserve">VD01330</t>
  </si>
  <si>
    <t xml:space="preserve">VD00993</t>
  </si>
  <si>
    <t xml:space="preserve">VD01737</t>
  </si>
  <si>
    <t xml:space="preserve">VD00383</t>
  </si>
  <si>
    <t xml:space="preserve">VD00614</t>
  </si>
  <si>
    <t xml:space="preserve">VD02069</t>
  </si>
  <si>
    <t xml:space="preserve">VD00745</t>
  </si>
  <si>
    <t xml:space="preserve">VD01434</t>
  </si>
  <si>
    <t xml:space="preserve">VD01453</t>
  </si>
  <si>
    <t xml:space="preserve">VD01245</t>
  </si>
  <si>
    <t xml:space="preserve">VD00572</t>
  </si>
  <si>
    <t xml:space="preserve">VD00620</t>
  </si>
  <si>
    <t xml:space="preserve">VD01892</t>
  </si>
  <si>
    <t xml:space="preserve">VD01938</t>
  </si>
  <si>
    <t xml:space="preserve">VD01166</t>
  </si>
  <si>
    <t xml:space="preserve">VD01319</t>
  </si>
  <si>
    <t xml:space="preserve">VD00455</t>
  </si>
  <si>
    <t xml:space="preserve">VD01837</t>
  </si>
  <si>
    <t xml:space="preserve">VD01121</t>
  </si>
  <si>
    <t xml:space="preserve">VD01168</t>
  </si>
  <si>
    <t xml:space="preserve">VD00229</t>
  </si>
  <si>
    <t xml:space="preserve">VD01864</t>
  </si>
  <si>
    <t xml:space="preserve">VD00908</t>
  </si>
  <si>
    <t xml:space="preserve">VD01968</t>
  </si>
  <si>
    <t xml:space="preserve">VD00395</t>
  </si>
  <si>
    <t xml:space="preserve">VD00468</t>
  </si>
  <si>
    <t xml:space="preserve">VD00520</t>
  </si>
  <si>
    <t xml:space="preserve">VD00111</t>
  </si>
  <si>
    <t xml:space="preserve">VD01323</t>
  </si>
  <si>
    <t xml:space="preserve">VD00287</t>
  </si>
  <si>
    <t xml:space="preserve">VD00776</t>
  </si>
  <si>
    <t xml:space="preserve">VD00730</t>
  </si>
  <si>
    <t xml:space="preserve">VD00407</t>
  </si>
  <si>
    <t xml:space="preserve">VD01726</t>
  </si>
  <si>
    <t xml:space="preserve">VD00134</t>
  </si>
  <si>
    <t xml:space="preserve">VD00563</t>
  </si>
  <si>
    <t xml:space="preserve">VD00710</t>
  </si>
  <si>
    <t xml:space="preserve">VD00574</t>
  </si>
  <si>
    <t xml:space="preserve">VD01280</t>
  </si>
  <si>
    <t xml:space="preserve">VD02061</t>
  </si>
  <si>
    <t xml:space="preserve">VD00278</t>
  </si>
  <si>
    <t xml:space="preserve">VD00656</t>
  </si>
  <si>
    <t xml:space="preserve">VD00903</t>
  </si>
  <si>
    <t xml:space="preserve">VD01487</t>
  </si>
  <si>
    <t xml:space="preserve">VD01018</t>
  </si>
  <si>
    <t xml:space="preserve">VD01720</t>
  </si>
  <si>
    <t xml:space="preserve">VD00722</t>
  </si>
  <si>
    <t xml:space="preserve">VD00923</t>
  </si>
  <si>
    <t xml:space="preserve">VD01073</t>
  </si>
  <si>
    <t xml:space="preserve">VD02081</t>
  </si>
  <si>
    <t xml:space="preserve">VD02119</t>
  </si>
  <si>
    <t xml:space="preserve">VD00835</t>
  </si>
  <si>
    <t xml:space="preserve">VD01885</t>
  </si>
  <si>
    <t xml:space="preserve">VD00953</t>
  </si>
  <si>
    <t xml:space="preserve">VD00537</t>
  </si>
  <si>
    <t xml:space="preserve">VD01670</t>
  </si>
  <si>
    <t xml:space="preserve">VD00522</t>
  </si>
  <si>
    <t xml:space="preserve">VD00240</t>
  </si>
  <si>
    <t xml:space="preserve">VD00646</t>
  </si>
  <si>
    <t xml:space="preserve">VD00852</t>
  </si>
  <si>
    <t xml:space="preserve">VD00538</t>
  </si>
  <si>
    <t xml:space="preserve">VD01751</t>
  </si>
  <si>
    <t xml:space="preserve">VD01269</t>
  </si>
  <si>
    <t xml:space="preserve">VD00964</t>
  </si>
  <si>
    <t xml:space="preserve">VD01226</t>
  </si>
  <si>
    <t xml:space="preserve">VD01529</t>
  </si>
  <si>
    <t xml:space="preserve">VD01071</t>
  </si>
  <si>
    <t xml:space="preserve">VD01542</t>
  </si>
  <si>
    <t xml:space="preserve">VD01800</t>
  </si>
  <si>
    <t xml:space="preserve">VD02174</t>
  </si>
  <si>
    <t xml:space="preserve">VD01354</t>
  </si>
  <si>
    <t xml:space="preserve">VD01089</t>
  </si>
  <si>
    <t xml:space="preserve">VD01284</t>
  </si>
  <si>
    <t xml:space="preserve">VD01050</t>
  </si>
  <si>
    <t xml:space="preserve">VD00474</t>
  </si>
  <si>
    <t xml:space="preserve">VD01603</t>
  </si>
  <si>
    <t xml:space="preserve">VD01159</t>
  </si>
  <si>
    <t xml:space="preserve">VD01042</t>
  </si>
  <si>
    <t xml:space="preserve">VD01436</t>
  </si>
  <si>
    <t xml:space="preserve">VD01418</t>
  </si>
  <si>
    <t xml:space="preserve">VD00543</t>
  </si>
  <si>
    <t xml:space="preserve">VD00306</t>
  </si>
  <si>
    <t xml:space="preserve">VD00054</t>
  </si>
  <si>
    <t xml:space="preserve">VD01151</t>
  </si>
  <si>
    <t xml:space="preserve">VD00892</t>
  </si>
  <si>
    <t xml:space="preserve">VD00219</t>
  </si>
  <si>
    <t xml:space="preserve">VD00394</t>
  </si>
  <si>
    <t xml:space="preserve">VD00624</t>
  </si>
  <si>
    <t xml:space="preserve">VD01285</t>
  </si>
  <si>
    <t xml:space="preserve">VD01522</t>
  </si>
  <si>
    <t xml:space="preserve">VD01544</t>
  </si>
  <si>
    <t xml:space="preserve">VD01744</t>
  </si>
  <si>
    <t xml:space="preserve">VD01381</t>
  </si>
  <si>
    <t xml:space="preserve">VD02015</t>
  </si>
  <si>
    <t xml:space="preserve">VD01964</t>
  </si>
  <si>
    <t xml:space="preserve">VD01391</t>
  </si>
  <si>
    <t xml:space="preserve">VD01048</t>
  </si>
  <si>
    <t xml:space="preserve">VD01969</t>
  </si>
  <si>
    <t xml:space="preserve">VD00094</t>
  </si>
  <si>
    <t xml:space="preserve">VD01412</t>
  </si>
  <si>
    <t xml:space="preserve">VD00669</t>
  </si>
  <si>
    <t xml:space="preserve">VD02091</t>
  </si>
  <si>
    <t xml:space="preserve">VD00824</t>
  </si>
  <si>
    <t xml:space="preserve">VD00246</t>
  </si>
  <si>
    <t xml:space="preserve">VD01834</t>
  </si>
  <si>
    <t xml:space="preserve">VD01393</t>
  </si>
  <si>
    <t xml:space="preserve">VD00842</t>
  </si>
  <si>
    <t xml:space="preserve">VD00707</t>
  </si>
  <si>
    <t xml:space="preserve">VD01741</t>
  </si>
  <si>
    <t xml:space="preserve">VD01911</t>
  </si>
  <si>
    <t xml:space="preserve">VD00787</t>
  </si>
  <si>
    <t xml:space="preserve">VD01709</t>
  </si>
  <si>
    <t xml:space="preserve">VD02137</t>
  </si>
  <si>
    <t xml:space="preserve">VD00465</t>
  </si>
  <si>
    <t xml:space="preserve">VD00639</t>
  </si>
  <si>
    <t xml:space="preserve">VD00612</t>
  </si>
  <si>
    <t xml:space="preserve">VD00798</t>
  </si>
  <si>
    <t xml:space="preserve">VD00423</t>
  </si>
  <si>
    <t xml:space="preserve">VD00723</t>
  </si>
  <si>
    <t xml:space="preserve">VD00606</t>
  </si>
  <si>
    <t xml:space="preserve">VD01811</t>
  </si>
  <si>
    <t xml:space="preserve">VD01231</t>
  </si>
  <si>
    <t xml:space="preserve">VD00314</t>
  </si>
  <si>
    <t xml:space="preserve">VD01743</t>
  </si>
  <si>
    <t xml:space="preserve">VD01244</t>
  </si>
  <si>
    <t xml:space="preserve">VD00809</t>
  </si>
  <si>
    <t xml:space="preserve">VD00028</t>
  </si>
  <si>
    <t xml:space="preserve">VD02148</t>
  </si>
  <si>
    <t xml:space="preserve">VD00253</t>
  </si>
  <si>
    <t xml:space="preserve">VD00488</t>
  </si>
  <si>
    <t xml:space="preserve">VD01962</t>
  </si>
  <si>
    <t xml:space="preserve">VD02048</t>
  </si>
  <si>
    <t xml:space="preserve">VD01963</t>
  </si>
  <si>
    <t xml:space="preserve">VD02102</t>
  </si>
  <si>
    <t xml:space="preserve">VD01180</t>
  </si>
  <si>
    <t xml:space="preserve">VD01223</t>
  </si>
  <si>
    <t xml:space="preserve">VD00173</t>
  </si>
  <si>
    <t xml:space="preserve">VD02054</t>
  </si>
  <si>
    <t xml:space="preserve">VD00175</t>
  </si>
  <si>
    <t xml:space="preserve">VD00008</t>
  </si>
  <si>
    <t xml:space="preserve">VD00594</t>
  </si>
  <si>
    <t xml:space="preserve">VD01116</t>
  </si>
  <si>
    <t xml:space="preserve">VD02072</t>
  </si>
  <si>
    <t xml:space="preserve">VD00024</t>
  </si>
  <si>
    <t xml:space="preserve">VD01528</t>
  </si>
  <si>
    <t xml:space="preserve">VD00929</t>
  </si>
  <si>
    <t xml:space="preserve">VD01817</t>
  </si>
  <si>
    <t xml:space="preserve">VD00068</t>
  </si>
  <si>
    <t xml:space="preserve">VD00793</t>
  </si>
  <si>
    <t xml:space="preserve">VD01020</t>
  </si>
  <si>
    <t xml:space="preserve">VD00536</t>
  </si>
  <si>
    <t xml:space="preserve">VD00622</t>
  </si>
  <si>
    <t xml:space="preserve">VD01083</t>
  </si>
  <si>
    <t xml:space="preserve">VD00902</t>
  </si>
  <si>
    <t xml:space="preserve">VD00497</t>
  </si>
  <si>
    <t xml:space="preserve">VD01875</t>
  </si>
  <si>
    <t xml:space="preserve">VD02157</t>
  </si>
  <si>
    <t xml:space="preserve">VD00014</t>
  </si>
  <si>
    <t xml:space="preserve">VD00005</t>
  </si>
  <si>
    <t xml:space="preserve">VD00049</t>
  </si>
  <si>
    <t xml:space="preserve">VD02114</t>
  </si>
  <si>
    <t xml:space="preserve">VD00851</t>
  </si>
  <si>
    <t xml:space="preserve">VD01477</t>
  </si>
  <si>
    <t xml:space="preserve">VD01774</t>
  </si>
  <si>
    <t xml:space="preserve">VD01405</t>
  </si>
  <si>
    <t xml:space="preserve">VD00995</t>
  </si>
  <si>
    <t xml:space="preserve">VD00589</t>
  </si>
  <si>
    <t xml:space="preserve">VD00052</t>
  </si>
  <si>
    <t xml:space="preserve">VD00424</t>
  </si>
  <si>
    <t xml:space="preserve">VD02136</t>
  </si>
  <si>
    <t xml:space="preserve">VD01246</t>
  </si>
  <si>
    <t xml:space="preserve">VD02070</t>
  </si>
  <si>
    <t xml:space="preserve">VD00813</t>
  </si>
  <si>
    <t xml:space="preserve">VD00734</t>
  </si>
  <si>
    <t xml:space="preserve">VD00944</t>
  </si>
  <si>
    <t xml:space="preserve">VD00477</t>
  </si>
  <si>
    <t xml:space="preserve">VD01716</t>
  </si>
  <si>
    <t xml:space="preserve">VD01329</t>
  </si>
  <si>
    <t xml:space="preserve">VD01752</t>
  </si>
  <si>
    <t xml:space="preserve">VD00686</t>
  </si>
  <si>
    <t xml:space="preserve">VD00967</t>
  </si>
  <si>
    <t xml:space="preserve">VD00438</t>
  </si>
  <si>
    <t xml:space="preserve">VD02003</t>
  </si>
  <si>
    <t xml:space="preserve">VD00750</t>
  </si>
  <si>
    <t xml:space="preserve">VD02038</t>
  </si>
  <si>
    <t xml:space="preserve">VD01901</t>
  </si>
  <si>
    <t xml:space="preserve">VD02083</t>
  </si>
  <si>
    <t xml:space="preserve">VD00931</t>
  </si>
  <si>
    <t xml:space="preserve">VD00447</t>
  </si>
  <si>
    <t xml:space="preserve">VD00989</t>
  </si>
  <si>
    <t xml:space="preserve">VD00888</t>
  </si>
  <si>
    <t xml:space="preserve">VD00876</t>
  </si>
  <si>
    <t xml:space="preserve">VD01222</t>
  </si>
  <si>
    <t xml:space="preserve">VD00783</t>
  </si>
  <si>
    <t xml:space="preserve">VD00069</t>
  </si>
  <si>
    <t xml:space="preserve">VD00746</t>
  </si>
  <si>
    <t xml:space="preserve">VD00264</t>
  </si>
  <si>
    <t xml:space="preserve">VD00097</t>
  </si>
  <si>
    <t xml:space="preserve">VD00679</t>
  </si>
  <si>
    <t xml:space="preserve">VD01886</t>
  </si>
  <si>
    <t xml:space="preserve">VD01899</t>
  </si>
  <si>
    <t xml:space="preserve">VD00396</t>
  </si>
  <si>
    <t xml:space="preserve">VD01041</t>
  </si>
  <si>
    <t xml:space="preserve">VD01703</t>
  </si>
  <si>
    <t xml:space="preserve">VD01550</t>
  </si>
  <si>
    <t xml:space="preserve">VD01927</t>
  </si>
  <si>
    <t xml:space="preserve">VD01785</t>
  </si>
  <si>
    <t xml:space="preserve">VD02060</t>
  </si>
  <si>
    <t xml:space="preserve">VD00017</t>
  </si>
  <si>
    <t xml:space="preserve">VD00010</t>
  </si>
  <si>
    <t xml:space="preserve">VD01748</t>
  </si>
  <si>
    <t xml:space="preserve">VD01461</t>
  </si>
  <si>
    <t xml:space="preserve">VD01058</t>
  </si>
  <si>
    <t xml:space="preserve">VD01455</t>
  </si>
  <si>
    <t xml:space="preserve">VD00512</t>
  </si>
  <si>
    <t xml:space="preserve">VD00288</t>
  </si>
  <si>
    <t xml:space="preserve">VD01396</t>
  </si>
  <si>
    <t xml:space="preserve">VD02040</t>
  </si>
  <si>
    <t xml:space="preserve">VD00086</t>
  </si>
  <si>
    <t xml:space="preserve">VD00399</t>
  </si>
  <si>
    <t xml:space="preserve">VD02129</t>
  </si>
  <si>
    <t xml:space="preserve">VD00428</t>
  </si>
  <si>
    <t xml:space="preserve">VD01541</t>
  </si>
  <si>
    <t xml:space="preserve">VD01335</t>
  </si>
  <si>
    <t xml:space="preserve">VD01585</t>
  </si>
  <si>
    <t xml:space="preserve">VD01966</t>
  </si>
  <si>
    <t xml:space="preserve">VD00062</t>
  </si>
  <si>
    <t xml:space="preserve">VD00393</t>
  </si>
  <si>
    <t xml:space="preserve">VD00099</t>
  </si>
  <si>
    <t xml:space="preserve">VD01109</t>
  </si>
  <si>
    <t xml:space="preserve">VD00883</t>
  </si>
  <si>
    <t xml:space="preserve">VD01865</t>
  </si>
  <si>
    <t xml:space="preserve">VD00308</t>
  </si>
  <si>
    <t xml:space="preserve">VD00401</t>
  </si>
  <si>
    <t xml:space="preserve">VD01762</t>
  </si>
  <si>
    <t xml:space="preserve">VD00959</t>
  </si>
  <si>
    <t xml:space="preserve">VD01178</t>
  </si>
  <si>
    <t xml:space="preserve">VD00837</t>
  </si>
  <si>
    <t xml:space="preserve">VD01896</t>
  </si>
  <si>
    <t xml:space="preserve">VD01942</t>
  </si>
  <si>
    <t xml:space="preserve">VD00358</t>
  </si>
  <si>
    <t xml:space="preserve">VD00696</t>
  </si>
  <si>
    <t xml:space="preserve">VD00476</t>
  </si>
  <si>
    <t xml:space="preserve">VD00151</t>
  </si>
  <si>
    <t xml:space="preserve">VD01369</t>
  </si>
  <si>
    <t xml:space="preserve">VD02033</t>
  </si>
  <si>
    <t xml:space="preserve">VD00085</t>
  </si>
  <si>
    <t xml:space="preserve">VD01333</t>
  </si>
  <si>
    <t xml:space="preserve">VD01828</t>
  </si>
  <si>
    <t xml:space="preserve">VD01747</t>
  </si>
  <si>
    <t xml:space="preserve">VD00011</t>
  </si>
  <si>
    <t xml:space="preserve">VD02042</t>
  </si>
  <si>
    <t xml:space="preserve">VD01053</t>
  </si>
  <si>
    <t xml:space="preserve">VD01806</t>
  </si>
  <si>
    <t xml:space="preserve">VD02101</t>
  </si>
  <si>
    <t xml:space="preserve">VD01261</t>
  </si>
  <si>
    <t xml:space="preserve">VD01734</t>
  </si>
  <si>
    <t xml:space="preserve">VD00871</t>
  </si>
  <si>
    <t xml:space="preserve">VD02160</t>
  </si>
  <si>
    <t xml:space="preserve">VD01123</t>
  </si>
  <si>
    <t xml:space="preserve">VD00192</t>
  </si>
  <si>
    <t xml:space="preserve">VD01609</t>
  </si>
  <si>
    <t xml:space="preserve">VD01238</t>
  </si>
  <si>
    <t xml:space="preserve">VD01728</t>
  </si>
  <si>
    <t xml:space="preserve">VD01357</t>
  </si>
  <si>
    <t xml:space="preserve">VD00265</t>
  </si>
  <si>
    <t xml:space="preserve">VD01397</t>
  </si>
  <si>
    <t xml:space="preserve">VD01007</t>
  </si>
  <si>
    <t xml:space="preserve">VD01056</t>
  </si>
  <si>
    <t xml:space="preserve">VD01046</t>
  </si>
  <si>
    <t xml:space="preserve">VD00266</t>
  </si>
  <si>
    <t xml:space="preserve">VD00365</t>
  </si>
  <si>
    <t xml:space="preserve">VD01924</t>
  </si>
  <si>
    <t xml:space="preserve">VD02087</t>
  </si>
  <si>
    <t xml:space="preserve">VD01649</t>
  </si>
  <si>
    <t xml:space="preserve">VD01626</t>
  </si>
  <si>
    <t xml:space="preserve">VD00695</t>
  </si>
  <si>
    <t xml:space="preserve">VD00854</t>
  </si>
  <si>
    <t xml:space="preserve">VD01704</t>
  </si>
  <si>
    <t xml:space="preserve">VD02121</t>
  </si>
  <si>
    <t xml:space="preserve">VD02089</t>
  </si>
  <si>
    <t xml:space="preserve">VD02155</t>
  </si>
  <si>
    <t xml:space="preserve">VD01549</t>
  </si>
  <si>
    <t xml:space="preserve">VD01150</t>
  </si>
  <si>
    <t xml:space="preserve">VD01818</t>
  </si>
  <si>
    <t xml:space="preserve">VD01421</t>
  </si>
  <si>
    <t xml:space="preserve">VD00083</t>
  </si>
  <si>
    <t xml:space="preserve">VD01128</t>
  </si>
  <si>
    <t xml:space="preserve">VD00254</t>
  </si>
  <si>
    <t xml:space="preserve">VD00958</t>
  </si>
  <si>
    <t xml:space="preserve">VD01274</t>
  </si>
  <si>
    <t xml:space="preserve">VD01600</t>
  </si>
  <si>
    <t xml:space="preserve">VD00506</t>
  </si>
  <si>
    <t xml:space="preserve">VD00295</t>
  </si>
  <si>
    <t xml:space="preserve">VD00375</t>
  </si>
  <si>
    <t xml:space="preserve">VD02029</t>
  </si>
  <si>
    <t xml:space="preserve">VD00712</t>
  </si>
  <si>
    <t xml:space="preserve">VD01442</t>
  </si>
  <si>
    <t xml:space="preserve">VD02133</t>
  </si>
  <si>
    <t xml:space="preserve">VD01197</t>
  </si>
  <si>
    <t xml:space="preserve">VD00030</t>
  </si>
  <si>
    <t xml:space="preserve">VD00946</t>
  </si>
  <si>
    <t xml:space="preserve">VD00121</t>
  </si>
  <si>
    <t xml:space="preserve">VD01629</t>
  </si>
  <si>
    <t xml:space="preserve">VD01239</t>
  </si>
  <si>
    <t xml:space="preserve">VD00082</t>
  </si>
  <si>
    <t xml:space="preserve">VD00542</t>
  </si>
  <si>
    <t xml:space="preserve">VD01678</t>
  </si>
  <si>
    <t xml:space="preserve">VD00103</t>
  </si>
  <si>
    <t xml:space="preserve">VD00666</t>
  </si>
  <si>
    <t xml:space="preserve">VD00321</t>
  </si>
  <si>
    <t xml:space="preserve">VD00560</t>
  </si>
  <si>
    <t xml:space="preserve">VD01101</t>
  </si>
  <si>
    <t xml:space="preserve">VD01824</t>
  </si>
  <si>
    <t xml:space="preserve">VD00426</t>
  </si>
  <si>
    <t xml:space="preserve">VD01944</t>
  </si>
  <si>
    <t xml:space="preserve">VD01306</t>
  </si>
  <si>
    <t xml:space="preserve">VD01495</t>
  </si>
  <si>
    <t xml:space="preserve">VD01512</t>
  </si>
  <si>
    <t xml:space="preserve">VD00571</t>
  </si>
  <si>
    <t xml:space="preserve">VD01975</t>
  </si>
  <si>
    <t xml:space="preserve">VD01861</t>
  </si>
  <si>
    <t xml:space="preserve">VD01510</t>
  </si>
  <si>
    <t xml:space="preserve">VD00936</t>
  </si>
  <si>
    <t xml:space="preserve">VD00941</t>
  </si>
  <si>
    <t xml:space="preserve">VD00573</t>
  </si>
  <si>
    <t xml:space="preserve">VD01118</t>
  </si>
  <si>
    <t xml:space="preserve">VD01562</t>
  </si>
  <si>
    <t xml:space="preserve">VD00357</t>
  </si>
  <si>
    <t xml:space="preserve">VD01705</t>
  </si>
  <si>
    <t xml:space="preserve">VD01147</t>
  </si>
  <si>
    <t xml:space="preserve">VD02000</t>
  </si>
  <si>
    <t xml:space="preserve">VD01632</t>
  </si>
  <si>
    <t xml:space="preserve">VD01929</t>
  </si>
  <si>
    <t xml:space="preserve">VD01374</t>
  </si>
  <si>
    <t xml:space="preserve">VD02098</t>
  </si>
  <si>
    <t xml:space="preserve">VD00877</t>
  </si>
  <si>
    <t xml:space="preserve">VD01581</t>
  </si>
  <si>
    <t xml:space="preserve">VD01833</t>
  </si>
  <si>
    <t xml:space="preserve">VD00968</t>
  </si>
  <si>
    <t xml:space="preserve">VD01808</t>
  </si>
  <si>
    <t xml:space="preserve">VD02135</t>
  </si>
  <si>
    <t xml:space="preserve">VD01798</t>
  </si>
  <si>
    <t xml:space="preserve">VD00196</t>
  </si>
  <si>
    <t xml:space="preserve">VD02071</t>
  </si>
  <si>
    <t xml:space="preserve">VD00087</t>
  </si>
  <si>
    <t xml:space="preserve">VD02009</t>
  </si>
  <si>
    <t xml:space="preserve">VD00463</t>
  </si>
  <si>
    <t xml:space="preserve">VD00952</t>
  </si>
  <si>
    <t xml:space="preserve">VD00866</t>
  </si>
  <si>
    <t xml:space="preserve">VD00491</t>
  </si>
  <si>
    <t xml:space="preserve">VD00498</t>
  </si>
  <si>
    <t xml:space="preserve">VD00521</t>
  </si>
  <si>
    <t xml:space="preserve">VD00817</t>
  </si>
  <si>
    <t xml:space="preserve">VD00021</t>
  </si>
  <si>
    <t xml:space="preserve">VD01110</t>
  </si>
  <si>
    <t xml:space="preserve">VD01161</t>
  </si>
  <si>
    <t xml:space="preserve">VD01211</t>
  </si>
  <si>
    <t xml:space="preserve">VD00629</t>
  </si>
  <si>
    <t xml:space="preserve">VD00286</t>
  </si>
  <si>
    <t xml:space="preserve">VD00233</t>
  </si>
  <si>
    <t xml:space="preserve">VD00658</t>
  </si>
  <si>
    <t xml:space="preserve">VD00661</t>
  </si>
  <si>
    <t xml:space="preserve">VD01556</t>
  </si>
  <si>
    <t xml:space="preserve">VD00483</t>
  </si>
  <si>
    <t xml:space="preserve">VD00123</t>
  </si>
  <si>
    <t xml:space="preserve">VD02082</t>
  </si>
  <si>
    <t xml:space="preserve">VD01348</t>
  </si>
  <si>
    <t xml:space="preserve">VD01645</t>
  </si>
  <si>
    <t xml:space="preserve">VD00684</t>
  </si>
  <si>
    <t xml:space="preserve">VD00299</t>
  </si>
  <si>
    <t xml:space="preserve">VD01870</t>
  </si>
  <si>
    <t xml:space="preserve">VD01873</t>
  </si>
  <si>
    <t xml:space="preserve">VD01831</t>
  </si>
  <si>
    <t xml:space="preserve">VD01526</t>
  </si>
  <si>
    <t xml:space="preserve">VD01111</t>
  </si>
  <si>
    <t xml:space="preserve">VD01547</t>
  </si>
  <si>
    <t xml:space="preserve">VD02005</t>
  </si>
  <si>
    <t xml:space="preserve">VD01134</t>
  </si>
  <si>
    <t xml:space="preserve">VD01613</t>
  </si>
  <si>
    <t xml:space="preserve">VD01898</t>
  </si>
  <si>
    <t xml:space="preserve">VD01624</t>
  </si>
  <si>
    <t xml:space="preserve">VD00950</t>
  </si>
  <si>
    <t xml:space="preserve">VD00249</t>
  </si>
  <si>
    <t xml:space="preserve">VD00960</t>
  </si>
  <si>
    <t xml:space="preserve">VD00467</t>
  </si>
  <si>
    <t xml:space="preserve">VD00132</t>
  </si>
  <si>
    <t xml:space="preserve">VD01275</t>
  </si>
  <si>
    <t xml:space="preserve">VD00170</t>
  </si>
  <si>
    <t xml:space="preserve">VD00040</t>
  </si>
  <si>
    <t xml:space="preserve">VD00864</t>
  </si>
  <si>
    <t xml:space="preserve">VD01677</t>
  </si>
  <si>
    <t xml:space="preserve">VD01830</t>
  </si>
  <si>
    <t xml:space="preserve">VD00682</t>
  </si>
  <si>
    <t xml:space="preserve">VD00120</t>
  </si>
  <si>
    <t xml:space="preserve">VD01945</t>
  </si>
  <si>
    <t xml:space="preserve">VD01934</t>
  </si>
  <si>
    <t xml:space="preserve">VD01575</t>
  </si>
  <si>
    <t xml:space="preserve">VD02020</t>
  </si>
  <si>
    <t xml:space="preserve">VD00198</t>
  </si>
  <si>
    <t xml:space="preserve">VD00164</t>
  </si>
  <si>
    <t xml:space="preserve">VD02149</t>
  </si>
  <si>
    <t xml:space="preserve">VD00743</t>
  </si>
  <si>
    <t xml:space="preserve">VD01003</t>
  </si>
  <si>
    <t xml:space="preserve">VD00829</t>
  </si>
  <si>
    <t xml:space="preserve">VD01182</t>
  </si>
  <si>
    <t xml:space="preserve">VD01019</t>
  </si>
  <si>
    <t xml:space="preserve">VD00690</t>
  </si>
  <si>
    <t xml:space="preserve">VD00127</t>
  </si>
  <si>
    <t xml:space="preserve">VD02158</t>
  </si>
  <si>
    <t xml:space="preserve">VD00184</t>
  </si>
  <si>
    <t xml:space="preserve">VD00410</t>
  </si>
  <si>
    <t xml:space="preserve">VD01937</t>
  </si>
  <si>
    <t xml:space="preserve">VD01485</t>
  </si>
  <si>
    <t xml:space="preserve">VD00578</t>
  </si>
  <si>
    <t xml:space="preserve">VD01464</t>
  </si>
  <si>
    <t xml:space="preserve">VD00759</t>
  </si>
  <si>
    <t xml:space="preserve">VD01711</t>
  </si>
  <si>
    <t xml:space="preserve">VD01228</t>
  </si>
  <si>
    <t xml:space="preserve">VD00599</t>
  </si>
  <si>
    <t xml:space="preserve">VD00845</t>
  </si>
  <si>
    <t xml:space="preserve">VD00973</t>
  </si>
  <si>
    <t xml:space="preserve">VD01981</t>
  </si>
  <si>
    <t xml:space="preserve">VD00359</t>
  </si>
  <si>
    <t xml:space="preserve">VD00879</t>
  </si>
  <si>
    <t xml:space="preserve">VD01361</t>
  </si>
  <si>
    <t xml:space="preserve">VD01135</t>
  </si>
  <si>
    <t xml:space="preserve">VD01489</t>
  </si>
  <si>
    <t xml:space="preserve">VD01087</t>
  </si>
  <si>
    <t xml:space="preserve">VD00685</t>
  </si>
  <si>
    <t xml:space="preserve">VD00451</t>
  </si>
  <si>
    <t xml:space="preserve">VD01682</t>
  </si>
  <si>
    <t xml:space="preserve">VD00527</t>
  </si>
  <si>
    <t xml:space="preserve">VD01825</t>
  </si>
  <si>
    <t xml:space="preserve">VD01332</t>
  </si>
  <si>
    <t xml:space="preserve">VD01655</t>
  </si>
  <si>
    <t xml:space="preserve">VD00326</t>
  </si>
  <si>
    <t xml:space="preserve">VD01152</t>
  </si>
  <si>
    <t xml:space="preserve">VD01115</t>
  </si>
  <si>
    <t xml:space="preserve">VD00749</t>
  </si>
  <si>
    <t xml:space="preserve">VD01005</t>
  </si>
  <si>
    <t xml:space="preserve">VD00119</t>
  </si>
  <si>
    <t xml:space="preserve">VD01856</t>
  </si>
  <si>
    <t xml:space="preserve">VD00346</t>
  </si>
  <si>
    <t xml:space="preserve">VD01742</t>
  </si>
  <si>
    <t xml:space="preserve">VD01537</t>
  </si>
  <si>
    <t xml:space="preserve">VD00979</t>
  </si>
  <si>
    <t xml:space="preserve">VD01979</t>
  </si>
  <si>
    <t xml:space="preserve">VD01435</t>
  </si>
  <si>
    <t xml:space="preserve">VD00741</t>
  </si>
  <si>
    <t xml:space="preserve">VD01213</t>
  </si>
  <si>
    <t xml:space="preserve">VD01518</t>
  </si>
  <si>
    <t xml:space="preserve">VD01194</t>
  </si>
  <si>
    <t xml:space="preserve">VD01098</t>
  </si>
  <si>
    <t xml:space="preserve">VD01858</t>
  </si>
  <si>
    <t xml:space="preserve">VD00444</t>
  </si>
  <si>
    <t xml:space="preserve">VD01972</t>
  </si>
  <si>
    <t xml:space="preserve">VD00300</t>
  </si>
  <si>
    <t xml:space="preserve">VD01075</t>
  </si>
  <si>
    <t xml:space="preserve">VD01201</t>
  </si>
  <si>
    <t xml:space="preserve">VD01144</t>
  </si>
  <si>
    <t xml:space="preserve">VD01229</t>
  </si>
  <si>
    <t xml:space="preserve">VD01133</t>
  </si>
  <si>
    <t xml:space="preserve">VD01270</t>
  </si>
  <si>
    <t xml:space="preserve">VD01132</t>
  </si>
  <si>
    <t xml:space="preserve">VD02041</t>
  </si>
  <si>
    <t xml:space="preserve">VD01422</t>
  </si>
  <si>
    <t xml:space="preserve">VD01127</t>
  </si>
  <si>
    <t xml:space="preserve">VD01906</t>
  </si>
  <si>
    <t xml:space="preserve">VD01184</t>
  </si>
  <si>
    <t xml:space="preserve">VD01290</t>
  </si>
  <si>
    <t xml:space="preserve">VD01589</t>
  </si>
  <si>
    <t xml:space="preserve">VD01810</t>
  </si>
  <si>
    <t xml:space="preserve">VD01493</t>
  </si>
  <si>
    <t xml:space="preserve">VD00974</t>
  </si>
  <si>
    <t xml:space="preserve">VD01287</t>
  </si>
  <si>
    <t xml:space="preserve">VD01394</t>
  </si>
  <si>
    <t xml:space="preserve">VD00785</t>
  </si>
  <si>
    <t xml:space="preserve">VD00139</t>
  </si>
  <si>
    <t xml:space="preserve">VD00335</t>
  </si>
  <si>
    <t xml:space="preserve">VD01879</t>
  </si>
  <si>
    <t xml:space="preserve">VD01974</t>
  </si>
  <si>
    <t xml:space="preserve">VD00350</t>
  </si>
  <si>
    <t xml:space="preserve">VD00831</t>
  </si>
  <si>
    <t xml:space="preserve">VD01364</t>
  </si>
  <si>
    <t xml:space="preserve">VD00525</t>
  </si>
  <si>
    <t xml:space="preserve">VD00815</t>
  </si>
  <si>
    <t xml:space="preserve">VD01750</t>
  </si>
  <si>
    <t xml:space="preserve">VD01490</t>
  </si>
  <si>
    <t xml:space="preserve">VD01457</t>
  </si>
  <si>
    <t xml:space="preserve">VD00473</t>
  </si>
  <si>
    <t xml:space="preserve">VD01259</t>
  </si>
  <si>
    <t xml:space="preserve">VD01318</t>
  </si>
  <si>
    <t xml:space="preserve">VD00905</t>
  </si>
  <si>
    <t xml:space="preserve">VD02104</t>
  </si>
  <si>
    <t xml:space="preserve">VD02039</t>
  </si>
  <si>
    <t xml:space="preserve">VD00601</t>
  </si>
  <si>
    <t xml:space="preserve">VD01692</t>
  </si>
  <si>
    <t xml:space="preserve">VD01068</t>
  </si>
  <si>
    <t xml:space="preserve">VD00035</t>
  </si>
  <si>
    <t xml:space="preserve">VD01387</t>
  </si>
  <si>
    <t xml:space="preserve">VD00316</t>
  </si>
  <si>
    <t xml:space="preserve">VD01459</t>
  </si>
  <si>
    <t xml:space="preserve">VD01573</t>
  </si>
  <si>
    <t xml:space="preserve">VD00954</t>
  </si>
  <si>
    <t xml:space="preserve">VD00273</t>
  </si>
  <si>
    <t xml:space="preserve">VD01561</t>
  </si>
  <si>
    <t xml:space="preserve">VD01777</t>
  </si>
  <si>
    <t xml:space="preserve">VD01272</t>
  </si>
  <si>
    <t xml:space="preserve">VD01509</t>
  </si>
  <si>
    <t xml:space="preserve">VD01385</t>
  </si>
  <si>
    <t xml:space="preserve">VD01580</t>
  </si>
  <si>
    <t xml:space="preserve">VD01276</t>
  </si>
  <si>
    <t xml:space="preserve">VD01076</t>
  </si>
  <si>
    <t xml:space="preserve">VD01498</t>
  </si>
  <si>
    <t xml:space="preserve">VD00356</t>
  </si>
  <si>
    <t xml:space="preserve">VD00101</t>
  </si>
  <si>
    <t xml:space="preserve">VD00590</t>
  </si>
  <si>
    <t xml:space="preserve">VD01113</t>
  </si>
  <si>
    <t xml:space="preserve">VD00751</t>
  </si>
  <si>
    <t xml:space="preserve">VD01299</t>
  </si>
  <si>
    <t xml:space="preserve">VD01312</t>
  </si>
  <si>
    <t xml:space="preserve">VD02120</t>
  </si>
  <si>
    <t xml:space="preserve">VD01479</t>
  </si>
  <si>
    <t xml:space="preserve">VD00523</t>
  </si>
  <si>
    <t xml:space="preserve">VD00891</t>
  </si>
  <si>
    <t xml:space="preserve">VD01997</t>
  </si>
  <si>
    <t xml:space="preserve">VD01476</t>
  </si>
  <si>
    <t xml:space="preserve">VD00671</t>
  </si>
  <si>
    <t xml:space="preserve">VD01215</t>
  </si>
  <si>
    <t xml:space="preserve">VD01256</t>
  </si>
  <si>
    <t xml:space="preserve">VD00093</t>
  </si>
  <si>
    <t xml:space="preserve">VD01156</t>
  </si>
  <si>
    <t xml:space="preserve">VD01355</t>
  </si>
  <si>
    <t xml:space="preserve">VD00231</t>
  </si>
  <si>
    <t xml:space="preserve">VD00608</t>
  </si>
  <si>
    <t xml:space="preserve">VD00874</t>
  </si>
  <si>
    <t xml:space="preserve">VD00862</t>
  </si>
  <si>
    <t xml:space="preserve">VD00539</t>
  </si>
  <si>
    <t xml:space="preserve">VD00206</t>
  </si>
  <si>
    <t xml:space="preserve">VD00692</t>
  </si>
  <si>
    <t xml:space="preserve">VD00693</t>
  </si>
  <si>
    <t xml:space="preserve">VD01091</t>
  </si>
  <si>
    <t xml:space="preserve">VD01554</t>
  </si>
  <si>
    <t xml:space="preserve">VD00390</t>
  </si>
  <si>
    <t xml:space="preserve">VD01429</t>
  </si>
  <si>
    <t xml:space="preserve">VD00193</t>
  </si>
  <si>
    <t xml:space="preserve">VD02052</t>
  </si>
  <si>
    <t xml:space="preserve">VD00045</t>
  </si>
  <si>
    <t xml:space="preserve">VD00252</t>
  </si>
  <si>
    <t xml:space="preserve">VD01639</t>
  </si>
  <si>
    <t xml:space="preserve">VD01826</t>
  </si>
  <si>
    <t xml:space="preserve">VD00179</t>
  </si>
  <si>
    <t xml:space="preserve">VD01376</t>
  </si>
  <si>
    <t xml:space="preserve">VD00135</t>
  </si>
  <si>
    <t xml:space="preserve">VD00372</t>
  </si>
  <si>
    <t xml:space="preserve">VD01718</t>
  </si>
  <si>
    <t xml:space="preserve">VD00272</t>
  </si>
  <si>
    <t xml:space="preserve">VD01471</t>
  </si>
  <si>
    <t xml:space="preserve">VD01189</t>
  </si>
  <si>
    <t xml:space="preserve">VD01175</t>
  </si>
  <si>
    <t xml:space="preserve">VD01220</t>
  </si>
  <si>
    <t xml:space="preserve">VD01307</t>
  </si>
  <si>
    <t xml:space="preserve">VD00182</t>
  </si>
  <si>
    <t xml:space="preserve">VD01754</t>
  </si>
  <si>
    <t xml:space="preserve">VD01978</t>
  </si>
  <si>
    <t xml:space="preserve">VD01676</t>
  </si>
  <si>
    <t xml:space="preserve">VD01313</t>
  </si>
  <si>
    <t xml:space="preserve">VD01117</t>
  </si>
  <si>
    <t xml:space="preserve">VD00875</t>
  </si>
  <si>
    <t xml:space="preserve">VD01891</t>
  </si>
  <si>
    <t xml:space="preserve">VD01551</t>
  </si>
  <si>
    <t xml:space="preserve">VD00381</t>
  </si>
  <si>
    <t xml:space="preserve">VD02004</t>
  </si>
  <si>
    <t xml:space="preserve">VD02008</t>
  </si>
  <si>
    <t xml:space="preserve">VD01928</t>
  </si>
  <si>
    <t xml:space="preserve">VD01094</t>
  </si>
  <si>
    <t xml:space="preserve">VD00561</t>
  </si>
  <si>
    <t xml:space="preserve">VD00800</t>
  </si>
  <si>
    <t xml:space="preserve">VD01913</t>
  </si>
  <si>
    <t xml:space="preserve">VD00281</t>
  </si>
  <si>
    <t xml:space="preserve">VD01322</t>
  </si>
  <si>
    <t xml:space="preserve">VD00018</t>
  </si>
  <si>
    <t xml:space="preserve">VD01392</t>
  </si>
  <si>
    <t xml:space="preserve">VD00131</t>
  </si>
  <si>
    <t xml:space="preserve">VD01001</t>
  </si>
  <si>
    <t xml:space="preserve">VD00655</t>
  </si>
  <si>
    <t xml:space="preserve">VD00237</t>
  </si>
  <si>
    <t xml:space="preserve">VD01423</t>
  </si>
  <si>
    <t xml:space="preserve">VD01527</t>
  </si>
  <si>
    <t xml:space="preserve">VD01014</t>
  </si>
  <si>
    <t xml:space="preserve">VD01776</t>
  </si>
  <si>
    <t xml:space="preserve">VD01452</t>
  </si>
  <si>
    <t xml:space="preserve">VD00084</t>
  </si>
  <si>
    <t xml:space="preserve">VD01386</t>
  </si>
  <si>
    <t xml:space="preserve">VD01304</t>
  </si>
  <si>
    <t xml:space="preserve">VD01047</t>
  </si>
  <si>
    <t xml:space="preserve">VD01946</t>
  </si>
  <si>
    <t xml:space="preserve">VD00937</t>
  </si>
  <si>
    <t xml:space="preserve">VD02031</t>
  </si>
  <si>
    <t xml:space="preserve">VD00492</t>
  </si>
  <si>
    <t xml:space="preserve">VD00044</t>
  </si>
  <si>
    <t xml:space="preserve">VD00818</t>
  </si>
  <si>
    <t xml:space="preserve">VD00110</t>
  </si>
  <si>
    <t xml:space="preserve">VD01437</t>
  </si>
  <si>
    <t xml:space="preserve">VD00531</t>
  </si>
  <si>
    <t xml:space="preserve">VD00732</t>
  </si>
  <si>
    <t xml:space="preserve">VD01196</t>
  </si>
  <si>
    <t xml:space="preserve">VD00526</t>
  </si>
  <si>
    <t xml:space="preserve">VD00600</t>
  </si>
  <si>
    <t xml:space="preserve">VD01336</t>
  </si>
  <si>
    <t xml:space="preserve">VD01863</t>
  </si>
  <si>
    <t xml:space="preserve">VD00293</t>
  </si>
  <si>
    <t xml:space="preserve">VD00604</t>
  </si>
  <si>
    <t xml:space="preserve">VD00828</t>
  </si>
  <si>
    <t xml:space="preserve">VD00148</t>
  </si>
  <si>
    <t xml:space="preserve">VD02152</t>
  </si>
  <si>
    <t xml:space="preserve">VD01555</t>
  </si>
  <si>
    <t xml:space="preserve">VD00992</t>
  </si>
  <si>
    <t xml:space="preserve">VD00406</t>
  </si>
  <si>
    <t xml:space="preserve">VD00126</t>
  </si>
  <si>
    <t xml:space="preserve">VD01305</t>
  </si>
  <si>
    <t xml:space="preserve">VD01959</t>
  </si>
  <si>
    <t xml:space="preserve">VD01854</t>
  </si>
  <si>
    <t xml:space="preserve">VD01346</t>
  </si>
  <si>
    <t xml:space="preserve">VD01317</t>
  </si>
  <si>
    <t xml:space="preserve">VD00978</t>
  </si>
  <si>
    <t xml:space="preserve">VD01419</t>
  </si>
  <si>
    <t xml:space="preserve">VD00475</t>
  </si>
  <si>
    <t xml:space="preserve">VD01912</t>
  </si>
  <si>
    <t xml:space="preserve">VD01733</t>
  </si>
  <si>
    <t xml:space="preserve">VD00626</t>
  </si>
  <si>
    <t xml:space="preserve">VD02080</t>
  </si>
  <si>
    <t xml:space="preserve">VD00421</t>
  </si>
  <si>
    <t xml:space="preserve">VD00932</t>
  </si>
  <si>
    <t xml:space="preserve">VD00220</t>
  </si>
  <si>
    <t xml:space="preserve">VD02067</t>
  </si>
  <si>
    <t xml:space="preserve">VD00004</t>
  </si>
  <si>
    <t xml:space="preserve">VD00144</t>
  </si>
  <si>
    <t xml:space="preserve">VD01343</t>
  </si>
  <si>
    <t xml:space="preserve">VD01195</t>
  </si>
  <si>
    <t xml:space="preserve">VD00997</t>
  </si>
  <si>
    <t xml:space="preserve">VD01350</t>
  </si>
  <si>
    <t xml:space="preserve">VD00095</t>
  </si>
  <si>
    <t xml:space="preserve">VD01212</t>
  </si>
  <si>
    <t xml:space="preserve">VD00063</t>
  </si>
  <si>
    <t xml:space="preserve">VD00437</t>
  </si>
  <si>
    <t xml:space="preserve">VD01164</t>
  </si>
  <si>
    <t xml:space="preserve">VD00551</t>
  </si>
  <si>
    <t xml:space="preserve">VD01533</t>
  </si>
  <si>
    <t xml:space="preserve">VD01224</t>
  </si>
  <si>
    <t xml:space="preserve">VD00147</t>
  </si>
  <si>
    <t xml:space="preserve">VD01462</t>
  </si>
  <si>
    <t xml:space="preserve">VD01612</t>
  </si>
  <si>
    <t xml:space="preserve">VD00853</t>
  </si>
  <si>
    <t xml:space="preserve">VD01860</t>
  </si>
  <si>
    <t xml:space="preserve">VD01793</t>
  </si>
  <si>
    <t xml:space="preserve">VD00191</t>
  </si>
  <si>
    <t xml:space="preserve">VD00576</t>
  </si>
  <si>
    <t xml:space="preserve">VD00384</t>
  </si>
  <si>
    <t xml:space="preserve">VD01853</t>
  </si>
  <si>
    <t xml:space="preserve">VD01560</t>
  </si>
  <si>
    <t xml:space="preserve">VD00025</t>
  </si>
  <si>
    <t xml:space="preserve">VD01815</t>
  </si>
  <si>
    <t xml:space="preserve">VD00329</t>
  </si>
  <si>
    <t xml:space="preserve">VD01398</t>
  </si>
  <si>
    <t xml:space="preserve">VD01795</t>
  </si>
  <si>
    <t xml:space="preserve">VD01027</t>
  </si>
  <si>
    <t xml:space="preserve">VD00647</t>
  </si>
  <si>
    <t xml:space="preserve">VD01881</t>
  </si>
  <si>
    <t xml:space="preserve">VD00469</t>
  </si>
  <si>
    <t xml:space="preserve">VD01755</t>
  </si>
  <si>
    <t xml:space="preserve">VD01059</t>
  </si>
  <si>
    <t xml:space="preserve">VD00529</t>
  </si>
  <si>
    <t xml:space="preserve">VD01668</t>
  </si>
  <si>
    <t xml:space="preserve">VD01950</t>
  </si>
  <si>
    <t xml:space="preserve">VD01086</t>
  </si>
  <si>
    <t xml:space="preserve">VD01738</t>
  </si>
  <si>
    <t xml:space="preserve">VD01791</t>
  </si>
  <si>
    <t xml:space="preserve">VD02151</t>
  </si>
  <si>
    <t xml:space="preserve">VD01984</t>
  </si>
  <si>
    <t xml:space="preserve">VD00674</t>
  </si>
  <si>
    <t xml:space="preserve">VD00911</t>
  </si>
  <si>
    <t xml:space="preserve">VD00736</t>
  </si>
  <si>
    <t xml:space="preserve">VD01444</t>
  </si>
  <si>
    <t xml:space="preserve">VD01025</t>
  </si>
  <si>
    <t xml:space="preserve">VD00889</t>
  </si>
  <si>
    <t xml:space="preserve">VD00493</t>
  </si>
  <si>
    <t xml:space="preserve">VD02059</t>
  </si>
  <si>
    <t xml:space="preserve">VD01954</t>
  </si>
  <si>
    <t xml:space="preserve">VD02180</t>
  </si>
  <si>
    <t xml:space="preserve">VD01664</t>
  </si>
  <si>
    <t xml:space="preserve">VD00640</t>
  </si>
  <si>
    <t xml:space="preserve">VD00466</t>
  </si>
  <si>
    <t xml:space="preserve">VD00554</t>
  </si>
  <si>
    <t xml:space="preserve">VD01680</t>
  </si>
  <si>
    <t xml:space="preserve">VD01140</t>
  </si>
  <si>
    <t xml:space="preserve">VD01788</t>
  </si>
  <si>
    <t xml:space="preserve">VD01523</t>
  </si>
  <si>
    <t xml:space="preserve">VD01409</t>
  </si>
  <si>
    <t xml:space="preserve">VD01266</t>
  </si>
  <si>
    <t xml:space="preserve">VD00884</t>
  </si>
  <si>
    <t xml:space="preserve">VD00255</t>
  </si>
  <si>
    <t xml:space="preserve">VD01957</t>
  </si>
  <si>
    <t xml:space="preserve">VD00744</t>
  </si>
  <si>
    <t xml:space="preserve">VD00376</t>
  </si>
  <si>
    <t xml:space="preserve">VD00910</t>
  </si>
  <si>
    <t xml:space="preserve">VD01095</t>
  </si>
  <si>
    <t xml:space="preserve">VD01781</t>
  </si>
  <si>
    <t xml:space="preserve">VD01930</t>
  </si>
  <si>
    <t xml:space="preserve">VD02140</t>
  </si>
  <si>
    <t xml:space="preserve">VD00187</t>
  </si>
  <si>
    <t xml:space="preserve">VD00337</t>
  </si>
  <si>
    <t xml:space="preserve">VD01761</t>
  </si>
  <si>
    <t xml:space="preserve">VD01805</t>
  </si>
  <si>
    <t xml:space="preserve">VD01770</t>
  </si>
  <si>
    <t xml:space="preserve">VD01148</t>
  </si>
  <si>
    <t xml:space="preserve">VD01749</t>
  </si>
  <si>
    <t xml:space="preserve">VD01880</t>
  </si>
  <si>
    <t xml:space="preserve">VD01033</t>
  </si>
  <si>
    <t xml:space="preserve">VD00635</t>
  </si>
  <si>
    <t xml:space="preserve">VD00098</t>
  </si>
  <si>
    <t xml:space="preserve">VD01353</t>
  </si>
  <si>
    <t xml:space="preserve">VD01411</t>
  </si>
  <si>
    <t xml:space="preserve">VD00435</t>
  </si>
  <si>
    <t xml:space="preserve">VD00505</t>
  </si>
  <si>
    <t xml:space="preserve">VD01460</t>
  </si>
  <si>
    <t xml:space="preserve">VD02079</t>
  </si>
  <si>
    <t xml:space="preserve">VD00340</t>
  </si>
  <si>
    <t xml:space="preserve">VD01449</t>
  </si>
  <si>
    <t xml:space="preserve">VD01088</t>
  </si>
  <si>
    <t xml:space="preserve">VD00860</t>
  </si>
  <si>
    <t xml:space="preserve">VD02088</t>
  </si>
  <si>
    <t xml:space="preserve">VD00290</t>
  </si>
  <si>
    <t xml:space="preserve">VD00072</t>
  </si>
  <si>
    <t xml:space="preserve">VD00739</t>
  </si>
  <si>
    <t xml:space="preserve">VD00894</t>
  </si>
  <si>
    <t xml:space="preserve">VD00918</t>
  </si>
  <si>
    <t xml:space="preserve">VD01458</t>
  </si>
  <si>
    <t xml:space="preserve">VD01451</t>
  </si>
  <si>
    <t xml:space="preserve">VD00511</t>
  </si>
  <si>
    <t xml:space="preserve">VD01605</t>
  </si>
  <si>
    <t xml:space="preserve">VD00844</t>
  </si>
  <si>
    <t xml:space="preserve">VD01939</t>
  </si>
  <si>
    <t xml:space="preserve">VD00242</t>
  </si>
  <si>
    <t xml:space="preserve">VD01503</t>
  </si>
  <si>
    <t xml:space="preserve">VD01651</t>
  </si>
  <si>
    <t xml:space="preserve">VD01241</t>
  </si>
  <si>
    <t xml:space="preserve">VD00412</t>
  </si>
  <si>
    <t xml:space="preserve">VD01794</t>
  </si>
  <si>
    <t xml:space="preserve">VD00698</t>
  </si>
  <si>
    <t xml:space="preserve">VD02030</t>
  </si>
  <si>
    <t xml:space="preserve">VD00668</t>
  </si>
  <si>
    <t xml:space="preserve">VD01569</t>
  </si>
  <si>
    <t xml:space="preserve">VD01416</t>
  </si>
  <si>
    <t xml:space="preserve">VD01513</t>
  </si>
  <si>
    <t xml:space="preserve">VD01408</t>
  </si>
  <si>
    <t xml:space="preserve">VD02144</t>
  </si>
  <si>
    <t xml:space="preserve">VD01835</t>
  </si>
  <si>
    <t xml:space="preserve">VD00378</t>
  </si>
  <si>
    <t xml:space="preserve">VD00839</t>
  </si>
  <si>
    <t xml:space="preserve">VD00951</t>
  </si>
  <si>
    <t xml:space="preserve">VD01122</t>
  </si>
  <si>
    <t xml:space="preserve">VD01463</t>
  </si>
  <si>
    <t xml:space="preserve">VD00070</t>
  </si>
  <si>
    <t xml:space="preserve">VD01862</t>
  </si>
  <si>
    <t xml:space="preserve">VD00683</t>
  </si>
  <si>
    <t xml:space="preserve">VD00972</t>
  </si>
  <si>
    <t xml:space="preserve">VD01654</t>
  </si>
  <si>
    <t xml:space="preserve">VD00150</t>
  </si>
  <si>
    <t xml:space="preserve">VD00351</t>
  </si>
  <si>
    <t xml:space="preserve">VD01311</t>
  </si>
  <si>
    <t xml:space="preserve">VD00616</t>
  </si>
  <si>
    <t xml:space="preserve">VD02024</t>
  </si>
  <si>
    <t xml:space="preserve">VD00213</t>
  </si>
  <si>
    <t xml:space="preserve">VD00675</t>
  </si>
  <si>
    <t xml:space="preserve">VD01521</t>
  </si>
  <si>
    <t xml:space="preserve">VD00942</t>
  </si>
  <si>
    <t xml:space="preserve">VD01208</t>
  </si>
  <si>
    <t xml:space="preserve">VD02177</t>
  </si>
  <si>
    <t xml:space="preserve">VD00812</t>
  </si>
  <si>
    <t xml:space="preserve">VD01722</t>
  </si>
  <si>
    <t xml:space="preserve">VD00241</t>
  </si>
  <si>
    <t xml:space="preserve">VD02122</t>
  </si>
  <si>
    <t xml:space="preserve">VD00289</t>
  </si>
  <si>
    <t xml:space="preserve">VD00965</t>
  </si>
  <si>
    <t xml:space="preserve">VD00203</t>
  </si>
  <si>
    <t xml:space="preserve">VD00323</t>
  </si>
  <si>
    <t xml:space="preserve">VD01149</t>
  </si>
  <si>
    <t xml:space="preserve">VD01985</t>
  </si>
  <si>
    <t xml:space="preserve">VD00777</t>
  </si>
  <si>
    <t xml:space="preserve">VD01500</t>
  </si>
  <si>
    <t xml:space="preserve">VD01070</t>
  </si>
  <si>
    <t xml:space="preserve">VD00066</t>
  </si>
  <si>
    <t xml:space="preserve">VD00109</t>
  </si>
  <si>
    <t xml:space="preserve">VD00178</t>
  </si>
  <si>
    <t xml:space="preserve">VD00708</t>
  </si>
  <si>
    <t xml:space="preserve">VD00630</t>
  </si>
  <si>
    <t xml:space="preserve">VD00089</t>
  </si>
  <si>
    <t xml:space="preserve">VD01253</t>
  </si>
  <si>
    <t xml:space="preserve">VD01389</t>
  </si>
  <si>
    <t xml:space="preserve">VD01691</t>
  </si>
  <si>
    <t xml:space="preserve">VD02065</t>
  </si>
  <si>
    <t xml:space="preserve">VD01690</t>
  </si>
  <si>
    <t xml:space="preserve">VD01838</t>
  </si>
  <si>
    <t xml:space="preserve">VD01328</t>
  </si>
  <si>
    <t xml:space="preserve">VD02164</t>
  </si>
  <si>
    <t xml:space="preserve">VD00763</t>
  </si>
  <si>
    <t xml:space="preserve">VD00969</t>
  </si>
  <si>
    <t xml:space="preserve">VD01289</t>
  </si>
  <si>
    <t xml:space="preserve">VD01035</t>
  </si>
  <si>
    <t xml:space="preserve">VD01258</t>
  </si>
  <si>
    <t xml:space="preserve">VD01622</t>
  </si>
  <si>
    <t xml:space="preserve">VD00585</t>
  </si>
  <si>
    <t xml:space="preserve">VD01644</t>
  </si>
  <si>
    <t xml:space="preserve">VD02125</t>
  </si>
  <si>
    <t xml:space="preserve">VD01565</t>
  </si>
  <si>
    <t xml:space="preserve">VD02118</t>
  </si>
  <si>
    <t xml:space="preserve">VD00382</t>
  </si>
  <si>
    <t xml:space="preserve">VD00618</t>
  </si>
  <si>
    <t xml:space="preserve">VD01017</t>
  </si>
  <si>
    <t xml:space="preserve">VD01199</t>
  </si>
  <si>
    <t xml:space="preserve">VD01531</t>
  </si>
  <si>
    <t xml:space="preserve">VD00208</t>
  </si>
  <si>
    <t xml:space="preserve">VD01767</t>
  </si>
  <si>
    <t xml:space="preserve">VD02058</t>
  </si>
  <si>
    <t xml:space="preserve">VD00088</t>
  </si>
  <si>
    <t xml:space="preserve">VD00867</t>
  </si>
  <si>
    <t xml:space="preserve">VD01406</t>
  </si>
  <si>
    <t xml:space="preserve">VD00673</t>
  </si>
  <si>
    <t xml:space="preserve">VD00587</t>
  </si>
  <si>
    <t xml:space="preserve">VD01011</t>
  </si>
  <si>
    <t xml:space="preserve">VD01610</t>
  </si>
  <si>
    <t xml:space="preserve">VD00143</t>
  </si>
  <si>
    <t xml:space="preserve">VD00427</t>
  </si>
  <si>
    <t xml:space="preserve">VD01145</t>
  </si>
  <si>
    <t xml:space="preserve">VD00310</t>
  </si>
  <si>
    <t xml:space="preserve">VD01675</t>
  </si>
  <si>
    <t xml:space="preserve">VD01240</t>
  </si>
  <si>
    <t xml:space="preserve">VD01607</t>
  </si>
  <si>
    <t xml:space="preserve">VD00731</t>
  </si>
  <si>
    <t xml:space="preserve">VD01816</t>
  </si>
  <si>
    <t xml:space="preserve">VD01002</t>
  </si>
  <si>
    <t xml:space="preserve">VD01314</t>
  </si>
  <si>
    <t xml:space="preserve">VD01960</t>
  </si>
  <si>
    <t xml:space="preserve">VD01578</t>
  </si>
  <si>
    <t xml:space="preserve">VD00580</t>
  </si>
  <si>
    <t xml:space="preserve">VD01897</t>
  </si>
  <si>
    <t xml:space="preserve">VD00919</t>
  </si>
  <si>
    <t xml:space="preserve">VD01903</t>
  </si>
  <si>
    <t xml:space="preserve">VD01904</t>
  </si>
  <si>
    <t xml:space="preserve">VD00556</t>
  </si>
  <si>
    <t xml:space="preserve">VD01973</t>
  </si>
  <si>
    <t xml:space="preserve">VD01054</t>
  </si>
  <si>
    <t xml:space="preserve">VD01659</t>
  </si>
  <si>
    <t xml:space="preserve">VD00652</t>
  </si>
  <si>
    <t xml:space="preserve">VD00804</t>
  </si>
  <si>
    <t xml:space="preserve">VD01714</t>
  </si>
  <si>
    <t xml:space="preserve">VD01079</t>
  </si>
  <si>
    <t xml:space="preserve">VD00681</t>
  </si>
  <si>
    <t xml:space="preserve">VD01619</t>
  </si>
  <si>
    <t xml:space="preserve">VD01617</t>
  </si>
  <si>
    <t xml:space="preserve">VD01475</t>
  </si>
  <si>
    <t xml:space="preserve">VD01427</t>
  </si>
  <si>
    <t xml:space="preserve">VD01093</t>
  </si>
  <si>
    <t xml:space="preserve">VD02138</t>
  </si>
  <si>
    <t xml:space="preserve">VD00500</t>
  </si>
  <si>
    <t xml:space="preserve">VD00634</t>
  </si>
  <si>
    <t xml:space="preserve">VD00122</t>
  </si>
  <si>
    <t xml:space="preserve">VD01700</t>
  </si>
  <si>
    <t xml:space="preserve">VD02156</t>
  </si>
  <si>
    <t xml:space="preserve">VD01037</t>
  </si>
  <si>
    <t xml:space="preserve">VD00368</t>
  </si>
  <si>
    <t xml:space="preserve">VD01383</t>
  </si>
  <si>
    <t xml:space="preserve">VD01236</t>
  </si>
  <si>
    <t xml:space="preserve">VD00754</t>
  </si>
  <si>
    <t xml:space="preserve">VD01363</t>
  </si>
  <si>
    <t xml:space="preserve">VD01131</t>
  </si>
  <si>
    <t xml:space="preserve">VD00453</t>
  </si>
  <si>
    <t xml:space="preserve">VD02016</t>
  </si>
  <si>
    <t xml:space="preserve">VD01243</t>
  </si>
  <si>
    <t xml:space="preserve">VD00694</t>
  </si>
  <si>
    <t xml:space="preserve">VD01989</t>
  </si>
  <si>
    <t xml:space="preserve">VD00770</t>
  </si>
  <si>
    <t xml:space="preserve">VD01165</t>
  </si>
  <si>
    <t xml:space="preserve">VD00938</t>
  </si>
  <si>
    <t xml:space="preserve">VD00392</t>
  </si>
  <si>
    <t xml:space="preserve">VD00471</t>
  </si>
  <si>
    <t xml:space="preserve">VD00926</t>
  </si>
  <si>
    <t xml:space="preserve">VD01587</t>
  </si>
  <si>
    <t xml:space="preserve">VD01965</t>
  </si>
  <si>
    <t xml:space="preserve">VD01012</t>
  </si>
  <si>
    <t xml:space="preserve">VD01958</t>
  </si>
  <si>
    <t xml:space="preserve">VD00596</t>
  </si>
  <si>
    <t xml:space="preserve">VD00176</t>
  </si>
  <si>
    <t xml:space="preserve">VD02014</t>
  </si>
  <si>
    <t xml:space="preserve">VD01566</t>
  </si>
  <si>
    <t xml:space="preserve">VD01124</t>
  </si>
  <si>
    <t xml:space="preserve">VD00588</t>
  </si>
  <si>
    <t xml:space="preserve">VD00267</t>
  </si>
  <si>
    <t xml:space="preserve">VD01597</t>
  </si>
  <si>
    <t xml:space="preserve">VD01015</t>
  </si>
  <si>
    <t xml:space="preserve">VD01829</t>
  </si>
  <si>
    <t xml:space="preserve">VD01832</t>
  </si>
  <si>
    <t xml:space="preserve">VD01016</t>
  </si>
  <si>
    <t xml:space="preserve">VD01956</t>
  </si>
  <si>
    <t xml:space="preserve">VD00074</t>
  </si>
  <si>
    <t xml:space="preserve">VD00935</t>
  </si>
  <si>
    <t xml:space="preserve">VD00026</t>
  </si>
  <si>
    <t xml:space="preserve">VD01990</t>
  </si>
  <si>
    <t xml:space="preserve">VD01843</t>
  </si>
  <si>
    <t xml:space="preserve">VD01382</t>
  </si>
  <si>
    <t xml:space="preserve">VD00740</t>
  </si>
  <si>
    <t xml:space="preserve">VD02047</t>
  </si>
  <si>
    <t xml:space="preserve">VD00869</t>
  </si>
  <si>
    <t xml:space="preserve">VD02045</t>
  </si>
  <si>
    <t xml:space="preserve">VD00788</t>
  </si>
  <si>
    <t xml:space="preserve">VD01062</t>
  </si>
  <si>
    <t xml:space="preserve">VD00970</t>
  </si>
  <si>
    <t xml:space="preserve">VD00036</t>
  </si>
  <si>
    <t xml:space="preserve">VD00341</t>
  </si>
  <si>
    <t xml:space="preserve">VD01620</t>
  </si>
  <si>
    <t xml:space="preserve">VD01378</t>
  </si>
  <si>
    <t xml:space="preserve">VD00102</t>
  </si>
  <si>
    <t xml:space="preserve">VD01543</t>
  </si>
  <si>
    <t xml:space="preserve">VD00197</t>
  </si>
  <si>
    <t xml:space="preserve">VD01823</t>
  </si>
  <si>
    <t xml:space="preserve">VD00517</t>
  </si>
  <si>
    <t xml:space="preserve">VD00048</t>
  </si>
  <si>
    <t xml:space="preserve">VD00283</t>
  </si>
  <si>
    <t xml:space="preserve">VD00757</t>
  </si>
  <si>
    <t xml:space="preserve">VD00379</t>
  </si>
  <si>
    <t xml:space="preserve">VD01727</t>
  </si>
  <si>
    <t xml:space="preserve">VD01724</t>
  </si>
  <si>
    <t xml:space="preserve">VD00065</t>
  </si>
  <si>
    <t xml:space="preserve">VD01187</t>
  </si>
  <si>
    <t xml:space="preserve">VD01932</t>
  </si>
  <si>
    <t xml:space="preserve">VD00934</t>
  </si>
  <si>
    <t xml:space="preserve">VD00307</t>
  </si>
  <si>
    <t xml:space="preserve">VD00566</t>
  </si>
  <si>
    <t xml:space="preserve">VD00584</t>
  </si>
  <si>
    <t xml:space="preserve">VD01559</t>
  </si>
  <si>
    <t xml:space="preserve">VD01525</t>
  </si>
  <si>
    <t xml:space="preserve">VD00847</t>
  </si>
  <si>
    <t xml:space="preserve">VD01366</t>
  </si>
  <si>
    <t xml:space="preserve">VD02028</t>
  </si>
  <si>
    <t xml:space="preserve">VD01809</t>
  </si>
  <si>
    <t xml:space="preserve">VD00007</t>
  </si>
  <si>
    <t xml:space="preserve">VD01799</t>
  </si>
  <si>
    <t xml:space="preserve">VD00239</t>
  </si>
  <si>
    <t xml:space="preserve">VD00236</t>
  </si>
  <si>
    <t xml:space="preserve">VD02139</t>
  </si>
  <si>
    <t xml:space="preserve">VD01474</t>
  </si>
  <si>
    <t xml:space="preserve">VD01918</t>
  </si>
  <si>
    <t xml:space="preserve">VD00644</t>
  </si>
  <si>
    <t xml:space="preserve">VD00766</t>
  </si>
  <si>
    <t xml:space="preserve">VD02150</t>
  </si>
  <si>
    <t xml:space="preserve">VD00166</t>
  </si>
  <si>
    <t xml:space="preserve">VD00298</t>
  </si>
  <si>
    <t xml:space="preserve">VD00167</t>
  </si>
  <si>
    <t xml:space="preserve">VD00076</t>
  </si>
  <si>
    <t xml:space="preserve">VD01040</t>
  </si>
  <si>
    <t xml:space="preserve">VD00073</t>
  </si>
  <si>
    <t xml:space="preserve">VD01157</t>
  </si>
  <si>
    <t xml:space="preserve">VD00301</t>
  </si>
  <si>
    <t xml:space="preserve">VD02107</t>
  </si>
  <si>
    <t xml:space="preserve">VD00404</t>
  </si>
  <si>
    <t xml:space="preserve">VD01583</t>
  </si>
  <si>
    <t xml:space="preserve">VD00921</t>
  </si>
  <si>
    <t xml:space="preserve">VD01638</t>
  </si>
  <si>
    <t xml:space="preserve">VD00555</t>
  </si>
  <si>
    <t xml:space="preserve">VD01665</t>
  </si>
  <si>
    <t xml:space="preserve">VD00226</t>
  </si>
  <si>
    <t xml:space="preserve">VD01235</t>
  </si>
  <si>
    <t xml:space="preserve">VD01092</t>
  </si>
  <si>
    <t xml:space="preserve">VD01922</t>
  </si>
  <si>
    <t xml:space="preserve">VD00880</t>
  </si>
  <si>
    <t xml:space="preserve">VD00703</t>
  </si>
  <si>
    <t xml:space="preserve">VD02154</t>
  </si>
  <si>
    <t xml:space="preserve">VD01740</t>
  </si>
  <si>
    <t xml:space="preserve">VD01952</t>
  </si>
  <si>
    <t xml:space="preserve">VD00114</t>
  </si>
  <si>
    <t xml:space="preserve">VD00354</t>
  </si>
  <si>
    <t xml:space="preserve">VD00403</t>
  </si>
  <si>
    <t xml:space="preserve">VD02006</t>
  </si>
  <si>
    <t xml:space="preserve">VD00322</t>
  </si>
  <si>
    <t xml:space="preserve">VD00415</t>
  </si>
  <si>
    <t xml:space="preserve">VD01288</t>
  </si>
  <si>
    <t xml:space="preserve">VD00615</t>
  </si>
  <si>
    <t xml:space="preserve">VD00482</t>
  </si>
  <si>
    <t xml:space="preserve">VD02143</t>
  </si>
  <si>
    <t xml:space="preserve">VD01044</t>
  </si>
  <si>
    <t xml:space="preserve">VD01953</t>
  </si>
  <si>
    <t xml:space="preserve">VD00916</t>
  </si>
  <si>
    <t xml:space="preserve">VD01216</t>
  </si>
  <si>
    <t xml:space="preserve">VD00269</t>
  </si>
  <si>
    <t xml:space="preserve">VD01592</t>
  </si>
  <si>
    <t xml:space="preserve">VD01657</t>
  </si>
  <si>
    <t xml:space="preserve">VD00440</t>
  </si>
  <si>
    <t xml:space="preserve">VD01771</t>
  </si>
  <si>
    <t xml:space="preserve">VD01077</t>
  </si>
  <si>
    <t xml:space="preserve">VD00386</t>
  </si>
  <si>
    <t xml:space="preserve">VD01494</t>
  </si>
  <si>
    <t xml:space="preserve">VD00898</t>
  </si>
  <si>
    <t xml:space="preserve">VD01036</t>
  </si>
  <si>
    <t xml:space="preserve">VD00518</t>
  </si>
  <si>
    <t xml:space="preserve">VD01967</t>
  </si>
  <si>
    <t xml:space="preserve">VD01395</t>
  </si>
  <si>
    <t xml:space="preserve">VD00345</t>
  </si>
  <si>
    <t xml:space="preserve">VD01992</t>
  </si>
  <si>
    <t xml:space="preserve">VD00218</t>
  </si>
  <si>
    <t xml:space="preserve">VD00470</t>
  </si>
  <si>
    <t xml:space="preserve">VD00657</t>
  </si>
  <si>
    <t xml:space="preserve">VD01295</t>
  </si>
  <si>
    <t xml:space="preserve">VD00609</t>
  </si>
  <si>
    <t xml:space="preserve">VD01507</t>
  </si>
  <si>
    <t xml:space="preserve">VD00312</t>
  </si>
  <si>
    <t xml:space="preserve">VD01780</t>
  </si>
  <si>
    <t xml:space="preserve">VD01890</t>
  </si>
  <si>
    <t xml:space="preserve">VD02074</t>
  </si>
  <si>
    <t xml:space="preserve">VD01264</t>
  </si>
  <si>
    <t xml:space="preserve">VD01841</t>
  </si>
  <si>
    <t xml:space="preserve">VD01432</t>
  </si>
  <si>
    <t xml:space="preserve">VD02134</t>
  </si>
  <si>
    <t xml:space="preserve">VD01926</t>
  </si>
  <si>
    <t xml:space="preserve">VD00648</t>
  </si>
  <si>
    <t xml:space="preserve">VD00728</t>
  </si>
  <si>
    <t xml:space="preserve">VD01106</t>
  </si>
  <si>
    <t xml:space="preserve">VD00209</t>
  </si>
  <si>
    <t xml:space="preserve">VD00637</t>
  </si>
  <si>
    <t xml:space="preserve">VD01038</t>
  </si>
  <si>
    <t xml:space="preserve">VD01650</t>
  </si>
  <si>
    <t xml:space="preserve">VD01707</t>
  </si>
  <si>
    <t xml:space="preserve">VD01647</t>
  </si>
  <si>
    <t xml:space="preserve">VD01763</t>
  </si>
  <si>
    <t xml:space="preserve">VD01271</t>
  </si>
  <si>
    <t xml:space="preserve">VD02171</t>
  </si>
  <si>
    <t xml:space="preserve">VD00602</t>
  </si>
  <si>
    <t xml:space="preserve">VD01377</t>
  </si>
  <si>
    <t xml:space="preserve">VD01031</t>
  </si>
  <si>
    <t xml:space="preserve">VD01601</t>
  </si>
  <si>
    <t xml:space="preserve">VD00873</t>
  </si>
  <si>
    <t xml:space="preserve">VD01160</t>
  </si>
  <si>
    <t xml:space="preserve">VD01049</t>
  </si>
  <si>
    <t xml:space="preserve">VD01217</t>
  </si>
  <si>
    <t xml:space="preserve">VD00727</t>
  </si>
  <si>
    <t xml:space="preserve">VD00180</t>
  </si>
  <si>
    <t xml:space="preserve">VD02053</t>
  </si>
  <si>
    <t xml:space="preserve">VD01693</t>
  </si>
  <si>
    <t xml:space="preserve">VD00247</t>
  </si>
  <si>
    <t xml:space="preserve">VD00826</t>
  </si>
  <si>
    <t xml:space="preserve">VD01683</t>
  </si>
  <si>
    <t xml:space="preserve">VD01257</t>
  </si>
  <si>
    <t xml:space="preserve">VD00342</t>
  </si>
  <si>
    <t xml:space="preserve">VD00557</t>
  </si>
  <si>
    <t xml:space="preserve">VD00163</t>
  </si>
  <si>
    <t xml:space="preserve">VD00705</t>
  </si>
  <si>
    <t xml:space="preserve">VD00827</t>
  </si>
  <si>
    <t xml:space="preserve">VD00534</t>
  </si>
  <si>
    <t xml:space="preserve">VD01514</t>
  </si>
  <si>
    <t xml:space="preserve">VD00649</t>
  </si>
  <si>
    <t xml:space="preserve">VD00418</t>
  </si>
  <si>
    <t xml:space="preserve">VD00157</t>
  </si>
  <si>
    <t xml:space="preserve">VD00129</t>
  </si>
  <si>
    <t xml:space="preserve">VD00243</t>
  </si>
  <si>
    <t xml:space="preserve">VD01034</t>
  </si>
  <si>
    <t xml:space="preserve">VD01701</t>
  </si>
  <si>
    <t xml:space="preserve">VD01078</t>
  </si>
  <si>
    <t xml:space="preserve">VD01633</t>
  </si>
  <si>
    <t xml:space="preserve">VD00092</t>
  </si>
  <si>
    <t xml:space="preserve">VD00859</t>
  </si>
  <si>
    <t xml:space="preserve">VD01803</t>
  </si>
  <si>
    <t xml:space="preserve">VD01646</t>
  </si>
  <si>
    <t xml:space="preserve">VD00796</t>
  </si>
  <si>
    <t xml:space="preserve">VD00670</t>
  </si>
  <si>
    <t xml:space="preserve">VD01689</t>
  </si>
  <si>
    <t xml:space="preserve">VD01698</t>
  </si>
  <si>
    <t xml:space="preserve">VD01420</t>
  </si>
  <si>
    <t xml:space="preserve">VD00370</t>
  </si>
  <si>
    <t xml:space="preserve">VD01687</t>
  </si>
  <si>
    <t xml:space="preserve">numero_de_vendas</t>
  </si>
  <si>
    <t xml:space="preserve">valor_total_vendido</t>
  </si>
  <si>
    <t xml:space="preserve">ticket_medio</t>
  </si>
  <si>
    <t xml:space="preserve">quantidade_vendida</t>
  </si>
  <si>
    <t xml:space="preserve">custo_total_alocacao</t>
  </si>
  <si>
    <t xml:space="preserve">lucro_total</t>
  </si>
  <si>
    <t xml:space="preserve">vendido_Sudeste</t>
  </si>
  <si>
    <t xml:space="preserve">vendido_Sul</t>
  </si>
  <si>
    <t xml:space="preserve">vendido_Nordeste</t>
  </si>
  <si>
    <t xml:space="preserve">regiao_que_mais_vendeu</t>
  </si>
  <si>
    <t xml:space="preserve">TOTAL</t>
  </si>
  <si>
    <t xml:space="preserve">Período analisado: 01/01/2026 a 30/06/2026 (último semestre). Valores em R$.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</si>
</sst>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30</v>
      </c>
      <c r="E7" s="2" t="s">
        <v>26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34</v>
      </c>
      <c r="E8" s="2" t="s">
        <v>26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39</v>
      </c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39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48</v>
      </c>
      <c r="B1" s="1" t="s">
        <v>49</v>
      </c>
      <c r="C1" s="1" t="s">
        <v>0</v>
      </c>
      <c r="D1" s="1" t="s">
        <v>1</v>
      </c>
      <c r="E1" s="1" t="s">
        <v>4</v>
      </c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5</v>
      </c>
      <c r="D2" s="3" t="str">
        <f aca="false">INDEX(Lojas!$B$2:$B$11,MATCH(C2,Lojas!$A$2:$A$11,0))</f>
        <v>Loja São Paulo</v>
      </c>
      <c r="E2" s="3" t="str">
        <f aca="false">INDEX(Lojas!$E$2:$E$11,MATCH(C2,Lojas!$A$2:$A$11,0))</f>
        <v>Sudeste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</v>
      </c>
      <c r="D3" s="3" t="str">
        <f aca="false">INDEX(Lojas!$B$2:$B$11,MATCH(C3,Lojas!$A$2:$A$11,0))</f>
        <v>Loja São Paulo</v>
      </c>
      <c r="E3" s="3" t="str">
        <f aca="false">INDEX(Lojas!$E$2:$E$11,MATCH(C3,Lojas!$A$2:$A$11,0))</f>
        <v>Sudeste</v>
      </c>
    </row>
    <row r="4" customFormat="false" ht="15" hidden="false" customHeight="false" outlineLevel="0" collapsed="false">
      <c r="A4" s="2" t="s">
        <v>54</v>
      </c>
      <c r="B4" s="2" t="s">
        <v>55</v>
      </c>
      <c r="C4" s="2" t="s">
        <v>5</v>
      </c>
      <c r="D4" s="3" t="str">
        <f aca="false">INDEX(Lojas!$B$2:$B$11,MATCH(C4,Lojas!$A$2:$A$11,0))</f>
        <v>Loja São Paulo</v>
      </c>
      <c r="E4" s="3" t="str">
        <f aca="false">INDEX(Lojas!$E$2:$E$11,MATCH(C4,Lojas!$A$2:$A$11,0))</f>
        <v>Sudeste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5</v>
      </c>
      <c r="D5" s="3" t="str">
        <f aca="false">INDEX(Lojas!$B$2:$B$11,MATCH(C5,Lojas!$A$2:$A$11,0))</f>
        <v>Loja São Paulo</v>
      </c>
      <c r="E5" s="3" t="str">
        <f aca="false">INDEX(Lojas!$E$2:$E$11,MATCH(C5,Lojas!$A$2:$A$11,0))</f>
        <v>Sudeste</v>
      </c>
    </row>
    <row r="6" customFormat="false" ht="15" hidden="false" customHeight="false" outlineLevel="0" collapsed="false">
      <c r="A6" s="2" t="s">
        <v>58</v>
      </c>
      <c r="B6" s="2" t="s">
        <v>59</v>
      </c>
      <c r="C6" s="2" t="s">
        <v>5</v>
      </c>
      <c r="D6" s="3" t="str">
        <f aca="false">INDEX(Lojas!$B$2:$B$11,MATCH(C6,Lojas!$A$2:$A$11,0))</f>
        <v>Loja São Paulo</v>
      </c>
      <c r="E6" s="3" t="str">
        <f aca="false">INDEX(Lojas!$E$2:$E$11,MATCH(C6,Lojas!$A$2:$A$11,0))</f>
        <v>Sudeste</v>
      </c>
    </row>
    <row r="7" customFormat="false" ht="15" hidden="false" customHeight="false" outlineLevel="0" collapsed="false">
      <c r="A7" s="2" t="s">
        <v>60</v>
      </c>
      <c r="B7" s="2" t="s">
        <v>61</v>
      </c>
      <c r="C7" s="2" t="s">
        <v>5</v>
      </c>
      <c r="D7" s="3" t="str">
        <f aca="false">INDEX(Lojas!$B$2:$B$11,MATCH(C7,Lojas!$A$2:$A$11,0))</f>
        <v>Loja São Paulo</v>
      </c>
      <c r="E7" s="3" t="str">
        <f aca="false">INDEX(Lojas!$E$2:$E$11,MATCH(C7,Lojas!$A$2:$A$11,0))</f>
        <v>Sudeste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5</v>
      </c>
      <c r="D8" s="3" t="str">
        <f aca="false">INDEX(Lojas!$B$2:$B$11,MATCH(C8,Lojas!$A$2:$A$11,0))</f>
        <v>Loja São Paulo</v>
      </c>
      <c r="E8" s="3" t="str">
        <f aca="false">INDEX(Lojas!$E$2:$E$11,MATCH(C8,Lojas!$A$2:$A$11,0))</f>
        <v>Sudeste</v>
      </c>
    </row>
    <row r="9" customFormat="false" ht="15" hidden="false" customHeight="false" outlineLevel="0" collapsed="false">
      <c r="A9" s="2" t="s">
        <v>64</v>
      </c>
      <c r="B9" s="2" t="s">
        <v>65</v>
      </c>
      <c r="C9" s="2" t="s">
        <v>5</v>
      </c>
      <c r="D9" s="3" t="str">
        <f aca="false">INDEX(Lojas!$B$2:$B$11,MATCH(C9,Lojas!$A$2:$A$11,0))</f>
        <v>Loja São Paulo</v>
      </c>
      <c r="E9" s="3" t="str">
        <f aca="false">INDEX(Lojas!$E$2:$E$11,MATCH(C9,Lojas!$A$2:$A$11,0))</f>
        <v>Sudeste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s">
        <v>5</v>
      </c>
      <c r="D10" s="3" t="str">
        <f aca="false">INDEX(Lojas!$B$2:$B$11,MATCH(C10,Lojas!$A$2:$A$11,0))</f>
        <v>Loja São Paulo</v>
      </c>
      <c r="E10" s="3" t="str">
        <f aca="false">INDEX(Lojas!$E$2:$E$11,MATCH(C10,Lojas!$A$2:$A$11,0))</f>
        <v>Sudeste</v>
      </c>
    </row>
    <row r="11" customFormat="false" ht="15" hidden="false" customHeight="false" outlineLevel="0" collapsed="false">
      <c r="A11" s="2" t="s">
        <v>68</v>
      </c>
      <c r="B11" s="2" t="s">
        <v>69</v>
      </c>
      <c r="C11" s="2" t="s">
        <v>5</v>
      </c>
      <c r="D11" s="3" t="str">
        <f aca="false">INDEX(Lojas!$B$2:$B$11,MATCH(C11,Lojas!$A$2:$A$11,0))</f>
        <v>Loja São Paulo</v>
      </c>
      <c r="E11" s="3" t="str">
        <f aca="false">INDEX(Lojas!$E$2:$E$11,MATCH(C11,Lojas!$A$2:$A$11,0))</f>
        <v>Sudeste</v>
      </c>
    </row>
    <row r="12" customFormat="false" ht="15" hidden="false" customHeight="false" outlineLevel="0" collapsed="false">
      <c r="A12" s="2" t="s">
        <v>70</v>
      </c>
      <c r="B12" s="2" t="s">
        <v>71</v>
      </c>
      <c r="C12" s="2" t="s">
        <v>10</v>
      </c>
      <c r="D12" s="3" t="str">
        <f aca="false">INDEX(Lojas!$B$2:$B$11,MATCH(C12,Lojas!$A$2:$A$11,0))</f>
        <v>Loja Rio de Janeiro</v>
      </c>
      <c r="E12" s="3" t="str">
        <f aca="false">INDEX(Lojas!$E$2:$E$11,MATCH(C12,Lojas!$A$2:$A$11,0))</f>
        <v>Sudeste</v>
      </c>
    </row>
    <row r="13" customFormat="false" ht="15" hidden="false" customHeight="false" outlineLevel="0" collapsed="false">
      <c r="A13" s="2" t="s">
        <v>72</v>
      </c>
      <c r="B13" s="2" t="s">
        <v>73</v>
      </c>
      <c r="C13" s="2" t="s">
        <v>10</v>
      </c>
      <c r="D13" s="3" t="str">
        <f aca="false">INDEX(Lojas!$B$2:$B$11,MATCH(C13,Lojas!$A$2:$A$11,0))</f>
        <v>Loja Rio de Janeiro</v>
      </c>
      <c r="E13" s="3" t="str">
        <f aca="false">INDEX(Lojas!$E$2:$E$11,MATCH(C13,Lojas!$A$2:$A$11,0))</f>
        <v>Sudeste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10</v>
      </c>
      <c r="D14" s="3" t="str">
        <f aca="false">INDEX(Lojas!$B$2:$B$11,MATCH(C14,Lojas!$A$2:$A$11,0))</f>
        <v>Loja Rio de Janeiro</v>
      </c>
      <c r="E14" s="3" t="str">
        <f aca="false">INDEX(Lojas!$E$2:$E$11,MATCH(C14,Lojas!$A$2:$A$11,0))</f>
        <v>Sudeste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10</v>
      </c>
      <c r="D15" s="3" t="str">
        <f aca="false">INDEX(Lojas!$B$2:$B$11,MATCH(C15,Lojas!$A$2:$A$11,0))</f>
        <v>Loja Rio de Janeiro</v>
      </c>
      <c r="E15" s="3" t="str">
        <f aca="false">INDEX(Lojas!$E$2:$E$11,MATCH(C15,Lojas!$A$2:$A$11,0))</f>
        <v>Sudeste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10</v>
      </c>
      <c r="D16" s="3" t="str">
        <f aca="false">INDEX(Lojas!$B$2:$B$11,MATCH(C16,Lojas!$A$2:$A$11,0))</f>
        <v>Loja Rio de Janeiro</v>
      </c>
      <c r="E16" s="3" t="str">
        <f aca="false">INDEX(Lojas!$E$2:$E$11,MATCH(C16,Lojas!$A$2:$A$11,0))</f>
        <v>Sudeste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10</v>
      </c>
      <c r="D17" s="3" t="str">
        <f aca="false">INDEX(Lojas!$B$2:$B$11,MATCH(C17,Lojas!$A$2:$A$11,0))</f>
        <v>Loja Rio de Janeiro</v>
      </c>
      <c r="E17" s="3" t="str">
        <f aca="false">INDEX(Lojas!$E$2:$E$11,MATCH(C17,Lojas!$A$2:$A$11,0))</f>
        <v>Sudeste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10</v>
      </c>
      <c r="D18" s="3" t="str">
        <f aca="false">INDEX(Lojas!$B$2:$B$11,MATCH(C18,Lojas!$A$2:$A$11,0))</f>
        <v>Loja Rio de Janeiro</v>
      </c>
      <c r="E18" s="3" t="str">
        <f aca="false">INDEX(Lojas!$E$2:$E$11,MATCH(C18,Lojas!$A$2:$A$11,0))</f>
        <v>Sudeste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10</v>
      </c>
      <c r="D19" s="3" t="str">
        <f aca="false">INDEX(Lojas!$B$2:$B$11,MATCH(C19,Lojas!$A$2:$A$11,0))</f>
        <v>Loja Rio de Janeiro</v>
      </c>
      <c r="E19" s="3" t="str">
        <f aca="false">INDEX(Lojas!$E$2:$E$11,MATCH(C19,Lojas!$A$2:$A$11,0))</f>
        <v>Sudeste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10</v>
      </c>
      <c r="D20" s="3" t="str">
        <f aca="false">INDEX(Lojas!$B$2:$B$11,MATCH(C20,Lojas!$A$2:$A$11,0))</f>
        <v>Loja Rio de Janeiro</v>
      </c>
      <c r="E20" s="3" t="str">
        <f aca="false">INDEX(Lojas!$E$2:$E$11,MATCH(C20,Lojas!$A$2:$A$11,0))</f>
        <v>Sudeste</v>
      </c>
    </row>
    <row r="21" customFormat="false" ht="15" hidden="false" customHeight="false" outlineLevel="0" collapsed="false">
      <c r="A21" s="2" t="s">
        <v>88</v>
      </c>
      <c r="B21" s="2" t="s">
        <v>89</v>
      </c>
      <c r="C21" s="2" t="s">
        <v>10</v>
      </c>
      <c r="D21" s="3" t="str">
        <f aca="false">INDEX(Lojas!$B$2:$B$11,MATCH(C21,Lojas!$A$2:$A$11,0))</f>
        <v>Loja Rio de Janeiro</v>
      </c>
      <c r="E21" s="3" t="str">
        <f aca="false">INDEX(Lojas!$E$2:$E$11,MATCH(C21,Lojas!$A$2:$A$11,0))</f>
        <v>Sudeste</v>
      </c>
    </row>
    <row r="22" customFormat="false" ht="15" hidden="false" customHeight="false" outlineLevel="0" collapsed="false">
      <c r="A22" s="2" t="s">
        <v>90</v>
      </c>
      <c r="B22" s="2" t="s">
        <v>91</v>
      </c>
      <c r="C22" s="2" t="s">
        <v>14</v>
      </c>
      <c r="D22" s="3" t="str">
        <f aca="false">INDEX(Lojas!$B$2:$B$11,MATCH(C22,Lojas!$A$2:$A$11,0))</f>
        <v>Loja Belo Horizonte</v>
      </c>
      <c r="E22" s="3" t="str">
        <f aca="false">INDEX(Lojas!$E$2:$E$11,MATCH(C22,Lojas!$A$2:$A$11,0))</f>
        <v>Sudeste</v>
      </c>
    </row>
    <row r="23" customFormat="false" ht="15" hidden="false" customHeight="false" outlineLevel="0" collapsed="false">
      <c r="A23" s="2" t="s">
        <v>92</v>
      </c>
      <c r="B23" s="2" t="s">
        <v>93</v>
      </c>
      <c r="C23" s="2" t="s">
        <v>14</v>
      </c>
      <c r="D23" s="3" t="str">
        <f aca="false">INDEX(Lojas!$B$2:$B$11,MATCH(C23,Lojas!$A$2:$A$11,0))</f>
        <v>Loja Belo Horizonte</v>
      </c>
      <c r="E23" s="3" t="str">
        <f aca="false">INDEX(Lojas!$E$2:$E$11,MATCH(C23,Lojas!$A$2:$A$11,0))</f>
        <v>Sudeste</v>
      </c>
    </row>
    <row r="24" customFormat="false" ht="15" hidden="false" customHeight="false" outlineLevel="0" collapsed="false">
      <c r="A24" s="2" t="s">
        <v>94</v>
      </c>
      <c r="B24" s="2" t="s">
        <v>95</v>
      </c>
      <c r="C24" s="2" t="s">
        <v>14</v>
      </c>
      <c r="D24" s="3" t="str">
        <f aca="false">INDEX(Lojas!$B$2:$B$11,MATCH(C24,Lojas!$A$2:$A$11,0))</f>
        <v>Loja Belo Horizonte</v>
      </c>
      <c r="E24" s="3" t="str">
        <f aca="false">INDEX(Lojas!$E$2:$E$11,MATCH(C24,Lojas!$A$2:$A$11,0))</f>
        <v>Sudeste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14</v>
      </c>
      <c r="D25" s="3" t="str">
        <f aca="false">INDEX(Lojas!$B$2:$B$11,MATCH(C25,Lojas!$A$2:$A$11,0))</f>
        <v>Loja Belo Horizonte</v>
      </c>
      <c r="E25" s="3" t="str">
        <f aca="false">INDEX(Lojas!$E$2:$E$11,MATCH(C25,Lojas!$A$2:$A$11,0))</f>
        <v>Sudeste</v>
      </c>
    </row>
    <row r="26" customFormat="false" ht="15" hidden="false" customHeight="false" outlineLevel="0" collapsed="false">
      <c r="A26" s="2" t="s">
        <v>98</v>
      </c>
      <c r="B26" s="2" t="s">
        <v>99</v>
      </c>
      <c r="C26" s="2" t="s">
        <v>14</v>
      </c>
      <c r="D26" s="3" t="str">
        <f aca="false">INDEX(Lojas!$B$2:$B$11,MATCH(C26,Lojas!$A$2:$A$11,0))</f>
        <v>Loja Belo Horizonte</v>
      </c>
      <c r="E26" s="3" t="str">
        <f aca="false">INDEX(Lojas!$E$2:$E$11,MATCH(C26,Lojas!$A$2:$A$11,0))</f>
        <v>Sudeste</v>
      </c>
    </row>
    <row r="27" customFormat="false" ht="15" hidden="false" customHeight="false" outlineLevel="0" collapsed="false">
      <c r="A27" s="2" t="s">
        <v>100</v>
      </c>
      <c r="B27" s="2" t="s">
        <v>101</v>
      </c>
      <c r="C27" s="2" t="s">
        <v>14</v>
      </c>
      <c r="D27" s="3" t="str">
        <f aca="false">INDEX(Lojas!$B$2:$B$11,MATCH(C27,Lojas!$A$2:$A$11,0))</f>
        <v>Loja Belo Horizonte</v>
      </c>
      <c r="E27" s="3" t="str">
        <f aca="false">INDEX(Lojas!$E$2:$E$11,MATCH(C27,Lojas!$A$2:$A$11,0))</f>
        <v>Sudeste</v>
      </c>
    </row>
    <row r="28" customFormat="false" ht="15" hidden="false" customHeight="false" outlineLevel="0" collapsed="false">
      <c r="A28" s="2" t="s">
        <v>102</v>
      </c>
      <c r="B28" s="2" t="s">
        <v>103</v>
      </c>
      <c r="C28" s="2" t="s">
        <v>14</v>
      </c>
      <c r="D28" s="3" t="str">
        <f aca="false">INDEX(Lojas!$B$2:$B$11,MATCH(C28,Lojas!$A$2:$A$11,0))</f>
        <v>Loja Belo Horizonte</v>
      </c>
      <c r="E28" s="3" t="str">
        <f aca="false">INDEX(Lojas!$E$2:$E$11,MATCH(C28,Lojas!$A$2:$A$11,0))</f>
        <v>Sudeste</v>
      </c>
    </row>
    <row r="29" customFormat="false" ht="15" hidden="false" customHeight="false" outlineLevel="0" collapsed="false">
      <c r="A29" s="2" t="s">
        <v>104</v>
      </c>
      <c r="B29" s="2" t="s">
        <v>105</v>
      </c>
      <c r="C29" s="2" t="s">
        <v>14</v>
      </c>
      <c r="D29" s="3" t="str">
        <f aca="false">INDEX(Lojas!$B$2:$B$11,MATCH(C29,Lojas!$A$2:$A$11,0))</f>
        <v>Loja Belo Horizonte</v>
      </c>
      <c r="E29" s="3" t="str">
        <f aca="false">INDEX(Lojas!$E$2:$E$11,MATCH(C29,Lojas!$A$2:$A$11,0))</f>
        <v>Sudeste</v>
      </c>
    </row>
    <row r="30" customFormat="false" ht="15" hidden="false" customHeight="false" outlineLevel="0" collapsed="false">
      <c r="A30" s="2" t="s">
        <v>106</v>
      </c>
      <c r="B30" s="2" t="s">
        <v>107</v>
      </c>
      <c r="C30" s="2" t="s">
        <v>14</v>
      </c>
      <c r="D30" s="3" t="str">
        <f aca="false">INDEX(Lojas!$B$2:$B$11,MATCH(C30,Lojas!$A$2:$A$11,0))</f>
        <v>Loja Belo Horizonte</v>
      </c>
      <c r="E30" s="3" t="str">
        <f aca="false">INDEX(Lojas!$E$2:$E$11,MATCH(C30,Lojas!$A$2:$A$11,0))</f>
        <v>Sudeste</v>
      </c>
    </row>
    <row r="31" customFormat="false" ht="15" hidden="false" customHeight="false" outlineLevel="0" collapsed="false">
      <c r="A31" s="2" t="s">
        <v>108</v>
      </c>
      <c r="B31" s="2" t="s">
        <v>109</v>
      </c>
      <c r="C31" s="2" t="s">
        <v>14</v>
      </c>
      <c r="D31" s="3" t="str">
        <f aca="false">INDEX(Lojas!$B$2:$B$11,MATCH(C31,Lojas!$A$2:$A$11,0))</f>
        <v>Loja Belo Horizonte</v>
      </c>
      <c r="E31" s="3" t="str">
        <f aca="false">INDEX(Lojas!$E$2:$E$11,MATCH(C31,Lojas!$A$2:$A$11,0))</f>
        <v>Sudeste</v>
      </c>
    </row>
    <row r="32" customFormat="false" ht="15" hidden="false" customHeight="false" outlineLevel="0" collapsed="false">
      <c r="A32" s="2" t="s">
        <v>110</v>
      </c>
      <c r="B32" s="2" t="s">
        <v>111</v>
      </c>
      <c r="C32" s="2" t="s">
        <v>18</v>
      </c>
      <c r="D32" s="3" t="str">
        <f aca="false">INDEX(Lojas!$B$2:$B$11,MATCH(C32,Lojas!$A$2:$A$11,0))</f>
        <v>Loja Vitória</v>
      </c>
      <c r="E32" s="3" t="str">
        <f aca="false">INDEX(Lojas!$E$2:$E$11,MATCH(C32,Lojas!$A$2:$A$11,0))</f>
        <v>Sudeste</v>
      </c>
    </row>
    <row r="33" customFormat="false" ht="15" hidden="false" customHeight="false" outlineLevel="0" collapsed="false">
      <c r="A33" s="2" t="s">
        <v>112</v>
      </c>
      <c r="B33" s="2" t="s">
        <v>113</v>
      </c>
      <c r="C33" s="2" t="s">
        <v>18</v>
      </c>
      <c r="D33" s="3" t="str">
        <f aca="false">INDEX(Lojas!$B$2:$B$11,MATCH(C33,Lojas!$A$2:$A$11,0))</f>
        <v>Loja Vitória</v>
      </c>
      <c r="E33" s="3" t="str">
        <f aca="false">INDEX(Lojas!$E$2:$E$11,MATCH(C33,Lojas!$A$2:$A$11,0))</f>
        <v>Sudeste</v>
      </c>
    </row>
    <row r="34" customFormat="false" ht="15" hidden="false" customHeight="false" outlineLevel="0" collapsed="false">
      <c r="A34" s="2" t="s">
        <v>114</v>
      </c>
      <c r="B34" s="2" t="s">
        <v>115</v>
      </c>
      <c r="C34" s="2" t="s">
        <v>18</v>
      </c>
      <c r="D34" s="3" t="str">
        <f aca="false">INDEX(Lojas!$B$2:$B$11,MATCH(C34,Lojas!$A$2:$A$11,0))</f>
        <v>Loja Vitória</v>
      </c>
      <c r="E34" s="3" t="str">
        <f aca="false">INDEX(Lojas!$E$2:$E$11,MATCH(C34,Lojas!$A$2:$A$11,0))</f>
        <v>Sudeste</v>
      </c>
    </row>
    <row r="35" customFormat="false" ht="15" hidden="false" customHeight="false" outlineLevel="0" collapsed="false">
      <c r="A35" s="2" t="s">
        <v>116</v>
      </c>
      <c r="B35" s="2" t="s">
        <v>117</v>
      </c>
      <c r="C35" s="2" t="s">
        <v>18</v>
      </c>
      <c r="D35" s="3" t="str">
        <f aca="false">INDEX(Lojas!$B$2:$B$11,MATCH(C35,Lojas!$A$2:$A$11,0))</f>
        <v>Loja Vitória</v>
      </c>
      <c r="E35" s="3" t="str">
        <f aca="false">INDEX(Lojas!$E$2:$E$11,MATCH(C35,Lojas!$A$2:$A$11,0))</f>
        <v>Sudeste</v>
      </c>
    </row>
    <row r="36" customFormat="false" ht="15" hidden="false" customHeight="false" outlineLevel="0" collapsed="false">
      <c r="A36" s="2" t="s">
        <v>118</v>
      </c>
      <c r="B36" s="2" t="s">
        <v>119</v>
      </c>
      <c r="C36" s="2" t="s">
        <v>18</v>
      </c>
      <c r="D36" s="3" t="str">
        <f aca="false">INDEX(Lojas!$B$2:$B$11,MATCH(C36,Lojas!$A$2:$A$11,0))</f>
        <v>Loja Vitória</v>
      </c>
      <c r="E36" s="3" t="str">
        <f aca="false">INDEX(Lojas!$E$2:$E$11,MATCH(C36,Lojas!$A$2:$A$11,0))</f>
        <v>Sudeste</v>
      </c>
    </row>
    <row r="37" customFormat="false" ht="15" hidden="false" customHeight="false" outlineLevel="0" collapsed="false">
      <c r="A37" s="2" t="s">
        <v>120</v>
      </c>
      <c r="B37" s="2" t="s">
        <v>121</v>
      </c>
      <c r="C37" s="2" t="s">
        <v>18</v>
      </c>
      <c r="D37" s="3" t="str">
        <f aca="false">INDEX(Lojas!$B$2:$B$11,MATCH(C37,Lojas!$A$2:$A$11,0))</f>
        <v>Loja Vitória</v>
      </c>
      <c r="E37" s="3" t="str">
        <f aca="false">INDEX(Lojas!$E$2:$E$11,MATCH(C37,Lojas!$A$2:$A$11,0))</f>
        <v>Sudeste</v>
      </c>
    </row>
    <row r="38" customFormat="false" ht="15" hidden="false" customHeight="false" outlineLevel="0" collapsed="false">
      <c r="A38" s="2" t="s">
        <v>122</v>
      </c>
      <c r="B38" s="2" t="s">
        <v>123</v>
      </c>
      <c r="C38" s="2" t="s">
        <v>18</v>
      </c>
      <c r="D38" s="3" t="str">
        <f aca="false">INDEX(Lojas!$B$2:$B$11,MATCH(C38,Lojas!$A$2:$A$11,0))</f>
        <v>Loja Vitória</v>
      </c>
      <c r="E38" s="3" t="str">
        <f aca="false">INDEX(Lojas!$E$2:$E$11,MATCH(C38,Lojas!$A$2:$A$11,0))</f>
        <v>Sudeste</v>
      </c>
    </row>
    <row r="39" customFormat="false" ht="15" hidden="false" customHeight="false" outlineLevel="0" collapsed="false">
      <c r="A39" s="2" t="s">
        <v>124</v>
      </c>
      <c r="B39" s="2" t="s">
        <v>125</v>
      </c>
      <c r="C39" s="2" t="s">
        <v>18</v>
      </c>
      <c r="D39" s="3" t="str">
        <f aca="false">INDEX(Lojas!$B$2:$B$11,MATCH(C39,Lojas!$A$2:$A$11,0))</f>
        <v>Loja Vitória</v>
      </c>
      <c r="E39" s="3" t="str">
        <f aca="false">INDEX(Lojas!$E$2:$E$11,MATCH(C39,Lojas!$A$2:$A$11,0))</f>
        <v>Sudeste</v>
      </c>
    </row>
    <row r="40" customFormat="false" ht="15" hidden="false" customHeight="false" outlineLevel="0" collapsed="false">
      <c r="A40" s="2" t="s">
        <v>126</v>
      </c>
      <c r="B40" s="2" t="s">
        <v>127</v>
      </c>
      <c r="C40" s="2" t="s">
        <v>18</v>
      </c>
      <c r="D40" s="3" t="str">
        <f aca="false">INDEX(Lojas!$B$2:$B$11,MATCH(C40,Lojas!$A$2:$A$11,0))</f>
        <v>Loja Vitória</v>
      </c>
      <c r="E40" s="3" t="str">
        <f aca="false">INDEX(Lojas!$E$2:$E$11,MATCH(C40,Lojas!$A$2:$A$11,0))</f>
        <v>Sudeste</v>
      </c>
    </row>
    <row r="41" customFormat="false" ht="15" hidden="false" customHeight="false" outlineLevel="0" collapsed="false">
      <c r="A41" s="2" t="s">
        <v>128</v>
      </c>
      <c r="B41" s="2" t="s">
        <v>113</v>
      </c>
      <c r="C41" s="2" t="s">
        <v>18</v>
      </c>
      <c r="D41" s="3" t="str">
        <f aca="false">INDEX(Lojas!$B$2:$B$11,MATCH(C41,Lojas!$A$2:$A$11,0))</f>
        <v>Loja Vitória</v>
      </c>
      <c r="E41" s="3" t="str">
        <f aca="false">INDEX(Lojas!$E$2:$E$11,MATCH(C41,Lojas!$A$2:$A$11,0))</f>
        <v>Sudeste</v>
      </c>
    </row>
    <row r="42" customFormat="false" ht="15" hidden="false" customHeight="false" outlineLevel="0" collapsed="false">
      <c r="A42" s="2" t="s">
        <v>129</v>
      </c>
      <c r="B42" s="2" t="s">
        <v>130</v>
      </c>
      <c r="C42" s="2" t="s">
        <v>22</v>
      </c>
      <c r="D42" s="3" t="str">
        <f aca="false">INDEX(Lojas!$B$2:$B$11,MATCH(C42,Lojas!$A$2:$A$11,0))</f>
        <v>Loja Curitiba</v>
      </c>
      <c r="E42" s="3" t="str">
        <f aca="false">INDEX(Lojas!$E$2:$E$11,MATCH(C42,Lojas!$A$2:$A$11,0))</f>
        <v>Sul</v>
      </c>
    </row>
    <row r="43" customFormat="false" ht="15" hidden="false" customHeight="false" outlineLevel="0" collapsed="false">
      <c r="A43" s="2" t="s">
        <v>131</v>
      </c>
      <c r="B43" s="2" t="s">
        <v>132</v>
      </c>
      <c r="C43" s="2" t="s">
        <v>22</v>
      </c>
      <c r="D43" s="3" t="str">
        <f aca="false">INDEX(Lojas!$B$2:$B$11,MATCH(C43,Lojas!$A$2:$A$11,0))</f>
        <v>Loja Curitiba</v>
      </c>
      <c r="E43" s="3" t="str">
        <f aca="false">INDEX(Lojas!$E$2:$E$11,MATCH(C43,Lojas!$A$2:$A$11,0))</f>
        <v>Sul</v>
      </c>
    </row>
    <row r="44" customFormat="false" ht="15" hidden="false" customHeight="false" outlineLevel="0" collapsed="false">
      <c r="A44" s="2" t="s">
        <v>133</v>
      </c>
      <c r="B44" s="2" t="s">
        <v>134</v>
      </c>
      <c r="C44" s="2" t="s">
        <v>22</v>
      </c>
      <c r="D44" s="3" t="str">
        <f aca="false">INDEX(Lojas!$B$2:$B$11,MATCH(C44,Lojas!$A$2:$A$11,0))</f>
        <v>Loja Curitiba</v>
      </c>
      <c r="E44" s="3" t="str">
        <f aca="false">INDEX(Lojas!$E$2:$E$11,MATCH(C44,Lojas!$A$2:$A$11,0))</f>
        <v>Sul</v>
      </c>
    </row>
    <row r="45" customFormat="false" ht="15" hidden="false" customHeight="false" outlineLevel="0" collapsed="false">
      <c r="A45" s="2" t="s">
        <v>135</v>
      </c>
      <c r="B45" s="2" t="s">
        <v>136</v>
      </c>
      <c r="C45" s="2" t="s">
        <v>22</v>
      </c>
      <c r="D45" s="3" t="str">
        <f aca="false">INDEX(Lojas!$B$2:$B$11,MATCH(C45,Lojas!$A$2:$A$11,0))</f>
        <v>Loja Curitiba</v>
      </c>
      <c r="E45" s="3" t="str">
        <f aca="false">INDEX(Lojas!$E$2:$E$11,MATCH(C45,Lojas!$A$2:$A$11,0))</f>
        <v>Sul</v>
      </c>
    </row>
    <row r="46" customFormat="false" ht="15" hidden="false" customHeight="false" outlineLevel="0" collapsed="false">
      <c r="A46" s="2" t="s">
        <v>137</v>
      </c>
      <c r="B46" s="2" t="s">
        <v>121</v>
      </c>
      <c r="C46" s="2" t="s">
        <v>22</v>
      </c>
      <c r="D46" s="3" t="str">
        <f aca="false">INDEX(Lojas!$B$2:$B$11,MATCH(C46,Lojas!$A$2:$A$11,0))</f>
        <v>Loja Curitiba</v>
      </c>
      <c r="E46" s="3" t="str">
        <f aca="false">INDEX(Lojas!$E$2:$E$11,MATCH(C46,Lojas!$A$2:$A$11,0))</f>
        <v>Sul</v>
      </c>
    </row>
    <row r="47" customFormat="false" ht="15" hidden="false" customHeight="false" outlineLevel="0" collapsed="false">
      <c r="A47" s="2" t="s">
        <v>138</v>
      </c>
      <c r="B47" s="2" t="s">
        <v>139</v>
      </c>
      <c r="C47" s="2" t="s">
        <v>22</v>
      </c>
      <c r="D47" s="3" t="str">
        <f aca="false">INDEX(Lojas!$B$2:$B$11,MATCH(C47,Lojas!$A$2:$A$11,0))</f>
        <v>Loja Curitiba</v>
      </c>
      <c r="E47" s="3" t="str">
        <f aca="false">INDEX(Lojas!$E$2:$E$11,MATCH(C47,Lojas!$A$2:$A$11,0))</f>
        <v>Sul</v>
      </c>
    </row>
    <row r="48" customFormat="false" ht="15" hidden="false" customHeight="false" outlineLevel="0" collapsed="false">
      <c r="A48" s="2" t="s">
        <v>140</v>
      </c>
      <c r="B48" s="2" t="s">
        <v>141</v>
      </c>
      <c r="C48" s="2" t="s">
        <v>22</v>
      </c>
      <c r="D48" s="3" t="str">
        <f aca="false">INDEX(Lojas!$B$2:$B$11,MATCH(C48,Lojas!$A$2:$A$11,0))</f>
        <v>Loja Curitiba</v>
      </c>
      <c r="E48" s="3" t="str">
        <f aca="false">INDEX(Lojas!$E$2:$E$11,MATCH(C48,Lojas!$A$2:$A$11,0))</f>
        <v>Sul</v>
      </c>
    </row>
    <row r="49" customFormat="false" ht="15" hidden="false" customHeight="false" outlineLevel="0" collapsed="false">
      <c r="A49" s="2" t="s">
        <v>142</v>
      </c>
      <c r="B49" s="2" t="s">
        <v>143</v>
      </c>
      <c r="C49" s="2" t="s">
        <v>22</v>
      </c>
      <c r="D49" s="3" t="str">
        <f aca="false">INDEX(Lojas!$B$2:$B$11,MATCH(C49,Lojas!$A$2:$A$11,0))</f>
        <v>Loja Curitiba</v>
      </c>
      <c r="E49" s="3" t="str">
        <f aca="false">INDEX(Lojas!$E$2:$E$11,MATCH(C49,Lojas!$A$2:$A$11,0))</f>
        <v>Sul</v>
      </c>
    </row>
    <row r="50" customFormat="false" ht="15" hidden="false" customHeight="false" outlineLevel="0" collapsed="false">
      <c r="A50" s="2" t="s">
        <v>144</v>
      </c>
      <c r="B50" s="2" t="s">
        <v>145</v>
      </c>
      <c r="C50" s="2" t="s">
        <v>22</v>
      </c>
      <c r="D50" s="3" t="str">
        <f aca="false">INDEX(Lojas!$B$2:$B$11,MATCH(C50,Lojas!$A$2:$A$11,0))</f>
        <v>Loja Curitiba</v>
      </c>
      <c r="E50" s="3" t="str">
        <f aca="false">INDEX(Lojas!$E$2:$E$11,MATCH(C50,Lojas!$A$2:$A$11,0))</f>
        <v>Sul</v>
      </c>
    </row>
    <row r="51" customFormat="false" ht="15" hidden="false" customHeight="false" outlineLevel="0" collapsed="false">
      <c r="A51" s="2" t="s">
        <v>146</v>
      </c>
      <c r="B51" s="2" t="s">
        <v>147</v>
      </c>
      <c r="C51" s="2" t="s">
        <v>22</v>
      </c>
      <c r="D51" s="3" t="str">
        <f aca="false">INDEX(Lojas!$B$2:$B$11,MATCH(C51,Lojas!$A$2:$A$11,0))</f>
        <v>Loja Curitiba</v>
      </c>
      <c r="E51" s="3" t="str">
        <f aca="false">INDEX(Lojas!$E$2:$E$11,MATCH(C51,Lojas!$A$2:$A$11,0))</f>
        <v>Sul</v>
      </c>
    </row>
    <row r="52" customFormat="false" ht="15" hidden="false" customHeight="false" outlineLevel="0" collapsed="false">
      <c r="A52" s="2" t="s">
        <v>148</v>
      </c>
      <c r="B52" s="2" t="s">
        <v>149</v>
      </c>
      <c r="C52" s="2" t="s">
        <v>27</v>
      </c>
      <c r="D52" s="3" t="str">
        <f aca="false">INDEX(Lojas!$B$2:$B$11,MATCH(C52,Lojas!$A$2:$A$11,0))</f>
        <v>Loja Porto Alegre</v>
      </c>
      <c r="E52" s="3" t="str">
        <f aca="false">INDEX(Lojas!$E$2:$E$11,MATCH(C52,Lojas!$A$2:$A$11,0))</f>
        <v>Sul</v>
      </c>
    </row>
    <row r="53" customFormat="false" ht="15" hidden="false" customHeight="false" outlineLevel="0" collapsed="false">
      <c r="A53" s="2" t="s">
        <v>150</v>
      </c>
      <c r="B53" s="2" t="s">
        <v>151</v>
      </c>
      <c r="C53" s="2" t="s">
        <v>27</v>
      </c>
      <c r="D53" s="3" t="str">
        <f aca="false">INDEX(Lojas!$B$2:$B$11,MATCH(C53,Lojas!$A$2:$A$11,0))</f>
        <v>Loja Porto Alegre</v>
      </c>
      <c r="E53" s="3" t="str">
        <f aca="false">INDEX(Lojas!$E$2:$E$11,MATCH(C53,Lojas!$A$2:$A$11,0))</f>
        <v>Sul</v>
      </c>
    </row>
    <row r="54" customFormat="false" ht="15" hidden="false" customHeight="false" outlineLevel="0" collapsed="false">
      <c r="A54" s="2" t="s">
        <v>152</v>
      </c>
      <c r="B54" s="2" t="s">
        <v>153</v>
      </c>
      <c r="C54" s="2" t="s">
        <v>27</v>
      </c>
      <c r="D54" s="3" t="str">
        <f aca="false">INDEX(Lojas!$B$2:$B$11,MATCH(C54,Lojas!$A$2:$A$11,0))</f>
        <v>Loja Porto Alegre</v>
      </c>
      <c r="E54" s="3" t="str">
        <f aca="false">INDEX(Lojas!$E$2:$E$11,MATCH(C54,Lojas!$A$2:$A$11,0))</f>
        <v>Sul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27</v>
      </c>
      <c r="D55" s="3" t="str">
        <f aca="false">INDEX(Lojas!$B$2:$B$11,MATCH(C55,Lojas!$A$2:$A$11,0))</f>
        <v>Loja Porto Alegre</v>
      </c>
      <c r="E55" s="3" t="str">
        <f aca="false">INDEX(Lojas!$E$2:$E$11,MATCH(C55,Lojas!$A$2:$A$11,0))</f>
        <v>Sul</v>
      </c>
    </row>
    <row r="56" customFormat="false" ht="15" hidden="false" customHeight="false" outlineLevel="0" collapsed="false">
      <c r="A56" s="2" t="s">
        <v>156</v>
      </c>
      <c r="B56" s="2" t="s">
        <v>157</v>
      </c>
      <c r="C56" s="2" t="s">
        <v>27</v>
      </c>
      <c r="D56" s="3" t="str">
        <f aca="false">INDEX(Lojas!$B$2:$B$11,MATCH(C56,Lojas!$A$2:$A$11,0))</f>
        <v>Loja Porto Alegre</v>
      </c>
      <c r="E56" s="3" t="str">
        <f aca="false">INDEX(Lojas!$E$2:$E$11,MATCH(C56,Lojas!$A$2:$A$11,0))</f>
        <v>Sul</v>
      </c>
    </row>
    <row r="57" customFormat="false" ht="15" hidden="false" customHeight="false" outlineLevel="0" collapsed="false">
      <c r="A57" s="2" t="s">
        <v>158</v>
      </c>
      <c r="B57" s="2" t="s">
        <v>159</v>
      </c>
      <c r="C57" s="2" t="s">
        <v>27</v>
      </c>
      <c r="D57" s="3" t="str">
        <f aca="false">INDEX(Lojas!$B$2:$B$11,MATCH(C57,Lojas!$A$2:$A$11,0))</f>
        <v>Loja Porto Alegre</v>
      </c>
      <c r="E57" s="3" t="str">
        <f aca="false">INDEX(Lojas!$E$2:$E$11,MATCH(C57,Lojas!$A$2:$A$11,0))</f>
        <v>Sul</v>
      </c>
    </row>
    <row r="58" customFormat="false" ht="15" hidden="false" customHeight="false" outlineLevel="0" collapsed="false">
      <c r="A58" s="2" t="s">
        <v>160</v>
      </c>
      <c r="B58" s="2" t="s">
        <v>161</v>
      </c>
      <c r="C58" s="2" t="s">
        <v>27</v>
      </c>
      <c r="D58" s="3" t="str">
        <f aca="false">INDEX(Lojas!$B$2:$B$11,MATCH(C58,Lojas!$A$2:$A$11,0))</f>
        <v>Loja Porto Alegre</v>
      </c>
      <c r="E58" s="3" t="str">
        <f aca="false">INDEX(Lojas!$E$2:$E$11,MATCH(C58,Lojas!$A$2:$A$11,0))</f>
        <v>Sul</v>
      </c>
    </row>
    <row r="59" customFormat="false" ht="15" hidden="false" customHeight="false" outlineLevel="0" collapsed="false">
      <c r="A59" s="2" t="s">
        <v>162</v>
      </c>
      <c r="B59" s="2" t="s">
        <v>163</v>
      </c>
      <c r="C59" s="2" t="s">
        <v>27</v>
      </c>
      <c r="D59" s="3" t="str">
        <f aca="false">INDEX(Lojas!$B$2:$B$11,MATCH(C59,Lojas!$A$2:$A$11,0))</f>
        <v>Loja Porto Alegre</v>
      </c>
      <c r="E59" s="3" t="str">
        <f aca="false">INDEX(Lojas!$E$2:$E$11,MATCH(C59,Lojas!$A$2:$A$11,0))</f>
        <v>Sul</v>
      </c>
    </row>
    <row r="60" customFormat="false" ht="15" hidden="false" customHeight="false" outlineLevel="0" collapsed="false">
      <c r="A60" s="2" t="s">
        <v>164</v>
      </c>
      <c r="B60" s="2" t="s">
        <v>165</v>
      </c>
      <c r="C60" s="2" t="s">
        <v>27</v>
      </c>
      <c r="D60" s="3" t="str">
        <f aca="false">INDEX(Lojas!$B$2:$B$11,MATCH(C60,Lojas!$A$2:$A$11,0))</f>
        <v>Loja Porto Alegre</v>
      </c>
      <c r="E60" s="3" t="str">
        <f aca="false">INDEX(Lojas!$E$2:$E$11,MATCH(C60,Lojas!$A$2:$A$11,0))</f>
        <v>Sul</v>
      </c>
    </row>
    <row r="61" customFormat="false" ht="15" hidden="false" customHeight="false" outlineLevel="0" collapsed="false">
      <c r="A61" s="2" t="s">
        <v>166</v>
      </c>
      <c r="B61" s="2" t="s">
        <v>167</v>
      </c>
      <c r="C61" s="2" t="s">
        <v>27</v>
      </c>
      <c r="D61" s="3" t="str">
        <f aca="false">INDEX(Lojas!$B$2:$B$11,MATCH(C61,Lojas!$A$2:$A$11,0))</f>
        <v>Loja Porto Alegre</v>
      </c>
      <c r="E61" s="3" t="str">
        <f aca="false">INDEX(Lojas!$E$2:$E$11,MATCH(C61,Lojas!$A$2:$A$11,0))</f>
        <v>Sul</v>
      </c>
    </row>
    <row r="62" customFormat="false" ht="15" hidden="false" customHeight="false" outlineLevel="0" collapsed="false">
      <c r="A62" s="2" t="s">
        <v>168</v>
      </c>
      <c r="B62" s="2" t="s">
        <v>169</v>
      </c>
      <c r="C62" s="2" t="s">
        <v>31</v>
      </c>
      <c r="D62" s="3" t="str">
        <f aca="false">INDEX(Lojas!$B$2:$B$11,MATCH(C62,Lojas!$A$2:$A$11,0))</f>
        <v>Loja Florianópolis</v>
      </c>
      <c r="E62" s="3" t="str">
        <f aca="false">INDEX(Lojas!$E$2:$E$11,MATCH(C62,Lojas!$A$2:$A$11,0))</f>
        <v>Sul</v>
      </c>
    </row>
    <row r="63" customFormat="false" ht="15" hidden="false" customHeight="false" outlineLevel="0" collapsed="false">
      <c r="A63" s="2" t="s">
        <v>170</v>
      </c>
      <c r="B63" s="2" t="s">
        <v>171</v>
      </c>
      <c r="C63" s="2" t="s">
        <v>31</v>
      </c>
      <c r="D63" s="3" t="str">
        <f aca="false">INDEX(Lojas!$B$2:$B$11,MATCH(C63,Lojas!$A$2:$A$11,0))</f>
        <v>Loja Florianópolis</v>
      </c>
      <c r="E63" s="3" t="str">
        <f aca="false">INDEX(Lojas!$E$2:$E$11,MATCH(C63,Lojas!$A$2:$A$11,0))</f>
        <v>Sul</v>
      </c>
    </row>
    <row r="64" customFormat="false" ht="15" hidden="false" customHeight="false" outlineLevel="0" collapsed="false">
      <c r="A64" s="2" t="s">
        <v>172</v>
      </c>
      <c r="B64" s="2" t="s">
        <v>173</v>
      </c>
      <c r="C64" s="2" t="s">
        <v>31</v>
      </c>
      <c r="D64" s="3" t="str">
        <f aca="false">INDEX(Lojas!$B$2:$B$11,MATCH(C64,Lojas!$A$2:$A$11,0))</f>
        <v>Loja Florianópolis</v>
      </c>
      <c r="E64" s="3" t="str">
        <f aca="false">INDEX(Lojas!$E$2:$E$11,MATCH(C64,Lojas!$A$2:$A$11,0))</f>
        <v>Sul</v>
      </c>
    </row>
    <row r="65" customFormat="false" ht="15" hidden="false" customHeight="false" outlineLevel="0" collapsed="false">
      <c r="A65" s="2" t="s">
        <v>174</v>
      </c>
      <c r="B65" s="2" t="s">
        <v>175</v>
      </c>
      <c r="C65" s="2" t="s">
        <v>31</v>
      </c>
      <c r="D65" s="3" t="str">
        <f aca="false">INDEX(Lojas!$B$2:$B$11,MATCH(C65,Lojas!$A$2:$A$11,0))</f>
        <v>Loja Florianópolis</v>
      </c>
      <c r="E65" s="3" t="str">
        <f aca="false">INDEX(Lojas!$E$2:$E$11,MATCH(C65,Lojas!$A$2:$A$11,0))</f>
        <v>Sul</v>
      </c>
    </row>
    <row r="66" customFormat="false" ht="15" hidden="false" customHeight="false" outlineLevel="0" collapsed="false">
      <c r="A66" s="2" t="s">
        <v>176</v>
      </c>
      <c r="B66" s="2" t="s">
        <v>177</v>
      </c>
      <c r="C66" s="2" t="s">
        <v>31</v>
      </c>
      <c r="D66" s="3" t="str">
        <f aca="false">INDEX(Lojas!$B$2:$B$11,MATCH(C66,Lojas!$A$2:$A$11,0))</f>
        <v>Loja Florianópolis</v>
      </c>
      <c r="E66" s="3" t="str">
        <f aca="false">INDEX(Lojas!$E$2:$E$11,MATCH(C66,Lojas!$A$2:$A$11,0))</f>
        <v>Sul</v>
      </c>
    </row>
    <row r="67" customFormat="false" ht="15" hidden="false" customHeight="false" outlineLevel="0" collapsed="false">
      <c r="A67" s="2" t="s">
        <v>178</v>
      </c>
      <c r="B67" s="2" t="s">
        <v>151</v>
      </c>
      <c r="C67" s="2" t="s">
        <v>31</v>
      </c>
      <c r="D67" s="3" t="str">
        <f aca="false">INDEX(Lojas!$B$2:$B$11,MATCH(C67,Lojas!$A$2:$A$11,0))</f>
        <v>Loja Florianópolis</v>
      </c>
      <c r="E67" s="3" t="str">
        <f aca="false">INDEX(Lojas!$E$2:$E$11,MATCH(C67,Lojas!$A$2:$A$11,0))</f>
        <v>Sul</v>
      </c>
    </row>
    <row r="68" customFormat="false" ht="15" hidden="false" customHeight="false" outlineLevel="0" collapsed="false">
      <c r="A68" s="2" t="s">
        <v>179</v>
      </c>
      <c r="B68" s="2" t="s">
        <v>85</v>
      </c>
      <c r="C68" s="2" t="s">
        <v>31</v>
      </c>
      <c r="D68" s="3" t="str">
        <f aca="false">INDEX(Lojas!$B$2:$B$11,MATCH(C68,Lojas!$A$2:$A$11,0))</f>
        <v>Loja Florianópolis</v>
      </c>
      <c r="E68" s="3" t="str">
        <f aca="false">INDEX(Lojas!$E$2:$E$11,MATCH(C68,Lojas!$A$2:$A$11,0))</f>
        <v>Sul</v>
      </c>
    </row>
    <row r="69" customFormat="false" ht="15" hidden="false" customHeight="false" outlineLevel="0" collapsed="false">
      <c r="A69" s="2" t="s">
        <v>180</v>
      </c>
      <c r="B69" s="2" t="s">
        <v>181</v>
      </c>
      <c r="C69" s="2" t="s">
        <v>31</v>
      </c>
      <c r="D69" s="3" t="str">
        <f aca="false">INDEX(Lojas!$B$2:$B$11,MATCH(C69,Lojas!$A$2:$A$11,0))</f>
        <v>Loja Florianópolis</v>
      </c>
      <c r="E69" s="3" t="str">
        <f aca="false">INDEX(Lojas!$E$2:$E$11,MATCH(C69,Lojas!$A$2:$A$11,0))</f>
        <v>Sul</v>
      </c>
    </row>
    <row r="70" customFormat="false" ht="15" hidden="false" customHeight="false" outlineLevel="0" collapsed="false">
      <c r="A70" s="2" t="s">
        <v>182</v>
      </c>
      <c r="B70" s="2" t="s">
        <v>127</v>
      </c>
      <c r="C70" s="2" t="s">
        <v>31</v>
      </c>
      <c r="D70" s="3" t="str">
        <f aca="false">INDEX(Lojas!$B$2:$B$11,MATCH(C70,Lojas!$A$2:$A$11,0))</f>
        <v>Loja Florianópolis</v>
      </c>
      <c r="E70" s="3" t="str">
        <f aca="false">INDEX(Lojas!$E$2:$E$11,MATCH(C70,Lojas!$A$2:$A$11,0))</f>
        <v>Sul</v>
      </c>
    </row>
    <row r="71" customFormat="false" ht="15" hidden="false" customHeight="false" outlineLevel="0" collapsed="false">
      <c r="A71" s="2" t="s">
        <v>183</v>
      </c>
      <c r="B71" s="2" t="s">
        <v>184</v>
      </c>
      <c r="C71" s="2" t="s">
        <v>31</v>
      </c>
      <c r="D71" s="3" t="str">
        <f aca="false">INDEX(Lojas!$B$2:$B$11,MATCH(C71,Lojas!$A$2:$A$11,0))</f>
        <v>Loja Florianópolis</v>
      </c>
      <c r="E71" s="3" t="str">
        <f aca="false">INDEX(Lojas!$E$2:$E$11,MATCH(C71,Lojas!$A$2:$A$11,0))</f>
        <v>Sul</v>
      </c>
    </row>
    <row r="72" customFormat="false" ht="15" hidden="false" customHeight="false" outlineLevel="0" collapsed="false">
      <c r="A72" s="2" t="s">
        <v>185</v>
      </c>
      <c r="B72" s="2" t="s">
        <v>186</v>
      </c>
      <c r="C72" s="2" t="s">
        <v>35</v>
      </c>
      <c r="D72" s="3" t="str">
        <f aca="false">INDEX(Lojas!$B$2:$B$11,MATCH(C72,Lojas!$A$2:$A$11,0))</f>
        <v>Loja Salvador</v>
      </c>
      <c r="E72" s="3" t="str">
        <f aca="false">INDEX(Lojas!$E$2:$E$11,MATCH(C72,Lojas!$A$2:$A$11,0))</f>
        <v>Nordeste</v>
      </c>
    </row>
    <row r="73" customFormat="false" ht="15" hidden="false" customHeight="false" outlineLevel="0" collapsed="false">
      <c r="A73" s="2" t="s">
        <v>187</v>
      </c>
      <c r="B73" s="2" t="s">
        <v>188</v>
      </c>
      <c r="C73" s="2" t="s">
        <v>35</v>
      </c>
      <c r="D73" s="3" t="str">
        <f aca="false">INDEX(Lojas!$B$2:$B$11,MATCH(C73,Lojas!$A$2:$A$11,0))</f>
        <v>Loja Salvador</v>
      </c>
      <c r="E73" s="3" t="str">
        <f aca="false">INDEX(Lojas!$E$2:$E$11,MATCH(C73,Lojas!$A$2:$A$11,0))</f>
        <v>Nordeste</v>
      </c>
    </row>
    <row r="74" customFormat="false" ht="15" hidden="false" customHeight="false" outlineLevel="0" collapsed="false">
      <c r="A74" s="2" t="s">
        <v>189</v>
      </c>
      <c r="B74" s="2" t="s">
        <v>190</v>
      </c>
      <c r="C74" s="2" t="s">
        <v>35</v>
      </c>
      <c r="D74" s="3" t="str">
        <f aca="false">INDEX(Lojas!$B$2:$B$11,MATCH(C74,Lojas!$A$2:$A$11,0))</f>
        <v>Loja Salvador</v>
      </c>
      <c r="E74" s="3" t="str">
        <f aca="false">INDEX(Lojas!$E$2:$E$11,MATCH(C74,Lojas!$A$2:$A$11,0))</f>
        <v>Nordeste</v>
      </c>
    </row>
    <row r="75" customFormat="false" ht="15" hidden="false" customHeight="false" outlineLevel="0" collapsed="false">
      <c r="A75" s="2" t="s">
        <v>191</v>
      </c>
      <c r="B75" s="2" t="s">
        <v>192</v>
      </c>
      <c r="C75" s="2" t="s">
        <v>35</v>
      </c>
      <c r="D75" s="3" t="str">
        <f aca="false">INDEX(Lojas!$B$2:$B$11,MATCH(C75,Lojas!$A$2:$A$11,0))</f>
        <v>Loja Salvador</v>
      </c>
      <c r="E75" s="3" t="str">
        <f aca="false">INDEX(Lojas!$E$2:$E$11,MATCH(C75,Lojas!$A$2:$A$11,0))</f>
        <v>Nordeste</v>
      </c>
    </row>
    <row r="76" customFormat="false" ht="15" hidden="false" customHeight="false" outlineLevel="0" collapsed="false">
      <c r="A76" s="2" t="s">
        <v>193</v>
      </c>
      <c r="B76" s="2" t="s">
        <v>194</v>
      </c>
      <c r="C76" s="2" t="s">
        <v>35</v>
      </c>
      <c r="D76" s="3" t="str">
        <f aca="false">INDEX(Lojas!$B$2:$B$11,MATCH(C76,Lojas!$A$2:$A$11,0))</f>
        <v>Loja Salvador</v>
      </c>
      <c r="E76" s="3" t="str">
        <f aca="false">INDEX(Lojas!$E$2:$E$11,MATCH(C76,Lojas!$A$2:$A$11,0))</f>
        <v>Nordeste</v>
      </c>
    </row>
    <row r="77" customFormat="false" ht="15" hidden="false" customHeight="false" outlineLevel="0" collapsed="false">
      <c r="A77" s="2" t="s">
        <v>195</v>
      </c>
      <c r="B77" s="2" t="s">
        <v>196</v>
      </c>
      <c r="C77" s="2" t="s">
        <v>35</v>
      </c>
      <c r="D77" s="3" t="str">
        <f aca="false">INDEX(Lojas!$B$2:$B$11,MATCH(C77,Lojas!$A$2:$A$11,0))</f>
        <v>Loja Salvador</v>
      </c>
      <c r="E77" s="3" t="str">
        <f aca="false">INDEX(Lojas!$E$2:$E$11,MATCH(C77,Lojas!$A$2:$A$11,0))</f>
        <v>Nordeste</v>
      </c>
    </row>
    <row r="78" customFormat="false" ht="15" hidden="false" customHeight="false" outlineLevel="0" collapsed="false">
      <c r="A78" s="2" t="s">
        <v>197</v>
      </c>
      <c r="B78" s="2" t="s">
        <v>198</v>
      </c>
      <c r="C78" s="2" t="s">
        <v>35</v>
      </c>
      <c r="D78" s="3" t="str">
        <f aca="false">INDEX(Lojas!$B$2:$B$11,MATCH(C78,Lojas!$A$2:$A$11,0))</f>
        <v>Loja Salvador</v>
      </c>
      <c r="E78" s="3" t="str">
        <f aca="false">INDEX(Lojas!$E$2:$E$11,MATCH(C78,Lojas!$A$2:$A$11,0))</f>
        <v>Nordeste</v>
      </c>
    </row>
    <row r="79" customFormat="false" ht="15" hidden="false" customHeight="false" outlineLevel="0" collapsed="false">
      <c r="A79" s="2" t="s">
        <v>199</v>
      </c>
      <c r="B79" s="2" t="s">
        <v>200</v>
      </c>
      <c r="C79" s="2" t="s">
        <v>35</v>
      </c>
      <c r="D79" s="3" t="str">
        <f aca="false">INDEX(Lojas!$B$2:$B$11,MATCH(C79,Lojas!$A$2:$A$11,0))</f>
        <v>Loja Salvador</v>
      </c>
      <c r="E79" s="3" t="str">
        <f aca="false">INDEX(Lojas!$E$2:$E$11,MATCH(C79,Lojas!$A$2:$A$11,0))</f>
        <v>Nordeste</v>
      </c>
    </row>
    <row r="80" customFormat="false" ht="15" hidden="false" customHeight="false" outlineLevel="0" collapsed="false">
      <c r="A80" s="2" t="s">
        <v>201</v>
      </c>
      <c r="B80" s="2" t="s">
        <v>202</v>
      </c>
      <c r="C80" s="2" t="s">
        <v>35</v>
      </c>
      <c r="D80" s="3" t="str">
        <f aca="false">INDEX(Lojas!$B$2:$B$11,MATCH(C80,Lojas!$A$2:$A$11,0))</f>
        <v>Loja Salvador</v>
      </c>
      <c r="E80" s="3" t="str">
        <f aca="false">INDEX(Lojas!$E$2:$E$11,MATCH(C80,Lojas!$A$2:$A$11,0))</f>
        <v>Nordeste</v>
      </c>
    </row>
    <row r="81" customFormat="false" ht="15" hidden="false" customHeight="false" outlineLevel="0" collapsed="false">
      <c r="A81" s="2" t="s">
        <v>203</v>
      </c>
      <c r="B81" s="2" t="s">
        <v>204</v>
      </c>
      <c r="C81" s="2" t="s">
        <v>35</v>
      </c>
      <c r="D81" s="3" t="str">
        <f aca="false">INDEX(Lojas!$B$2:$B$11,MATCH(C81,Lojas!$A$2:$A$11,0))</f>
        <v>Loja Salvador</v>
      </c>
      <c r="E81" s="3" t="str">
        <f aca="false">INDEX(Lojas!$E$2:$E$11,MATCH(C81,Lojas!$A$2:$A$11,0))</f>
        <v>Nordeste</v>
      </c>
    </row>
    <row r="82" customFormat="false" ht="15" hidden="false" customHeight="false" outlineLevel="0" collapsed="false">
      <c r="A82" s="2" t="s">
        <v>205</v>
      </c>
      <c r="B82" s="2" t="s">
        <v>206</v>
      </c>
      <c r="C82" s="2" t="s">
        <v>40</v>
      </c>
      <c r="D82" s="3" t="str">
        <f aca="false">INDEX(Lojas!$B$2:$B$11,MATCH(C82,Lojas!$A$2:$A$11,0))</f>
        <v>Loja Recife</v>
      </c>
      <c r="E82" s="3" t="str">
        <f aca="false">INDEX(Lojas!$E$2:$E$11,MATCH(C82,Lojas!$A$2:$A$11,0))</f>
        <v>Nordeste</v>
      </c>
    </row>
    <row r="83" customFormat="false" ht="15" hidden="false" customHeight="false" outlineLevel="0" collapsed="false">
      <c r="A83" s="2" t="s">
        <v>207</v>
      </c>
      <c r="B83" s="2" t="s">
        <v>208</v>
      </c>
      <c r="C83" s="2" t="s">
        <v>40</v>
      </c>
      <c r="D83" s="3" t="str">
        <f aca="false">INDEX(Lojas!$B$2:$B$11,MATCH(C83,Lojas!$A$2:$A$11,0))</f>
        <v>Loja Recife</v>
      </c>
      <c r="E83" s="3" t="str">
        <f aca="false">INDEX(Lojas!$E$2:$E$11,MATCH(C83,Lojas!$A$2:$A$11,0))</f>
        <v>Nordeste</v>
      </c>
    </row>
    <row r="84" customFormat="false" ht="15" hidden="false" customHeight="false" outlineLevel="0" collapsed="false">
      <c r="A84" s="2" t="s">
        <v>209</v>
      </c>
      <c r="B84" s="2" t="s">
        <v>210</v>
      </c>
      <c r="C84" s="2" t="s">
        <v>40</v>
      </c>
      <c r="D84" s="3" t="str">
        <f aca="false">INDEX(Lojas!$B$2:$B$11,MATCH(C84,Lojas!$A$2:$A$11,0))</f>
        <v>Loja Recife</v>
      </c>
      <c r="E84" s="3" t="str">
        <f aca="false">INDEX(Lojas!$E$2:$E$11,MATCH(C84,Lojas!$A$2:$A$11,0))</f>
        <v>Nordeste</v>
      </c>
    </row>
    <row r="85" customFormat="false" ht="15" hidden="false" customHeight="false" outlineLevel="0" collapsed="false">
      <c r="A85" s="2" t="s">
        <v>211</v>
      </c>
      <c r="B85" s="2" t="s">
        <v>212</v>
      </c>
      <c r="C85" s="2" t="s">
        <v>40</v>
      </c>
      <c r="D85" s="3" t="str">
        <f aca="false">INDEX(Lojas!$B$2:$B$11,MATCH(C85,Lojas!$A$2:$A$11,0))</f>
        <v>Loja Recife</v>
      </c>
      <c r="E85" s="3" t="str">
        <f aca="false">INDEX(Lojas!$E$2:$E$11,MATCH(C85,Lojas!$A$2:$A$11,0))</f>
        <v>Nordeste</v>
      </c>
    </row>
    <row r="86" customFormat="false" ht="15" hidden="false" customHeight="false" outlineLevel="0" collapsed="false">
      <c r="A86" s="2" t="s">
        <v>213</v>
      </c>
      <c r="B86" s="2" t="s">
        <v>214</v>
      </c>
      <c r="C86" s="2" t="s">
        <v>40</v>
      </c>
      <c r="D86" s="3" t="str">
        <f aca="false">INDEX(Lojas!$B$2:$B$11,MATCH(C86,Lojas!$A$2:$A$11,0))</f>
        <v>Loja Recife</v>
      </c>
      <c r="E86" s="3" t="str">
        <f aca="false">INDEX(Lojas!$E$2:$E$11,MATCH(C86,Lojas!$A$2:$A$11,0))</f>
        <v>Nordeste</v>
      </c>
    </row>
    <row r="87" customFormat="false" ht="15" hidden="false" customHeight="false" outlineLevel="0" collapsed="false">
      <c r="A87" s="2" t="s">
        <v>215</v>
      </c>
      <c r="B87" s="2" t="s">
        <v>216</v>
      </c>
      <c r="C87" s="2" t="s">
        <v>40</v>
      </c>
      <c r="D87" s="3" t="str">
        <f aca="false">INDEX(Lojas!$B$2:$B$11,MATCH(C87,Lojas!$A$2:$A$11,0))</f>
        <v>Loja Recife</v>
      </c>
      <c r="E87" s="3" t="str">
        <f aca="false">INDEX(Lojas!$E$2:$E$11,MATCH(C87,Lojas!$A$2:$A$11,0))</f>
        <v>Nordeste</v>
      </c>
    </row>
    <row r="88" customFormat="false" ht="15" hidden="false" customHeight="false" outlineLevel="0" collapsed="false">
      <c r="A88" s="2" t="s">
        <v>217</v>
      </c>
      <c r="B88" s="2" t="s">
        <v>218</v>
      </c>
      <c r="C88" s="2" t="s">
        <v>40</v>
      </c>
      <c r="D88" s="3" t="str">
        <f aca="false">INDEX(Lojas!$B$2:$B$11,MATCH(C88,Lojas!$A$2:$A$11,0))</f>
        <v>Loja Recife</v>
      </c>
      <c r="E88" s="3" t="str">
        <f aca="false">INDEX(Lojas!$E$2:$E$11,MATCH(C88,Lojas!$A$2:$A$11,0))</f>
        <v>Nordeste</v>
      </c>
    </row>
    <row r="89" customFormat="false" ht="15" hidden="false" customHeight="false" outlineLevel="0" collapsed="false">
      <c r="A89" s="2" t="s">
        <v>219</v>
      </c>
      <c r="B89" s="2" t="s">
        <v>220</v>
      </c>
      <c r="C89" s="2" t="s">
        <v>40</v>
      </c>
      <c r="D89" s="3" t="str">
        <f aca="false">INDEX(Lojas!$B$2:$B$11,MATCH(C89,Lojas!$A$2:$A$11,0))</f>
        <v>Loja Recife</v>
      </c>
      <c r="E89" s="3" t="str">
        <f aca="false">INDEX(Lojas!$E$2:$E$11,MATCH(C89,Lojas!$A$2:$A$11,0))</f>
        <v>Nordeste</v>
      </c>
    </row>
    <row r="90" customFormat="false" ht="15" hidden="false" customHeight="false" outlineLevel="0" collapsed="false">
      <c r="A90" s="2" t="s">
        <v>221</v>
      </c>
      <c r="B90" s="2" t="s">
        <v>222</v>
      </c>
      <c r="C90" s="2" t="s">
        <v>40</v>
      </c>
      <c r="D90" s="3" t="str">
        <f aca="false">INDEX(Lojas!$B$2:$B$11,MATCH(C90,Lojas!$A$2:$A$11,0))</f>
        <v>Loja Recife</v>
      </c>
      <c r="E90" s="3" t="str">
        <f aca="false">INDEX(Lojas!$E$2:$E$11,MATCH(C90,Lojas!$A$2:$A$11,0))</f>
        <v>Nordeste</v>
      </c>
    </row>
    <row r="91" customFormat="false" ht="15" hidden="false" customHeight="false" outlineLevel="0" collapsed="false">
      <c r="A91" s="2" t="s">
        <v>223</v>
      </c>
      <c r="B91" s="2" t="s">
        <v>224</v>
      </c>
      <c r="C91" s="2" t="s">
        <v>40</v>
      </c>
      <c r="D91" s="3" t="str">
        <f aca="false">INDEX(Lojas!$B$2:$B$11,MATCH(C91,Lojas!$A$2:$A$11,0))</f>
        <v>Loja Recife</v>
      </c>
      <c r="E91" s="3" t="str">
        <f aca="false">INDEX(Lojas!$E$2:$E$11,MATCH(C91,Lojas!$A$2:$A$11,0))</f>
        <v>Nordeste</v>
      </c>
    </row>
    <row r="92" customFormat="false" ht="15" hidden="false" customHeight="false" outlineLevel="0" collapsed="false">
      <c r="A92" s="2" t="s">
        <v>225</v>
      </c>
      <c r="B92" s="2" t="s">
        <v>226</v>
      </c>
      <c r="C92" s="2" t="s">
        <v>44</v>
      </c>
      <c r="D92" s="3" t="str">
        <f aca="false">INDEX(Lojas!$B$2:$B$11,MATCH(C92,Lojas!$A$2:$A$11,0))</f>
        <v>Loja Fortaleza</v>
      </c>
      <c r="E92" s="3" t="str">
        <f aca="false">INDEX(Lojas!$E$2:$E$11,MATCH(C92,Lojas!$A$2:$A$11,0))</f>
        <v>Nordeste</v>
      </c>
    </row>
    <row r="93" customFormat="false" ht="15" hidden="false" customHeight="false" outlineLevel="0" collapsed="false">
      <c r="A93" s="2" t="s">
        <v>227</v>
      </c>
      <c r="B93" s="2" t="s">
        <v>228</v>
      </c>
      <c r="C93" s="2" t="s">
        <v>44</v>
      </c>
      <c r="D93" s="3" t="str">
        <f aca="false">INDEX(Lojas!$B$2:$B$11,MATCH(C93,Lojas!$A$2:$A$11,0))</f>
        <v>Loja Fortaleza</v>
      </c>
      <c r="E93" s="3" t="str">
        <f aca="false">INDEX(Lojas!$E$2:$E$11,MATCH(C93,Lojas!$A$2:$A$11,0))</f>
        <v>Nordeste</v>
      </c>
    </row>
    <row r="94" customFormat="false" ht="15" hidden="false" customHeight="false" outlineLevel="0" collapsed="false">
      <c r="A94" s="2" t="s">
        <v>229</v>
      </c>
      <c r="B94" s="2" t="s">
        <v>230</v>
      </c>
      <c r="C94" s="2" t="s">
        <v>44</v>
      </c>
      <c r="D94" s="3" t="str">
        <f aca="false">INDEX(Lojas!$B$2:$B$11,MATCH(C94,Lojas!$A$2:$A$11,0))</f>
        <v>Loja Fortaleza</v>
      </c>
      <c r="E94" s="3" t="str">
        <f aca="false">INDEX(Lojas!$E$2:$E$11,MATCH(C94,Lojas!$A$2:$A$11,0))</f>
        <v>Nordeste</v>
      </c>
    </row>
    <row r="95" customFormat="false" ht="15" hidden="false" customHeight="false" outlineLevel="0" collapsed="false">
      <c r="A95" s="2" t="s">
        <v>231</v>
      </c>
      <c r="B95" s="2" t="s">
        <v>232</v>
      </c>
      <c r="C95" s="2" t="s">
        <v>44</v>
      </c>
      <c r="D95" s="3" t="str">
        <f aca="false">INDEX(Lojas!$B$2:$B$11,MATCH(C95,Lojas!$A$2:$A$11,0))</f>
        <v>Loja Fortaleza</v>
      </c>
      <c r="E95" s="3" t="str">
        <f aca="false">INDEX(Lojas!$E$2:$E$11,MATCH(C95,Lojas!$A$2:$A$11,0))</f>
        <v>Nordeste</v>
      </c>
    </row>
    <row r="96" customFormat="false" ht="15" hidden="false" customHeight="false" outlineLevel="0" collapsed="false">
      <c r="A96" s="2" t="s">
        <v>233</v>
      </c>
      <c r="B96" s="2" t="s">
        <v>234</v>
      </c>
      <c r="C96" s="2" t="s">
        <v>44</v>
      </c>
      <c r="D96" s="3" t="str">
        <f aca="false">INDEX(Lojas!$B$2:$B$11,MATCH(C96,Lojas!$A$2:$A$11,0))</f>
        <v>Loja Fortaleza</v>
      </c>
      <c r="E96" s="3" t="str">
        <f aca="false">INDEX(Lojas!$E$2:$E$11,MATCH(C96,Lojas!$A$2:$A$11,0))</f>
        <v>Nordeste</v>
      </c>
    </row>
    <row r="97" customFormat="false" ht="15" hidden="false" customHeight="false" outlineLevel="0" collapsed="false">
      <c r="A97" s="2" t="s">
        <v>235</v>
      </c>
      <c r="B97" s="2" t="s">
        <v>236</v>
      </c>
      <c r="C97" s="2" t="s">
        <v>44</v>
      </c>
      <c r="D97" s="3" t="str">
        <f aca="false">INDEX(Lojas!$B$2:$B$11,MATCH(C97,Lojas!$A$2:$A$11,0))</f>
        <v>Loja Fortaleza</v>
      </c>
      <c r="E97" s="3" t="str">
        <f aca="false">INDEX(Lojas!$E$2:$E$11,MATCH(C97,Lojas!$A$2:$A$11,0))</f>
        <v>Nordeste</v>
      </c>
    </row>
    <row r="98" customFormat="false" ht="15" hidden="false" customHeight="false" outlineLevel="0" collapsed="false">
      <c r="A98" s="2" t="s">
        <v>237</v>
      </c>
      <c r="B98" s="2" t="s">
        <v>238</v>
      </c>
      <c r="C98" s="2" t="s">
        <v>44</v>
      </c>
      <c r="D98" s="3" t="str">
        <f aca="false">INDEX(Lojas!$B$2:$B$11,MATCH(C98,Lojas!$A$2:$A$11,0))</f>
        <v>Loja Fortaleza</v>
      </c>
      <c r="E98" s="3" t="str">
        <f aca="false">INDEX(Lojas!$E$2:$E$11,MATCH(C98,Lojas!$A$2:$A$11,0))</f>
        <v>Nordeste</v>
      </c>
    </row>
    <row r="99" customFormat="false" ht="15" hidden="false" customHeight="false" outlineLevel="0" collapsed="false">
      <c r="A99" s="2" t="s">
        <v>239</v>
      </c>
      <c r="B99" s="2" t="s">
        <v>240</v>
      </c>
      <c r="C99" s="2" t="s">
        <v>44</v>
      </c>
      <c r="D99" s="3" t="str">
        <f aca="false">INDEX(Lojas!$B$2:$B$11,MATCH(C99,Lojas!$A$2:$A$11,0))</f>
        <v>Loja Fortaleza</v>
      </c>
      <c r="E99" s="3" t="str">
        <f aca="false">INDEX(Lojas!$E$2:$E$11,MATCH(C99,Lojas!$A$2:$A$11,0))</f>
        <v>Nordeste</v>
      </c>
    </row>
    <row r="100" customFormat="false" ht="15" hidden="false" customHeight="false" outlineLevel="0" collapsed="false">
      <c r="A100" s="2" t="s">
        <v>241</v>
      </c>
      <c r="B100" s="2" t="s">
        <v>242</v>
      </c>
      <c r="C100" s="2" t="s">
        <v>44</v>
      </c>
      <c r="D100" s="3" t="str">
        <f aca="false">INDEX(Lojas!$B$2:$B$11,MATCH(C100,Lojas!$A$2:$A$11,0))</f>
        <v>Loja Fortaleza</v>
      </c>
      <c r="E100" s="3" t="str">
        <f aca="false">INDEX(Lojas!$E$2:$E$11,MATCH(C100,Lojas!$A$2:$A$11,0))</f>
        <v>Nordeste</v>
      </c>
    </row>
    <row r="101" customFormat="false" ht="15" hidden="false" customHeight="false" outlineLevel="0" collapsed="false">
      <c r="A101" s="2" t="s">
        <v>243</v>
      </c>
      <c r="B101" s="2" t="s">
        <v>244</v>
      </c>
      <c r="C101" s="2" t="s">
        <v>44</v>
      </c>
      <c r="D101" s="3" t="str">
        <f aca="false">INDEX(Lojas!$B$2:$B$11,MATCH(C101,Lojas!$A$2:$A$11,0))</f>
        <v>Loja Fortaleza</v>
      </c>
      <c r="E101" s="3" t="str">
        <f aca="false">INDEX(Lojas!$E$2:$E$11,MATCH(C101,Lojas!$A$2:$A$11,0))</f>
        <v>Nordeste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</row>
    <row r="2" customFormat="false" ht="15" hidden="false" customHeight="false" outlineLevel="0" collapsed="false">
      <c r="A2" s="2" t="s">
        <v>252</v>
      </c>
      <c r="B2" s="2" t="s">
        <v>253</v>
      </c>
      <c r="C2" s="2" t="s">
        <v>254</v>
      </c>
      <c r="D2" s="4" t="n">
        <v>3199</v>
      </c>
      <c r="E2" s="4" t="n">
        <v>2350</v>
      </c>
      <c r="F2" s="5" t="n">
        <f aca="false">D2-E2</f>
        <v>849</v>
      </c>
      <c r="G2" s="6" t="n">
        <f aca="false">IFERROR(F2/D2,0)</f>
        <v>0.265395436073773</v>
      </c>
    </row>
    <row r="3" customFormat="false" ht="15" hidden="false" customHeight="false" outlineLevel="0" collapsed="false">
      <c r="A3" s="2" t="s">
        <v>255</v>
      </c>
      <c r="B3" s="2" t="s">
        <v>253</v>
      </c>
      <c r="C3" s="2" t="s">
        <v>256</v>
      </c>
      <c r="D3" s="4" t="n">
        <v>2199</v>
      </c>
      <c r="E3" s="4" t="n">
        <v>1550</v>
      </c>
      <c r="F3" s="5" t="n">
        <f aca="false">D3-E3</f>
        <v>649</v>
      </c>
      <c r="G3" s="6" t="n">
        <f aca="false">IFERROR(F3/D3,0)</f>
        <v>0.295134151887222</v>
      </c>
    </row>
    <row r="4" customFormat="false" ht="15" hidden="false" customHeight="false" outlineLevel="0" collapsed="false">
      <c r="A4" s="2" t="s">
        <v>257</v>
      </c>
      <c r="B4" s="2" t="s">
        <v>258</v>
      </c>
      <c r="C4" s="2" t="s">
        <v>259</v>
      </c>
      <c r="D4" s="4" t="n">
        <v>2499</v>
      </c>
      <c r="E4" s="4" t="n">
        <v>1800</v>
      </c>
      <c r="F4" s="5" t="n">
        <f aca="false">D4-E4</f>
        <v>699</v>
      </c>
      <c r="G4" s="6" t="n">
        <f aca="false">IFERROR(F4/D4,0)</f>
        <v>0.279711884753902</v>
      </c>
    </row>
    <row r="5" customFormat="false" ht="15" hidden="false" customHeight="false" outlineLevel="0" collapsed="false">
      <c r="A5" s="2" t="s">
        <v>260</v>
      </c>
      <c r="B5" s="2" t="s">
        <v>258</v>
      </c>
      <c r="C5" s="2" t="s">
        <v>261</v>
      </c>
      <c r="D5" s="4" t="n">
        <v>1799</v>
      </c>
      <c r="E5" s="4" t="n">
        <v>1250</v>
      </c>
      <c r="F5" s="5" t="n">
        <f aca="false">D5-E5</f>
        <v>549</v>
      </c>
      <c r="G5" s="6" t="n">
        <f aca="false">IFERROR(F5/D5,0)</f>
        <v>0.305169538632574</v>
      </c>
    </row>
    <row r="6" customFormat="false" ht="15" hidden="false" customHeight="false" outlineLevel="0" collapsed="false">
      <c r="A6" s="2" t="s">
        <v>262</v>
      </c>
      <c r="B6" s="2" t="s">
        <v>263</v>
      </c>
      <c r="C6" s="2" t="s">
        <v>264</v>
      </c>
      <c r="D6" s="4" t="n">
        <v>59.9</v>
      </c>
      <c r="E6" s="4" t="n">
        <v>28</v>
      </c>
      <c r="F6" s="5" t="n">
        <f aca="false">D6-E6</f>
        <v>31.9</v>
      </c>
      <c r="G6" s="6" t="n">
        <f aca="false">IFERROR(F6/D6,0)</f>
        <v>0.532554257095159</v>
      </c>
    </row>
    <row r="7" customFormat="false" ht="15" hidden="false" customHeight="false" outlineLevel="0" collapsed="false">
      <c r="A7" s="2" t="s">
        <v>265</v>
      </c>
      <c r="B7" s="2" t="s">
        <v>263</v>
      </c>
      <c r="C7" s="2" t="s">
        <v>266</v>
      </c>
      <c r="D7" s="4" t="n">
        <v>249.9</v>
      </c>
      <c r="E7" s="4" t="n">
        <v>145</v>
      </c>
      <c r="F7" s="5" t="n">
        <f aca="false">D7-E7</f>
        <v>104.9</v>
      </c>
      <c r="G7" s="6" t="n">
        <f aca="false">IFERROR(F7/D7,0)</f>
        <v>0.419767907162865</v>
      </c>
    </row>
    <row r="8" customFormat="false" ht="15" hidden="false" customHeight="false" outlineLevel="0" collapsed="false">
      <c r="A8" s="2" t="s">
        <v>267</v>
      </c>
      <c r="B8" s="2" t="s">
        <v>268</v>
      </c>
      <c r="C8" s="2" t="s">
        <v>269</v>
      </c>
      <c r="D8" s="4" t="n">
        <v>44.9</v>
      </c>
      <c r="E8" s="4" t="n">
        <v>18</v>
      </c>
      <c r="F8" s="5" t="n">
        <f aca="false">D8-E8</f>
        <v>26.9</v>
      </c>
      <c r="G8" s="6" t="n">
        <f aca="false">IFERROR(F8/D8,0)</f>
        <v>0.599109131403118</v>
      </c>
    </row>
    <row r="9" customFormat="false" ht="15" hidden="false" customHeight="false" outlineLevel="0" collapsed="false">
      <c r="A9" s="2" t="s">
        <v>270</v>
      </c>
      <c r="B9" s="2" t="s">
        <v>271</v>
      </c>
      <c r="C9" s="2" t="s">
        <v>272</v>
      </c>
      <c r="D9" s="4" t="n">
        <v>349.9</v>
      </c>
      <c r="E9" s="4" t="n">
        <v>215</v>
      </c>
      <c r="F9" s="5" t="n">
        <f aca="false">D9-E9</f>
        <v>134.9</v>
      </c>
      <c r="G9" s="6" t="n">
        <f aca="false">IFERROR(F9/D9,0)</f>
        <v>0.3855387253501</v>
      </c>
    </row>
    <row r="10" customFormat="false" ht="15" hidden="false" customHeight="false" outlineLevel="0" collapsed="false">
      <c r="A10" s="2" t="s">
        <v>273</v>
      </c>
      <c r="B10" s="2" t="s">
        <v>271</v>
      </c>
      <c r="C10" s="2" t="s">
        <v>274</v>
      </c>
      <c r="D10" s="4" t="n">
        <v>299.9</v>
      </c>
      <c r="E10" s="4" t="n">
        <v>175</v>
      </c>
      <c r="F10" s="5" t="n">
        <f aca="false">D10-E10</f>
        <v>124.9</v>
      </c>
      <c r="G10" s="6" t="n">
        <f aca="false">IFERROR(F10/D10,0)</f>
        <v>0.416472157385795</v>
      </c>
    </row>
    <row r="11" customFormat="false" ht="15" hidden="false" customHeight="false" outlineLevel="0" collapsed="false">
      <c r="A11" s="2" t="s">
        <v>275</v>
      </c>
      <c r="B11" s="2" t="s">
        <v>271</v>
      </c>
      <c r="C11" s="2" t="s">
        <v>276</v>
      </c>
      <c r="D11" s="4" t="n">
        <v>379.9</v>
      </c>
      <c r="E11" s="4" t="n">
        <v>235</v>
      </c>
      <c r="F11" s="5" t="n">
        <f aca="false">D11-E11</f>
        <v>144.9</v>
      </c>
      <c r="G11" s="6" t="n">
        <f aca="false">IFERROR(F11/D11,0)</f>
        <v>0.381416162147934</v>
      </c>
    </row>
    <row r="13" customFormat="false" ht="15" hidden="false" customHeight="false" outlineLevel="0" collapsed="false">
      <c r="A13" s="7" t="s">
        <v>277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12" min="9" style="0" width="14"/>
  </cols>
  <sheetData>
    <row r="1" customFormat="false" ht="15" hidden="false" customHeight="false" outlineLevel="0" collapsed="false">
      <c r="A1" s="1" t="s">
        <v>278</v>
      </c>
      <c r="B1" s="1" t="s">
        <v>279</v>
      </c>
      <c r="C1" s="1" t="s">
        <v>48</v>
      </c>
      <c r="D1" s="1" t="s">
        <v>0</v>
      </c>
      <c r="E1" s="1" t="s">
        <v>4</v>
      </c>
      <c r="F1" s="1" t="s">
        <v>245</v>
      </c>
      <c r="G1" s="1" t="s">
        <v>280</v>
      </c>
      <c r="H1" s="1" t="s">
        <v>281</v>
      </c>
      <c r="I1" s="1" t="s">
        <v>248</v>
      </c>
      <c r="J1" s="1" t="s">
        <v>282</v>
      </c>
      <c r="K1" s="1" t="s">
        <v>249</v>
      </c>
      <c r="L1" s="1" t="s">
        <v>283</v>
      </c>
    </row>
    <row r="2" customFormat="false" ht="15" hidden="false" customHeight="false" outlineLevel="0" collapsed="false">
      <c r="A2" s="2" t="s">
        <v>284</v>
      </c>
      <c r="B2" s="8" t="n">
        <v>46023</v>
      </c>
      <c r="C2" s="2" t="s">
        <v>237</v>
      </c>
      <c r="D2" s="3" t="str">
        <f aca="false">INDEX(Vendedores!$C$2:$C$101,MATCH(C2,Vendedores!$A$2:$A$101,0))</f>
        <v>L10</v>
      </c>
      <c r="E2" s="3" t="str">
        <f aca="false">INDEX(Lojas!$E$2:$E$11,MATCH(D2,Lojas!$A$2:$A$11,0))</f>
        <v>Nordeste</v>
      </c>
      <c r="F2" s="2" t="s">
        <v>255</v>
      </c>
      <c r="G2" s="3" t="str">
        <f aca="false">INDEX(Produtos!$B$2:$B$11,MATCH(F2,Produtos!$A$2:$A$11,0))&amp;" "&amp;INDEX(Produtos!$C$2:$C$11,MATCH(F2,Produtos!$A$2:$A$11,0))</f>
        <v>Notebook Positivo</v>
      </c>
      <c r="H2" s="2" t="n">
        <v>1</v>
      </c>
      <c r="I2" s="5" t="n">
        <f aca="false">INDEX(Produtos!$D$2:$D$11,MATCH(F2,Produtos!$A$2:$A$11,0))</f>
        <v>2199</v>
      </c>
      <c r="J2" s="5" t="n">
        <f aca="false">H2*I2</f>
        <v>2199</v>
      </c>
      <c r="K2" s="5" t="n">
        <f aca="false">INDEX(Produtos!$E$2:$E$11,MATCH(F2,Produtos!$A$2:$A$11,0))</f>
        <v>1550</v>
      </c>
      <c r="L2" s="5" t="n">
        <f aca="false">H2*K2</f>
        <v>1550</v>
      </c>
    </row>
    <row r="3" customFormat="false" ht="15" hidden="false" customHeight="false" outlineLevel="0" collapsed="false">
      <c r="A3" s="2" t="s">
        <v>285</v>
      </c>
      <c r="B3" s="8" t="n">
        <v>46023</v>
      </c>
      <c r="C3" s="2" t="s">
        <v>221</v>
      </c>
      <c r="D3" s="3" t="str">
        <f aca="false">INDEX(Vendedores!$C$2:$C$101,MATCH(C3,Vendedores!$A$2:$A$101,0))</f>
        <v>L09</v>
      </c>
      <c r="E3" s="3" t="str">
        <f aca="false">INDEX(Lojas!$E$2:$E$11,MATCH(D3,Lojas!$A$2:$A$11,0))</f>
        <v>Nordeste</v>
      </c>
      <c r="F3" s="2" t="s">
        <v>260</v>
      </c>
      <c r="G3" s="3" t="str">
        <f aca="false">INDEX(Produtos!$B$2:$B$11,MATCH(F3,Produtos!$A$2:$A$11,0))&amp;" "&amp;INDEX(Produtos!$C$2:$C$11,MATCH(F3,Produtos!$A$2:$A$11,0))</f>
        <v>Celular Motorola</v>
      </c>
      <c r="H3" s="2" t="n">
        <v>2</v>
      </c>
      <c r="I3" s="5" t="n">
        <f aca="false">INDEX(Produtos!$D$2:$D$11,MATCH(F3,Produtos!$A$2:$A$11,0))</f>
        <v>1799</v>
      </c>
      <c r="J3" s="5" t="n">
        <f aca="false">H3*I3</f>
        <v>3598</v>
      </c>
      <c r="K3" s="5" t="n">
        <f aca="false">INDEX(Produtos!$E$2:$E$11,MATCH(F3,Produtos!$A$2:$A$11,0))</f>
        <v>1250</v>
      </c>
      <c r="L3" s="5" t="n">
        <f aca="false">H3*K3</f>
        <v>2500</v>
      </c>
    </row>
    <row r="4" customFormat="false" ht="15" hidden="false" customHeight="false" outlineLevel="0" collapsed="false">
      <c r="A4" s="2" t="s">
        <v>286</v>
      </c>
      <c r="B4" s="8" t="n">
        <v>46023</v>
      </c>
      <c r="C4" s="2" t="s">
        <v>108</v>
      </c>
      <c r="D4" s="3" t="str">
        <f aca="false">INDEX(Vendedores!$C$2:$C$101,MATCH(C4,Vendedores!$A$2:$A$101,0))</f>
        <v>L03</v>
      </c>
      <c r="E4" s="3" t="str">
        <f aca="false">INDEX(Lojas!$E$2:$E$11,MATCH(D4,Lojas!$A$2:$A$11,0))</f>
        <v>Sudeste</v>
      </c>
      <c r="F4" s="2" t="s">
        <v>260</v>
      </c>
      <c r="G4" s="3" t="str">
        <f aca="false">INDEX(Produtos!$B$2:$B$11,MATCH(F4,Produtos!$A$2:$A$11,0))&amp;" "&amp;INDEX(Produtos!$C$2:$C$11,MATCH(F4,Produtos!$A$2:$A$11,0))</f>
        <v>Celular Motorola</v>
      </c>
      <c r="H4" s="2" t="n">
        <v>3</v>
      </c>
      <c r="I4" s="5" t="n">
        <f aca="false">INDEX(Produtos!$D$2:$D$11,MATCH(F4,Produtos!$A$2:$A$11,0))</f>
        <v>1799</v>
      </c>
      <c r="J4" s="5" t="n">
        <f aca="false">H4*I4</f>
        <v>5397</v>
      </c>
      <c r="K4" s="5" t="n">
        <f aca="false">INDEX(Produtos!$E$2:$E$11,MATCH(F4,Produtos!$A$2:$A$11,0))</f>
        <v>1250</v>
      </c>
      <c r="L4" s="5" t="n">
        <f aca="false">H4*K4</f>
        <v>3750</v>
      </c>
    </row>
    <row r="5" customFormat="false" ht="15" hidden="false" customHeight="false" outlineLevel="0" collapsed="false">
      <c r="A5" s="2" t="s">
        <v>287</v>
      </c>
      <c r="B5" s="8" t="n">
        <v>46023</v>
      </c>
      <c r="C5" s="2" t="s">
        <v>209</v>
      </c>
      <c r="D5" s="3" t="str">
        <f aca="false">INDEX(Vendedores!$C$2:$C$101,MATCH(C5,Vendedores!$A$2:$A$101,0))</f>
        <v>L09</v>
      </c>
      <c r="E5" s="3" t="str">
        <f aca="false">INDEX(Lojas!$E$2:$E$11,MATCH(D5,Lojas!$A$2:$A$11,0))</f>
        <v>Nordeste</v>
      </c>
      <c r="F5" s="2" t="s">
        <v>267</v>
      </c>
      <c r="G5" s="3" t="str">
        <f aca="false">INDEX(Produtos!$B$2:$B$11,MATCH(F5,Produtos!$A$2:$A$11,0))&amp;" "&amp;INDEX(Produtos!$C$2:$C$11,MATCH(F5,Produtos!$A$2:$A$11,0))</f>
        <v>Carregador de Celular Tipo C</v>
      </c>
      <c r="H5" s="2" t="n">
        <v>2</v>
      </c>
      <c r="I5" s="5" t="n">
        <f aca="false">INDEX(Produtos!$D$2:$D$11,MATCH(F5,Produtos!$A$2:$A$11,0))</f>
        <v>44.9</v>
      </c>
      <c r="J5" s="5" t="n">
        <f aca="false">H5*I5</f>
        <v>89.8</v>
      </c>
      <c r="K5" s="5" t="n">
        <f aca="false">INDEX(Produtos!$E$2:$E$11,MATCH(F5,Produtos!$A$2:$A$11,0))</f>
        <v>18</v>
      </c>
      <c r="L5" s="5" t="n">
        <f aca="false">H5*K5</f>
        <v>36</v>
      </c>
    </row>
    <row r="6" customFormat="false" ht="15" hidden="false" customHeight="false" outlineLevel="0" collapsed="false">
      <c r="A6" s="2" t="s">
        <v>288</v>
      </c>
      <c r="B6" s="8" t="n">
        <v>46023</v>
      </c>
      <c r="C6" s="2" t="s">
        <v>160</v>
      </c>
      <c r="D6" s="3" t="str">
        <f aca="false">INDEX(Vendedores!$C$2:$C$101,MATCH(C6,Vendedores!$A$2:$A$101,0))</f>
        <v>L06</v>
      </c>
      <c r="E6" s="3" t="str">
        <f aca="false">INDEX(Lojas!$E$2:$E$11,MATCH(D6,Lojas!$A$2:$A$11,0))</f>
        <v>Sul</v>
      </c>
      <c r="F6" s="2" t="s">
        <v>262</v>
      </c>
      <c r="G6" s="3" t="str">
        <f aca="false">INDEX(Produtos!$B$2:$B$11,MATCH(F6,Produtos!$A$2:$A$11,0))&amp;" "&amp;INDEX(Produtos!$C$2:$C$11,MATCH(F6,Produtos!$A$2:$A$11,0))</f>
        <v>Fone de Ouvido De Celular</v>
      </c>
      <c r="H6" s="2" t="n">
        <v>1</v>
      </c>
      <c r="I6" s="5" t="n">
        <f aca="false">INDEX(Produtos!$D$2:$D$11,MATCH(F6,Produtos!$A$2:$A$11,0))</f>
        <v>59.9</v>
      </c>
      <c r="J6" s="5" t="n">
        <f aca="false">H6*I6</f>
        <v>59.9</v>
      </c>
      <c r="K6" s="5" t="n">
        <f aca="false">INDEX(Produtos!$E$2:$E$11,MATCH(F6,Produtos!$A$2:$A$11,0))</f>
        <v>28</v>
      </c>
      <c r="L6" s="5" t="n">
        <f aca="false">H6*K6</f>
        <v>28</v>
      </c>
    </row>
    <row r="7" customFormat="false" ht="15" hidden="false" customHeight="false" outlineLevel="0" collapsed="false">
      <c r="A7" s="2" t="s">
        <v>289</v>
      </c>
      <c r="B7" s="8" t="n">
        <v>46023</v>
      </c>
      <c r="C7" s="2" t="s">
        <v>215</v>
      </c>
      <c r="D7" s="3" t="str">
        <f aca="false">INDEX(Vendedores!$C$2:$C$101,MATCH(C7,Vendedores!$A$2:$A$101,0))</f>
        <v>L09</v>
      </c>
      <c r="E7" s="3" t="str">
        <f aca="false">INDEX(Lojas!$E$2:$E$11,MATCH(D7,Lojas!$A$2:$A$11,0))</f>
        <v>Nordeste</v>
      </c>
      <c r="F7" s="2" t="s">
        <v>275</v>
      </c>
      <c r="G7" s="3" t="str">
        <f aca="false">INDEX(Produtos!$B$2:$B$11,MATCH(F7,Produtos!$A$2:$A$11,0))&amp;" "&amp;INDEX(Produtos!$C$2:$C$11,MATCH(F7,Produtos!$A$2:$A$11,0))</f>
        <v>Controle de Videogame PS5</v>
      </c>
      <c r="H7" s="2" t="n">
        <v>1</v>
      </c>
      <c r="I7" s="5" t="n">
        <f aca="false">INDEX(Produtos!$D$2:$D$11,MATCH(F7,Produtos!$A$2:$A$11,0))</f>
        <v>379.9</v>
      </c>
      <c r="J7" s="5" t="n">
        <f aca="false">H7*I7</f>
        <v>379.9</v>
      </c>
      <c r="K7" s="5" t="n">
        <f aca="false">INDEX(Produtos!$E$2:$E$11,MATCH(F7,Produtos!$A$2:$A$11,0))</f>
        <v>235</v>
      </c>
      <c r="L7" s="5" t="n">
        <f aca="false">H7*K7</f>
        <v>235</v>
      </c>
    </row>
    <row r="8" customFormat="false" ht="15" hidden="false" customHeight="false" outlineLevel="0" collapsed="false">
      <c r="A8" s="2" t="s">
        <v>290</v>
      </c>
      <c r="B8" s="8" t="n">
        <v>46023</v>
      </c>
      <c r="C8" s="2" t="s">
        <v>62</v>
      </c>
      <c r="D8" s="3" t="str">
        <f aca="false">INDEX(Vendedores!$C$2:$C$101,MATCH(C8,Vendedores!$A$2:$A$101,0))</f>
        <v>L01</v>
      </c>
      <c r="E8" s="3" t="str">
        <f aca="false">INDEX(Lojas!$E$2:$E$11,MATCH(D8,Lojas!$A$2:$A$11,0))</f>
        <v>Sudeste</v>
      </c>
      <c r="F8" s="2" t="s">
        <v>260</v>
      </c>
      <c r="G8" s="3" t="str">
        <f aca="false">INDEX(Produtos!$B$2:$B$11,MATCH(F8,Produtos!$A$2:$A$11,0))&amp;" "&amp;INDEX(Produtos!$C$2:$C$11,MATCH(F8,Produtos!$A$2:$A$11,0))</f>
        <v>Celular Motorola</v>
      </c>
      <c r="H8" s="2" t="n">
        <v>1</v>
      </c>
      <c r="I8" s="5" t="n">
        <f aca="false">INDEX(Produtos!$D$2:$D$11,MATCH(F8,Produtos!$A$2:$A$11,0))</f>
        <v>1799</v>
      </c>
      <c r="J8" s="5" t="n">
        <f aca="false">H8*I8</f>
        <v>1799</v>
      </c>
      <c r="K8" s="5" t="n">
        <f aca="false">INDEX(Produtos!$E$2:$E$11,MATCH(F8,Produtos!$A$2:$A$11,0))</f>
        <v>1250</v>
      </c>
      <c r="L8" s="5" t="n">
        <f aca="false">H8*K8</f>
        <v>1250</v>
      </c>
    </row>
    <row r="9" customFormat="false" ht="15" hidden="false" customHeight="false" outlineLevel="0" collapsed="false">
      <c r="A9" s="2" t="s">
        <v>291</v>
      </c>
      <c r="B9" s="8" t="n">
        <v>46023</v>
      </c>
      <c r="C9" s="2" t="s">
        <v>187</v>
      </c>
      <c r="D9" s="3" t="str">
        <f aca="false">INDEX(Vendedores!$C$2:$C$101,MATCH(C9,Vendedores!$A$2:$A$101,0))</f>
        <v>L08</v>
      </c>
      <c r="E9" s="3" t="str">
        <f aca="false">INDEX(Lojas!$E$2:$E$11,MATCH(D9,Lojas!$A$2:$A$11,0))</f>
        <v>Nordeste</v>
      </c>
      <c r="F9" s="2" t="s">
        <v>252</v>
      </c>
      <c r="G9" s="3" t="str">
        <f aca="false">INDEX(Produtos!$B$2:$B$11,MATCH(F9,Produtos!$A$2:$A$11,0))&amp;" "&amp;INDEX(Produtos!$C$2:$C$11,MATCH(F9,Produtos!$A$2:$A$11,0))</f>
        <v>Notebook Lenovo</v>
      </c>
      <c r="H9" s="2" t="n">
        <v>1</v>
      </c>
      <c r="I9" s="5" t="n">
        <f aca="false">INDEX(Produtos!$D$2:$D$11,MATCH(F9,Produtos!$A$2:$A$11,0))</f>
        <v>3199</v>
      </c>
      <c r="J9" s="5" t="n">
        <f aca="false">H9*I9</f>
        <v>3199</v>
      </c>
      <c r="K9" s="5" t="n">
        <f aca="false">INDEX(Produtos!$E$2:$E$11,MATCH(F9,Produtos!$A$2:$A$11,0))</f>
        <v>2350</v>
      </c>
      <c r="L9" s="5" t="n">
        <f aca="false">H9*K9</f>
        <v>2350</v>
      </c>
    </row>
    <row r="10" customFormat="false" ht="15" hidden="false" customHeight="false" outlineLevel="0" collapsed="false">
      <c r="A10" s="2" t="s">
        <v>292</v>
      </c>
      <c r="B10" s="8" t="n">
        <v>46023</v>
      </c>
      <c r="C10" s="2" t="s">
        <v>142</v>
      </c>
      <c r="D10" s="3" t="str">
        <f aca="false">INDEX(Vendedores!$C$2:$C$101,MATCH(C10,Vendedores!$A$2:$A$101,0))</f>
        <v>L05</v>
      </c>
      <c r="E10" s="3" t="str">
        <f aca="false">INDEX(Lojas!$E$2:$E$11,MATCH(D10,Lojas!$A$2:$A$11,0))</f>
        <v>Sul</v>
      </c>
      <c r="F10" s="2" t="s">
        <v>262</v>
      </c>
      <c r="G10" s="3" t="str">
        <f aca="false">INDEX(Produtos!$B$2:$B$11,MATCH(F10,Produtos!$A$2:$A$11,0))&amp;" "&amp;INDEX(Produtos!$C$2:$C$11,MATCH(F10,Produtos!$A$2:$A$11,0))</f>
        <v>Fone de Ouvido De Celular</v>
      </c>
      <c r="H10" s="2" t="n">
        <v>1</v>
      </c>
      <c r="I10" s="5" t="n">
        <f aca="false">INDEX(Produtos!$D$2:$D$11,MATCH(F10,Produtos!$A$2:$A$11,0))</f>
        <v>59.9</v>
      </c>
      <c r="J10" s="5" t="n">
        <f aca="false">H10*I10</f>
        <v>59.9</v>
      </c>
      <c r="K10" s="5" t="n">
        <f aca="false">INDEX(Produtos!$E$2:$E$11,MATCH(F10,Produtos!$A$2:$A$11,0))</f>
        <v>28</v>
      </c>
      <c r="L10" s="5" t="n">
        <f aca="false">H10*K10</f>
        <v>28</v>
      </c>
    </row>
    <row r="11" customFormat="false" ht="15" hidden="false" customHeight="false" outlineLevel="0" collapsed="false">
      <c r="A11" s="2" t="s">
        <v>293</v>
      </c>
      <c r="B11" s="8" t="n">
        <v>46023</v>
      </c>
      <c r="C11" s="2" t="s">
        <v>104</v>
      </c>
      <c r="D11" s="3" t="str">
        <f aca="false">INDEX(Vendedores!$C$2:$C$101,MATCH(C11,Vendedores!$A$2:$A$101,0))</f>
        <v>L03</v>
      </c>
      <c r="E11" s="3" t="str">
        <f aca="false">INDEX(Lojas!$E$2:$E$11,MATCH(D11,Lojas!$A$2:$A$11,0))</f>
        <v>Sudeste</v>
      </c>
      <c r="F11" s="2" t="s">
        <v>252</v>
      </c>
      <c r="G11" s="3" t="str">
        <f aca="false">INDEX(Produtos!$B$2:$B$11,MATCH(F11,Produtos!$A$2:$A$11,0))&amp;" "&amp;INDEX(Produtos!$C$2:$C$11,MATCH(F11,Produtos!$A$2:$A$11,0))</f>
        <v>Notebook Lenovo</v>
      </c>
      <c r="H11" s="2" t="n">
        <v>1</v>
      </c>
      <c r="I11" s="5" t="n">
        <f aca="false">INDEX(Produtos!$D$2:$D$11,MATCH(F11,Produtos!$A$2:$A$11,0))</f>
        <v>3199</v>
      </c>
      <c r="J11" s="5" t="n">
        <f aca="false">H11*I11</f>
        <v>3199</v>
      </c>
      <c r="K11" s="5" t="n">
        <f aca="false">INDEX(Produtos!$E$2:$E$11,MATCH(F11,Produtos!$A$2:$A$11,0))</f>
        <v>2350</v>
      </c>
      <c r="L11" s="5" t="n">
        <f aca="false">H11*K11</f>
        <v>2350</v>
      </c>
    </row>
    <row r="12" customFormat="false" ht="15" hidden="false" customHeight="false" outlineLevel="0" collapsed="false">
      <c r="A12" s="2" t="s">
        <v>294</v>
      </c>
      <c r="B12" s="8" t="n">
        <v>46023</v>
      </c>
      <c r="C12" s="2" t="s">
        <v>120</v>
      </c>
      <c r="D12" s="3" t="str">
        <f aca="false">INDEX(Vendedores!$C$2:$C$101,MATCH(C12,Vendedores!$A$2:$A$101,0))</f>
        <v>L04</v>
      </c>
      <c r="E12" s="3" t="str">
        <f aca="false">INDEX(Lojas!$E$2:$E$11,MATCH(D12,Lojas!$A$2:$A$11,0))</f>
        <v>Sudeste</v>
      </c>
      <c r="F12" s="2" t="s">
        <v>262</v>
      </c>
      <c r="G12" s="3" t="str">
        <f aca="false">INDEX(Produtos!$B$2:$B$11,MATCH(F12,Produtos!$A$2:$A$11,0))&amp;" "&amp;INDEX(Produtos!$C$2:$C$11,MATCH(F12,Produtos!$A$2:$A$11,0))</f>
        <v>Fone de Ouvido De Celular</v>
      </c>
      <c r="H12" s="2" t="n">
        <v>2</v>
      </c>
      <c r="I12" s="5" t="n">
        <f aca="false">INDEX(Produtos!$D$2:$D$11,MATCH(F12,Produtos!$A$2:$A$11,0))</f>
        <v>59.9</v>
      </c>
      <c r="J12" s="5" t="n">
        <f aca="false">H12*I12</f>
        <v>119.8</v>
      </c>
      <c r="K12" s="5" t="n">
        <f aca="false">INDEX(Produtos!$E$2:$E$11,MATCH(F12,Produtos!$A$2:$A$11,0))</f>
        <v>28</v>
      </c>
      <c r="L12" s="5" t="n">
        <f aca="false">H12*K12</f>
        <v>56</v>
      </c>
    </row>
    <row r="13" customFormat="false" ht="15" hidden="false" customHeight="false" outlineLevel="0" collapsed="false">
      <c r="A13" s="2" t="s">
        <v>295</v>
      </c>
      <c r="B13" s="8" t="n">
        <v>46023</v>
      </c>
      <c r="C13" s="2" t="s">
        <v>213</v>
      </c>
      <c r="D13" s="3" t="str">
        <f aca="false">INDEX(Vendedores!$C$2:$C$101,MATCH(C13,Vendedores!$A$2:$A$101,0))</f>
        <v>L09</v>
      </c>
      <c r="E13" s="3" t="str">
        <f aca="false">INDEX(Lojas!$E$2:$E$11,MATCH(D13,Lojas!$A$2:$A$11,0))</f>
        <v>Nordeste</v>
      </c>
      <c r="F13" s="2" t="s">
        <v>267</v>
      </c>
      <c r="G13" s="3" t="str">
        <f aca="false">INDEX(Produtos!$B$2:$B$11,MATCH(F13,Produtos!$A$2:$A$11,0))&amp;" "&amp;INDEX(Produtos!$C$2:$C$11,MATCH(F13,Produtos!$A$2:$A$11,0))</f>
        <v>Carregador de Celular Tipo C</v>
      </c>
      <c r="H13" s="2" t="n">
        <v>2</v>
      </c>
      <c r="I13" s="5" t="n">
        <f aca="false">INDEX(Produtos!$D$2:$D$11,MATCH(F13,Produtos!$A$2:$A$11,0))</f>
        <v>44.9</v>
      </c>
      <c r="J13" s="5" t="n">
        <f aca="false">H13*I13</f>
        <v>89.8</v>
      </c>
      <c r="K13" s="5" t="n">
        <f aca="false">INDEX(Produtos!$E$2:$E$11,MATCH(F13,Produtos!$A$2:$A$11,0))</f>
        <v>18</v>
      </c>
      <c r="L13" s="5" t="n">
        <f aca="false">H13*K13</f>
        <v>36</v>
      </c>
    </row>
    <row r="14" customFormat="false" ht="15" hidden="false" customHeight="false" outlineLevel="0" collapsed="false">
      <c r="A14" s="2" t="s">
        <v>296</v>
      </c>
      <c r="B14" s="8" t="n">
        <v>46023</v>
      </c>
      <c r="C14" s="2" t="s">
        <v>131</v>
      </c>
      <c r="D14" s="3" t="str">
        <f aca="false">INDEX(Vendedores!$C$2:$C$101,MATCH(C14,Vendedores!$A$2:$A$101,0))</f>
        <v>L05</v>
      </c>
      <c r="E14" s="3" t="str">
        <f aca="false">INDEX(Lojas!$E$2:$E$11,MATCH(D14,Lojas!$A$2:$A$11,0))</f>
        <v>Sul</v>
      </c>
      <c r="F14" s="2" t="s">
        <v>270</v>
      </c>
      <c r="G14" s="3" t="str">
        <f aca="false">INDEX(Produtos!$B$2:$B$11,MATCH(F14,Produtos!$A$2:$A$11,0))&amp;" "&amp;INDEX(Produtos!$C$2:$C$11,MATCH(F14,Produtos!$A$2:$A$11,0))</f>
        <v>Controle de Videogame Xbox</v>
      </c>
      <c r="H14" s="2" t="n">
        <v>1</v>
      </c>
      <c r="I14" s="5" t="n">
        <f aca="false">INDEX(Produtos!$D$2:$D$11,MATCH(F14,Produtos!$A$2:$A$11,0))</f>
        <v>349.9</v>
      </c>
      <c r="J14" s="5" t="n">
        <f aca="false">H14*I14</f>
        <v>349.9</v>
      </c>
      <c r="K14" s="5" t="n">
        <f aca="false">INDEX(Produtos!$E$2:$E$11,MATCH(F14,Produtos!$A$2:$A$11,0))</f>
        <v>215</v>
      </c>
      <c r="L14" s="5" t="n">
        <f aca="false">H14*K14</f>
        <v>215</v>
      </c>
    </row>
    <row r="15" customFormat="false" ht="15" hidden="false" customHeight="false" outlineLevel="0" collapsed="false">
      <c r="A15" s="2" t="s">
        <v>297</v>
      </c>
      <c r="B15" s="8" t="n">
        <v>46023</v>
      </c>
      <c r="C15" s="2" t="s">
        <v>70</v>
      </c>
      <c r="D15" s="3" t="str">
        <f aca="false">INDEX(Vendedores!$C$2:$C$101,MATCH(C15,Vendedores!$A$2:$A$101,0))</f>
        <v>L02</v>
      </c>
      <c r="E15" s="3" t="str">
        <f aca="false">INDEX(Lojas!$E$2:$E$11,MATCH(D15,Lojas!$A$2:$A$11,0))</f>
        <v>Sudeste</v>
      </c>
      <c r="F15" s="2" t="s">
        <v>252</v>
      </c>
      <c r="G15" s="3" t="str">
        <f aca="false">INDEX(Produtos!$B$2:$B$11,MATCH(F15,Produtos!$A$2:$A$11,0))&amp;" "&amp;INDEX(Produtos!$C$2:$C$11,MATCH(F15,Produtos!$A$2:$A$11,0))</f>
        <v>Notebook Lenovo</v>
      </c>
      <c r="H15" s="2" t="n">
        <v>1</v>
      </c>
      <c r="I15" s="5" t="n">
        <f aca="false">INDEX(Produtos!$D$2:$D$11,MATCH(F15,Produtos!$A$2:$A$11,0))</f>
        <v>3199</v>
      </c>
      <c r="J15" s="5" t="n">
        <f aca="false">H15*I15</f>
        <v>3199</v>
      </c>
      <c r="K15" s="5" t="n">
        <f aca="false">INDEX(Produtos!$E$2:$E$11,MATCH(F15,Produtos!$A$2:$A$11,0))</f>
        <v>2350</v>
      </c>
      <c r="L15" s="5" t="n">
        <f aca="false">H15*K15</f>
        <v>2350</v>
      </c>
    </row>
    <row r="16" customFormat="false" ht="15" hidden="false" customHeight="false" outlineLevel="0" collapsed="false">
      <c r="A16" s="2" t="s">
        <v>298</v>
      </c>
      <c r="B16" s="8" t="n">
        <v>46024</v>
      </c>
      <c r="C16" s="2" t="s">
        <v>135</v>
      </c>
      <c r="D16" s="3" t="str">
        <f aca="false">INDEX(Vendedores!$C$2:$C$101,MATCH(C16,Vendedores!$A$2:$A$101,0))</f>
        <v>L05</v>
      </c>
      <c r="E16" s="3" t="str">
        <f aca="false">INDEX(Lojas!$E$2:$E$11,MATCH(D16,Lojas!$A$2:$A$11,0))</f>
        <v>Sul</v>
      </c>
      <c r="F16" s="2" t="s">
        <v>255</v>
      </c>
      <c r="G16" s="3" t="str">
        <f aca="false">INDEX(Produtos!$B$2:$B$11,MATCH(F16,Produtos!$A$2:$A$11,0))&amp;" "&amp;INDEX(Produtos!$C$2:$C$11,MATCH(F16,Produtos!$A$2:$A$11,0))</f>
        <v>Notebook Positivo</v>
      </c>
      <c r="H16" s="2" t="n">
        <v>1</v>
      </c>
      <c r="I16" s="5" t="n">
        <f aca="false">INDEX(Produtos!$D$2:$D$11,MATCH(F16,Produtos!$A$2:$A$11,0))</f>
        <v>2199</v>
      </c>
      <c r="J16" s="5" t="n">
        <f aca="false">H16*I16</f>
        <v>2199</v>
      </c>
      <c r="K16" s="5" t="n">
        <f aca="false">INDEX(Produtos!$E$2:$E$11,MATCH(F16,Produtos!$A$2:$A$11,0))</f>
        <v>1550</v>
      </c>
      <c r="L16" s="5" t="n">
        <f aca="false">H16*K16</f>
        <v>1550</v>
      </c>
    </row>
    <row r="17" customFormat="false" ht="15" hidden="false" customHeight="false" outlineLevel="0" collapsed="false">
      <c r="A17" s="2" t="s">
        <v>299</v>
      </c>
      <c r="B17" s="8" t="n">
        <v>46024</v>
      </c>
      <c r="C17" s="2" t="s">
        <v>223</v>
      </c>
      <c r="D17" s="3" t="str">
        <f aca="false">INDEX(Vendedores!$C$2:$C$101,MATCH(C17,Vendedores!$A$2:$A$101,0))</f>
        <v>L09</v>
      </c>
      <c r="E17" s="3" t="str">
        <f aca="false">INDEX(Lojas!$E$2:$E$11,MATCH(D17,Lojas!$A$2:$A$11,0))</f>
        <v>Nordeste</v>
      </c>
      <c r="F17" s="2" t="s">
        <v>267</v>
      </c>
      <c r="G17" s="3" t="str">
        <f aca="false">INDEX(Produtos!$B$2:$B$11,MATCH(F17,Produtos!$A$2:$A$11,0))&amp;" "&amp;INDEX(Produtos!$C$2:$C$11,MATCH(F17,Produtos!$A$2:$A$11,0))</f>
        <v>Carregador de Celular Tipo C</v>
      </c>
      <c r="H17" s="2" t="n">
        <v>2</v>
      </c>
      <c r="I17" s="5" t="n">
        <f aca="false">INDEX(Produtos!$D$2:$D$11,MATCH(F17,Produtos!$A$2:$A$11,0))</f>
        <v>44.9</v>
      </c>
      <c r="J17" s="5" t="n">
        <f aca="false">H17*I17</f>
        <v>89.8</v>
      </c>
      <c r="K17" s="5" t="n">
        <f aca="false">INDEX(Produtos!$E$2:$E$11,MATCH(F17,Produtos!$A$2:$A$11,0))</f>
        <v>18</v>
      </c>
      <c r="L17" s="5" t="n">
        <f aca="false">H17*K17</f>
        <v>36</v>
      </c>
    </row>
    <row r="18" customFormat="false" ht="15" hidden="false" customHeight="false" outlineLevel="0" collapsed="false">
      <c r="A18" s="2" t="s">
        <v>300</v>
      </c>
      <c r="B18" s="8" t="n">
        <v>46024</v>
      </c>
      <c r="C18" s="2" t="s">
        <v>154</v>
      </c>
      <c r="D18" s="3" t="str">
        <f aca="false">INDEX(Vendedores!$C$2:$C$101,MATCH(C18,Vendedores!$A$2:$A$101,0))</f>
        <v>L06</v>
      </c>
      <c r="E18" s="3" t="str">
        <f aca="false">INDEX(Lojas!$E$2:$E$11,MATCH(D18,Lojas!$A$2:$A$11,0))</f>
        <v>Sul</v>
      </c>
      <c r="F18" s="2" t="s">
        <v>275</v>
      </c>
      <c r="G18" s="3" t="str">
        <f aca="false">INDEX(Produtos!$B$2:$B$11,MATCH(F18,Produtos!$A$2:$A$11,0))&amp;" "&amp;INDEX(Produtos!$C$2:$C$11,MATCH(F18,Produtos!$A$2:$A$11,0))</f>
        <v>Controle de Videogame PS5</v>
      </c>
      <c r="H18" s="2" t="n">
        <v>1</v>
      </c>
      <c r="I18" s="5" t="n">
        <f aca="false">INDEX(Produtos!$D$2:$D$11,MATCH(F18,Produtos!$A$2:$A$11,0))</f>
        <v>379.9</v>
      </c>
      <c r="J18" s="5" t="n">
        <f aca="false">H18*I18</f>
        <v>379.9</v>
      </c>
      <c r="K18" s="5" t="n">
        <f aca="false">INDEX(Produtos!$E$2:$E$11,MATCH(F18,Produtos!$A$2:$A$11,0))</f>
        <v>235</v>
      </c>
      <c r="L18" s="5" t="n">
        <f aca="false">H18*K18</f>
        <v>235</v>
      </c>
    </row>
    <row r="19" customFormat="false" ht="15" hidden="false" customHeight="false" outlineLevel="0" collapsed="false">
      <c r="A19" s="2" t="s">
        <v>301</v>
      </c>
      <c r="B19" s="8" t="n">
        <v>46024</v>
      </c>
      <c r="C19" s="2" t="s">
        <v>66</v>
      </c>
      <c r="D19" s="3" t="str">
        <f aca="false">INDEX(Vendedores!$C$2:$C$101,MATCH(C19,Vendedores!$A$2:$A$101,0))</f>
        <v>L01</v>
      </c>
      <c r="E19" s="3" t="str">
        <f aca="false">INDEX(Lojas!$E$2:$E$11,MATCH(D19,Lojas!$A$2:$A$11,0))</f>
        <v>Sudeste</v>
      </c>
      <c r="F19" s="2" t="s">
        <v>257</v>
      </c>
      <c r="G19" s="3" t="str">
        <f aca="false">INDEX(Produtos!$B$2:$B$11,MATCH(F19,Produtos!$A$2:$A$11,0))&amp;" "&amp;INDEX(Produtos!$C$2:$C$11,MATCH(F19,Produtos!$A$2:$A$11,0))</f>
        <v>Celular Samsung</v>
      </c>
      <c r="H19" s="2" t="n">
        <v>3</v>
      </c>
      <c r="I19" s="5" t="n">
        <f aca="false">INDEX(Produtos!$D$2:$D$11,MATCH(F19,Produtos!$A$2:$A$11,0))</f>
        <v>2499</v>
      </c>
      <c r="J19" s="5" t="n">
        <f aca="false">H19*I19</f>
        <v>7497</v>
      </c>
      <c r="K19" s="5" t="n">
        <f aca="false">INDEX(Produtos!$E$2:$E$11,MATCH(F19,Produtos!$A$2:$A$11,0))</f>
        <v>1800</v>
      </c>
      <c r="L19" s="5" t="n">
        <f aca="false">H19*K19</f>
        <v>5400</v>
      </c>
    </row>
    <row r="20" customFormat="false" ht="15" hidden="false" customHeight="false" outlineLevel="0" collapsed="false">
      <c r="A20" s="2" t="s">
        <v>302</v>
      </c>
      <c r="B20" s="8" t="n">
        <v>46024</v>
      </c>
      <c r="C20" s="2" t="s">
        <v>112</v>
      </c>
      <c r="D20" s="3" t="str">
        <f aca="false">INDEX(Vendedores!$C$2:$C$101,MATCH(C20,Vendedores!$A$2:$A$101,0))</f>
        <v>L04</v>
      </c>
      <c r="E20" s="3" t="str">
        <f aca="false">INDEX(Lojas!$E$2:$E$11,MATCH(D20,Lojas!$A$2:$A$11,0))</f>
        <v>Sudeste</v>
      </c>
      <c r="F20" s="2" t="s">
        <v>262</v>
      </c>
      <c r="G20" s="3" t="str">
        <f aca="false">INDEX(Produtos!$B$2:$B$11,MATCH(F20,Produtos!$A$2:$A$11,0))&amp;" "&amp;INDEX(Produtos!$C$2:$C$11,MATCH(F20,Produtos!$A$2:$A$11,0))</f>
        <v>Fone de Ouvido De Celular</v>
      </c>
      <c r="H20" s="2" t="n">
        <v>1</v>
      </c>
      <c r="I20" s="5" t="n">
        <f aca="false">INDEX(Produtos!$D$2:$D$11,MATCH(F20,Produtos!$A$2:$A$11,0))</f>
        <v>59.9</v>
      </c>
      <c r="J20" s="5" t="n">
        <f aca="false">H20*I20</f>
        <v>59.9</v>
      </c>
      <c r="K20" s="5" t="n">
        <f aca="false">INDEX(Produtos!$E$2:$E$11,MATCH(F20,Produtos!$A$2:$A$11,0))</f>
        <v>28</v>
      </c>
      <c r="L20" s="5" t="n">
        <f aca="false">H20*K20</f>
        <v>28</v>
      </c>
    </row>
    <row r="21" customFormat="false" ht="15" hidden="false" customHeight="false" outlineLevel="0" collapsed="false">
      <c r="A21" s="2" t="s">
        <v>303</v>
      </c>
      <c r="B21" s="8" t="n">
        <v>46024</v>
      </c>
      <c r="C21" s="2" t="s">
        <v>193</v>
      </c>
      <c r="D21" s="3" t="str">
        <f aca="false">INDEX(Vendedores!$C$2:$C$101,MATCH(C21,Vendedores!$A$2:$A$101,0))</f>
        <v>L08</v>
      </c>
      <c r="E21" s="3" t="str">
        <f aca="false">INDEX(Lojas!$E$2:$E$11,MATCH(D21,Lojas!$A$2:$A$11,0))</f>
        <v>Nordeste</v>
      </c>
      <c r="F21" s="2" t="s">
        <v>273</v>
      </c>
      <c r="G21" s="3" t="str">
        <f aca="false">INDEX(Produtos!$B$2:$B$11,MATCH(F21,Produtos!$A$2:$A$11,0))&amp;" "&amp;INDEX(Produtos!$C$2:$C$11,MATCH(F21,Produtos!$A$2:$A$11,0))</f>
        <v>Controle de Videogame PS4</v>
      </c>
      <c r="H21" s="2" t="n">
        <v>3</v>
      </c>
      <c r="I21" s="5" t="n">
        <f aca="false">INDEX(Produtos!$D$2:$D$11,MATCH(F21,Produtos!$A$2:$A$11,0))</f>
        <v>299.9</v>
      </c>
      <c r="J21" s="5" t="n">
        <f aca="false">H21*I21</f>
        <v>899.7</v>
      </c>
      <c r="K21" s="5" t="n">
        <f aca="false">INDEX(Produtos!$E$2:$E$11,MATCH(F21,Produtos!$A$2:$A$11,0))</f>
        <v>175</v>
      </c>
      <c r="L21" s="5" t="n">
        <f aca="false">H21*K21</f>
        <v>525</v>
      </c>
    </row>
    <row r="22" customFormat="false" ht="15" hidden="false" customHeight="false" outlineLevel="0" collapsed="false">
      <c r="A22" s="2" t="s">
        <v>304</v>
      </c>
      <c r="B22" s="8" t="n">
        <v>46024</v>
      </c>
      <c r="C22" s="2" t="s">
        <v>203</v>
      </c>
      <c r="D22" s="3" t="str">
        <f aca="false">INDEX(Vendedores!$C$2:$C$101,MATCH(C22,Vendedores!$A$2:$A$101,0))</f>
        <v>L08</v>
      </c>
      <c r="E22" s="3" t="str">
        <f aca="false">INDEX(Lojas!$E$2:$E$11,MATCH(D22,Lojas!$A$2:$A$11,0))</f>
        <v>Nordeste</v>
      </c>
      <c r="F22" s="2" t="s">
        <v>267</v>
      </c>
      <c r="G22" s="3" t="str">
        <f aca="false">INDEX(Produtos!$B$2:$B$11,MATCH(F22,Produtos!$A$2:$A$11,0))&amp;" "&amp;INDEX(Produtos!$C$2:$C$11,MATCH(F22,Produtos!$A$2:$A$11,0))</f>
        <v>Carregador de Celular Tipo C</v>
      </c>
      <c r="H22" s="2" t="n">
        <v>1</v>
      </c>
      <c r="I22" s="5" t="n">
        <f aca="false">INDEX(Produtos!$D$2:$D$11,MATCH(F22,Produtos!$A$2:$A$11,0))</f>
        <v>44.9</v>
      </c>
      <c r="J22" s="5" t="n">
        <f aca="false">H22*I22</f>
        <v>44.9</v>
      </c>
      <c r="K22" s="5" t="n">
        <f aca="false">INDEX(Produtos!$E$2:$E$11,MATCH(F22,Produtos!$A$2:$A$11,0))</f>
        <v>18</v>
      </c>
      <c r="L22" s="5" t="n">
        <f aca="false">H22*K22</f>
        <v>18</v>
      </c>
    </row>
    <row r="23" customFormat="false" ht="15" hidden="false" customHeight="false" outlineLevel="0" collapsed="false">
      <c r="A23" s="2" t="s">
        <v>305</v>
      </c>
      <c r="B23" s="8" t="n">
        <v>46024</v>
      </c>
      <c r="C23" s="2" t="s">
        <v>80</v>
      </c>
      <c r="D23" s="3" t="str">
        <f aca="false">INDEX(Vendedores!$C$2:$C$101,MATCH(C23,Vendedores!$A$2:$A$101,0))</f>
        <v>L02</v>
      </c>
      <c r="E23" s="3" t="str">
        <f aca="false">INDEX(Lojas!$E$2:$E$11,MATCH(D23,Lojas!$A$2:$A$11,0))</f>
        <v>Sudeste</v>
      </c>
      <c r="F23" s="2" t="s">
        <v>257</v>
      </c>
      <c r="G23" s="3" t="str">
        <f aca="false">INDEX(Produtos!$B$2:$B$11,MATCH(F23,Produtos!$A$2:$A$11,0))&amp;" "&amp;INDEX(Produtos!$C$2:$C$11,MATCH(F23,Produtos!$A$2:$A$11,0))</f>
        <v>Celular Samsung</v>
      </c>
      <c r="H23" s="2" t="n">
        <v>1</v>
      </c>
      <c r="I23" s="5" t="n">
        <f aca="false">INDEX(Produtos!$D$2:$D$11,MATCH(F23,Produtos!$A$2:$A$11,0))</f>
        <v>2499</v>
      </c>
      <c r="J23" s="5" t="n">
        <f aca="false">H23*I23</f>
        <v>2499</v>
      </c>
      <c r="K23" s="5" t="n">
        <f aca="false">INDEX(Produtos!$E$2:$E$11,MATCH(F23,Produtos!$A$2:$A$11,0))</f>
        <v>1800</v>
      </c>
      <c r="L23" s="5" t="n">
        <f aca="false">H23*K23</f>
        <v>1800</v>
      </c>
    </row>
    <row r="24" customFormat="false" ht="15" hidden="false" customHeight="false" outlineLevel="0" collapsed="false">
      <c r="A24" s="2" t="s">
        <v>306</v>
      </c>
      <c r="B24" s="8" t="n">
        <v>46024</v>
      </c>
      <c r="C24" s="2" t="s">
        <v>162</v>
      </c>
      <c r="D24" s="3" t="str">
        <f aca="false">INDEX(Vendedores!$C$2:$C$101,MATCH(C24,Vendedores!$A$2:$A$101,0))</f>
        <v>L06</v>
      </c>
      <c r="E24" s="3" t="str">
        <f aca="false">INDEX(Lojas!$E$2:$E$11,MATCH(D24,Lojas!$A$2:$A$11,0))</f>
        <v>Sul</v>
      </c>
      <c r="F24" s="2" t="s">
        <v>265</v>
      </c>
      <c r="G24" s="3" t="str">
        <f aca="false">INDEX(Produtos!$B$2:$B$11,MATCH(F24,Produtos!$A$2:$A$11,0))&amp;" "&amp;INDEX(Produtos!$C$2:$C$11,MATCH(F24,Produtos!$A$2:$A$11,0))</f>
        <v>Fone de Ouvido Headset</v>
      </c>
      <c r="H24" s="2" t="n">
        <v>1</v>
      </c>
      <c r="I24" s="5" t="n">
        <f aca="false">INDEX(Produtos!$D$2:$D$11,MATCH(F24,Produtos!$A$2:$A$11,0))</f>
        <v>249.9</v>
      </c>
      <c r="J24" s="5" t="n">
        <f aca="false">H24*I24</f>
        <v>249.9</v>
      </c>
      <c r="K24" s="5" t="n">
        <f aca="false">INDEX(Produtos!$E$2:$E$11,MATCH(F24,Produtos!$A$2:$A$11,0))</f>
        <v>145</v>
      </c>
      <c r="L24" s="5" t="n">
        <f aca="false">H24*K24</f>
        <v>145</v>
      </c>
    </row>
    <row r="25" customFormat="false" ht="15" hidden="false" customHeight="false" outlineLevel="0" collapsed="false">
      <c r="A25" s="2" t="s">
        <v>307</v>
      </c>
      <c r="B25" s="8" t="n">
        <v>46024</v>
      </c>
      <c r="C25" s="2" t="s">
        <v>235</v>
      </c>
      <c r="D25" s="3" t="str">
        <f aca="false">INDEX(Vendedores!$C$2:$C$101,MATCH(C25,Vendedores!$A$2:$A$101,0))</f>
        <v>L10</v>
      </c>
      <c r="E25" s="3" t="str">
        <f aca="false">INDEX(Lojas!$E$2:$E$11,MATCH(D25,Lojas!$A$2:$A$11,0))</f>
        <v>Nordeste</v>
      </c>
      <c r="F25" s="2" t="s">
        <v>267</v>
      </c>
      <c r="G25" s="3" t="str">
        <f aca="false">INDEX(Produtos!$B$2:$B$11,MATCH(F25,Produtos!$A$2:$A$11,0))&amp;" "&amp;INDEX(Produtos!$C$2:$C$11,MATCH(F25,Produtos!$A$2:$A$11,0))</f>
        <v>Carregador de Celular Tipo C</v>
      </c>
      <c r="H25" s="2" t="n">
        <v>1</v>
      </c>
      <c r="I25" s="5" t="n">
        <f aca="false">INDEX(Produtos!$D$2:$D$11,MATCH(F25,Produtos!$A$2:$A$11,0))</f>
        <v>44.9</v>
      </c>
      <c r="J25" s="5" t="n">
        <f aca="false">H25*I25</f>
        <v>44.9</v>
      </c>
      <c r="K25" s="5" t="n">
        <f aca="false">INDEX(Produtos!$E$2:$E$11,MATCH(F25,Produtos!$A$2:$A$11,0))</f>
        <v>18</v>
      </c>
      <c r="L25" s="5" t="n">
        <f aca="false">H25*K25</f>
        <v>18</v>
      </c>
    </row>
    <row r="26" customFormat="false" ht="15" hidden="false" customHeight="false" outlineLevel="0" collapsed="false">
      <c r="A26" s="2" t="s">
        <v>308</v>
      </c>
      <c r="B26" s="8" t="n">
        <v>46024</v>
      </c>
      <c r="C26" s="2" t="s">
        <v>241</v>
      </c>
      <c r="D26" s="3" t="str">
        <f aca="false">INDEX(Vendedores!$C$2:$C$101,MATCH(C26,Vendedores!$A$2:$A$101,0))</f>
        <v>L10</v>
      </c>
      <c r="E26" s="3" t="str">
        <f aca="false">INDEX(Lojas!$E$2:$E$11,MATCH(D26,Lojas!$A$2:$A$11,0))</f>
        <v>Nordeste</v>
      </c>
      <c r="F26" s="2" t="s">
        <v>270</v>
      </c>
      <c r="G26" s="3" t="str">
        <f aca="false">INDEX(Produtos!$B$2:$B$11,MATCH(F26,Produtos!$A$2:$A$11,0))&amp;" "&amp;INDEX(Produtos!$C$2:$C$11,MATCH(F26,Produtos!$A$2:$A$11,0))</f>
        <v>Controle de Videogame Xbox</v>
      </c>
      <c r="H26" s="2" t="n">
        <v>1</v>
      </c>
      <c r="I26" s="5" t="n">
        <f aca="false">INDEX(Produtos!$D$2:$D$11,MATCH(F26,Produtos!$A$2:$A$11,0))</f>
        <v>349.9</v>
      </c>
      <c r="J26" s="5" t="n">
        <f aca="false">H26*I26</f>
        <v>349.9</v>
      </c>
      <c r="K26" s="5" t="n">
        <f aca="false">INDEX(Produtos!$E$2:$E$11,MATCH(F26,Produtos!$A$2:$A$11,0))</f>
        <v>215</v>
      </c>
      <c r="L26" s="5" t="n">
        <f aca="false">H26*K26</f>
        <v>215</v>
      </c>
    </row>
    <row r="27" customFormat="false" ht="15" hidden="false" customHeight="false" outlineLevel="0" collapsed="false">
      <c r="A27" s="2" t="s">
        <v>309</v>
      </c>
      <c r="B27" s="8" t="n">
        <v>46025</v>
      </c>
      <c r="C27" s="2" t="s">
        <v>150</v>
      </c>
      <c r="D27" s="3" t="str">
        <f aca="false">INDEX(Vendedores!$C$2:$C$101,MATCH(C27,Vendedores!$A$2:$A$101,0))</f>
        <v>L06</v>
      </c>
      <c r="E27" s="3" t="str">
        <f aca="false">INDEX(Lojas!$E$2:$E$11,MATCH(D27,Lojas!$A$2:$A$11,0))</f>
        <v>Sul</v>
      </c>
      <c r="F27" s="2" t="s">
        <v>275</v>
      </c>
      <c r="G27" s="3" t="str">
        <f aca="false">INDEX(Produtos!$B$2:$B$11,MATCH(F27,Produtos!$A$2:$A$11,0))&amp;" "&amp;INDEX(Produtos!$C$2:$C$11,MATCH(F27,Produtos!$A$2:$A$11,0))</f>
        <v>Controle de Videogame PS5</v>
      </c>
      <c r="H27" s="2" t="n">
        <v>2</v>
      </c>
      <c r="I27" s="5" t="n">
        <f aca="false">INDEX(Produtos!$D$2:$D$11,MATCH(F27,Produtos!$A$2:$A$11,0))</f>
        <v>379.9</v>
      </c>
      <c r="J27" s="5" t="n">
        <f aca="false">H27*I27</f>
        <v>759.8</v>
      </c>
      <c r="K27" s="5" t="n">
        <f aca="false">INDEX(Produtos!$E$2:$E$11,MATCH(F27,Produtos!$A$2:$A$11,0))</f>
        <v>235</v>
      </c>
      <c r="L27" s="5" t="n">
        <f aca="false">H27*K27</f>
        <v>470</v>
      </c>
    </row>
    <row r="28" customFormat="false" ht="15" hidden="false" customHeight="false" outlineLevel="0" collapsed="false">
      <c r="A28" s="2" t="s">
        <v>310</v>
      </c>
      <c r="B28" s="8" t="n">
        <v>46025</v>
      </c>
      <c r="C28" s="2" t="s">
        <v>166</v>
      </c>
      <c r="D28" s="3" t="str">
        <f aca="false">INDEX(Vendedores!$C$2:$C$101,MATCH(C28,Vendedores!$A$2:$A$101,0))</f>
        <v>L06</v>
      </c>
      <c r="E28" s="3" t="str">
        <f aca="false">INDEX(Lojas!$E$2:$E$11,MATCH(D28,Lojas!$A$2:$A$11,0))</f>
        <v>Sul</v>
      </c>
      <c r="F28" s="2" t="s">
        <v>275</v>
      </c>
      <c r="G28" s="3" t="str">
        <f aca="false">INDEX(Produtos!$B$2:$B$11,MATCH(F28,Produtos!$A$2:$A$11,0))&amp;" "&amp;INDEX(Produtos!$C$2:$C$11,MATCH(F28,Produtos!$A$2:$A$11,0))</f>
        <v>Controle de Videogame PS5</v>
      </c>
      <c r="H28" s="2" t="n">
        <v>1</v>
      </c>
      <c r="I28" s="5" t="n">
        <f aca="false">INDEX(Produtos!$D$2:$D$11,MATCH(F28,Produtos!$A$2:$A$11,0))</f>
        <v>379.9</v>
      </c>
      <c r="J28" s="5" t="n">
        <f aca="false">H28*I28</f>
        <v>379.9</v>
      </c>
      <c r="K28" s="5" t="n">
        <f aca="false">INDEX(Produtos!$E$2:$E$11,MATCH(F28,Produtos!$A$2:$A$11,0))</f>
        <v>235</v>
      </c>
      <c r="L28" s="5" t="n">
        <f aca="false">H28*K28</f>
        <v>235</v>
      </c>
    </row>
    <row r="29" customFormat="false" ht="15" hidden="false" customHeight="false" outlineLevel="0" collapsed="false">
      <c r="A29" s="2" t="s">
        <v>311</v>
      </c>
      <c r="B29" s="8" t="n">
        <v>46025</v>
      </c>
      <c r="C29" s="2" t="s">
        <v>54</v>
      </c>
      <c r="D29" s="3" t="str">
        <f aca="false">INDEX(Vendedores!$C$2:$C$101,MATCH(C29,Vendedores!$A$2:$A$101,0))</f>
        <v>L01</v>
      </c>
      <c r="E29" s="3" t="str">
        <f aca="false">INDEX(Lojas!$E$2:$E$11,MATCH(D29,Lojas!$A$2:$A$11,0))</f>
        <v>Sudeste</v>
      </c>
      <c r="F29" s="2" t="s">
        <v>262</v>
      </c>
      <c r="G29" s="3" t="str">
        <f aca="false">INDEX(Produtos!$B$2:$B$11,MATCH(F29,Produtos!$A$2:$A$11,0))&amp;" "&amp;INDEX(Produtos!$C$2:$C$11,MATCH(F29,Produtos!$A$2:$A$11,0))</f>
        <v>Fone de Ouvido De Celular</v>
      </c>
      <c r="H29" s="2" t="n">
        <v>2</v>
      </c>
      <c r="I29" s="5" t="n">
        <f aca="false">INDEX(Produtos!$D$2:$D$11,MATCH(F29,Produtos!$A$2:$A$11,0))</f>
        <v>59.9</v>
      </c>
      <c r="J29" s="5" t="n">
        <f aca="false">H29*I29</f>
        <v>119.8</v>
      </c>
      <c r="K29" s="5" t="n">
        <f aca="false">INDEX(Produtos!$E$2:$E$11,MATCH(F29,Produtos!$A$2:$A$11,0))</f>
        <v>28</v>
      </c>
      <c r="L29" s="5" t="n">
        <f aca="false">H29*K29</f>
        <v>56</v>
      </c>
    </row>
    <row r="30" customFormat="false" ht="15" hidden="false" customHeight="false" outlineLevel="0" collapsed="false">
      <c r="A30" s="2" t="s">
        <v>312</v>
      </c>
      <c r="B30" s="8" t="n">
        <v>46025</v>
      </c>
      <c r="C30" s="2" t="s">
        <v>172</v>
      </c>
      <c r="D30" s="3" t="str">
        <f aca="false">INDEX(Vendedores!$C$2:$C$101,MATCH(C30,Vendedores!$A$2:$A$101,0))</f>
        <v>L07</v>
      </c>
      <c r="E30" s="3" t="str">
        <f aca="false">INDEX(Lojas!$E$2:$E$11,MATCH(D30,Lojas!$A$2:$A$11,0))</f>
        <v>Sul</v>
      </c>
      <c r="F30" s="2" t="s">
        <v>262</v>
      </c>
      <c r="G30" s="3" t="str">
        <f aca="false">INDEX(Produtos!$B$2:$B$11,MATCH(F30,Produtos!$A$2:$A$11,0))&amp;" "&amp;INDEX(Produtos!$C$2:$C$11,MATCH(F30,Produtos!$A$2:$A$11,0))</f>
        <v>Fone de Ouvido De Celular</v>
      </c>
      <c r="H30" s="2" t="n">
        <v>3</v>
      </c>
      <c r="I30" s="5" t="n">
        <f aca="false">INDEX(Produtos!$D$2:$D$11,MATCH(F30,Produtos!$A$2:$A$11,0))</f>
        <v>59.9</v>
      </c>
      <c r="J30" s="5" t="n">
        <f aca="false">H30*I30</f>
        <v>179.7</v>
      </c>
      <c r="K30" s="5" t="n">
        <f aca="false">INDEX(Produtos!$E$2:$E$11,MATCH(F30,Produtos!$A$2:$A$11,0))</f>
        <v>28</v>
      </c>
      <c r="L30" s="5" t="n">
        <f aca="false">H30*K30</f>
        <v>84</v>
      </c>
    </row>
    <row r="31" customFormat="false" ht="15" hidden="false" customHeight="false" outlineLevel="0" collapsed="false">
      <c r="A31" s="2" t="s">
        <v>313</v>
      </c>
      <c r="B31" s="8" t="n">
        <v>46025</v>
      </c>
      <c r="C31" s="2" t="s">
        <v>213</v>
      </c>
      <c r="D31" s="3" t="str">
        <f aca="false">INDEX(Vendedores!$C$2:$C$101,MATCH(C31,Vendedores!$A$2:$A$101,0))</f>
        <v>L09</v>
      </c>
      <c r="E31" s="3" t="str">
        <f aca="false">INDEX(Lojas!$E$2:$E$11,MATCH(D31,Lojas!$A$2:$A$11,0))</f>
        <v>Nordeste</v>
      </c>
      <c r="F31" s="2" t="s">
        <v>262</v>
      </c>
      <c r="G31" s="3" t="str">
        <f aca="false">INDEX(Produtos!$B$2:$B$11,MATCH(F31,Produtos!$A$2:$A$11,0))&amp;" "&amp;INDEX(Produtos!$C$2:$C$11,MATCH(F31,Produtos!$A$2:$A$11,0))</f>
        <v>Fone de Ouvido De Celular</v>
      </c>
      <c r="H31" s="2" t="n">
        <v>1</v>
      </c>
      <c r="I31" s="5" t="n">
        <f aca="false">INDEX(Produtos!$D$2:$D$11,MATCH(F31,Produtos!$A$2:$A$11,0))</f>
        <v>59.9</v>
      </c>
      <c r="J31" s="5" t="n">
        <f aca="false">H31*I31</f>
        <v>59.9</v>
      </c>
      <c r="K31" s="5" t="n">
        <f aca="false">INDEX(Produtos!$E$2:$E$11,MATCH(F31,Produtos!$A$2:$A$11,0))</f>
        <v>28</v>
      </c>
      <c r="L31" s="5" t="n">
        <f aca="false">H31*K31</f>
        <v>28</v>
      </c>
    </row>
    <row r="32" customFormat="false" ht="15" hidden="false" customHeight="false" outlineLevel="0" collapsed="false">
      <c r="A32" s="2" t="s">
        <v>314</v>
      </c>
      <c r="B32" s="8" t="n">
        <v>46025</v>
      </c>
      <c r="C32" s="2" t="s">
        <v>213</v>
      </c>
      <c r="D32" s="3" t="str">
        <f aca="false">INDEX(Vendedores!$C$2:$C$101,MATCH(C32,Vendedores!$A$2:$A$101,0))</f>
        <v>L09</v>
      </c>
      <c r="E32" s="3" t="str">
        <f aca="false">INDEX(Lojas!$E$2:$E$11,MATCH(D32,Lojas!$A$2:$A$11,0))</f>
        <v>Nordeste</v>
      </c>
      <c r="F32" s="2" t="s">
        <v>275</v>
      </c>
      <c r="G32" s="3" t="str">
        <f aca="false">INDEX(Produtos!$B$2:$B$11,MATCH(F32,Produtos!$A$2:$A$11,0))&amp;" "&amp;INDEX(Produtos!$C$2:$C$11,MATCH(F32,Produtos!$A$2:$A$11,0))</f>
        <v>Controle de Videogame PS5</v>
      </c>
      <c r="H32" s="2" t="n">
        <v>1</v>
      </c>
      <c r="I32" s="5" t="n">
        <f aca="false">INDEX(Produtos!$D$2:$D$11,MATCH(F32,Produtos!$A$2:$A$11,0))</f>
        <v>379.9</v>
      </c>
      <c r="J32" s="5" t="n">
        <f aca="false">H32*I32</f>
        <v>379.9</v>
      </c>
      <c r="K32" s="5" t="n">
        <f aca="false">INDEX(Produtos!$E$2:$E$11,MATCH(F32,Produtos!$A$2:$A$11,0))</f>
        <v>235</v>
      </c>
      <c r="L32" s="5" t="n">
        <f aca="false">H32*K32</f>
        <v>235</v>
      </c>
    </row>
    <row r="33" customFormat="false" ht="15" hidden="false" customHeight="false" outlineLevel="0" collapsed="false">
      <c r="A33" s="2" t="s">
        <v>315</v>
      </c>
      <c r="B33" s="8" t="n">
        <v>46026</v>
      </c>
      <c r="C33" s="2" t="s">
        <v>68</v>
      </c>
      <c r="D33" s="3" t="str">
        <f aca="false">INDEX(Vendedores!$C$2:$C$101,MATCH(C33,Vendedores!$A$2:$A$101,0))</f>
        <v>L01</v>
      </c>
      <c r="E33" s="3" t="str">
        <f aca="false">INDEX(Lojas!$E$2:$E$11,MATCH(D33,Lojas!$A$2:$A$11,0))</f>
        <v>Sudeste</v>
      </c>
      <c r="F33" s="2" t="s">
        <v>273</v>
      </c>
      <c r="G33" s="3" t="str">
        <f aca="false">INDEX(Produtos!$B$2:$B$11,MATCH(F33,Produtos!$A$2:$A$11,0))&amp;" "&amp;INDEX(Produtos!$C$2:$C$11,MATCH(F33,Produtos!$A$2:$A$11,0))</f>
        <v>Controle de Videogame PS4</v>
      </c>
      <c r="H33" s="2" t="n">
        <v>1</v>
      </c>
      <c r="I33" s="5" t="n">
        <f aca="false">INDEX(Produtos!$D$2:$D$11,MATCH(F33,Produtos!$A$2:$A$11,0))</f>
        <v>299.9</v>
      </c>
      <c r="J33" s="5" t="n">
        <f aca="false">H33*I33</f>
        <v>299.9</v>
      </c>
      <c r="K33" s="5" t="n">
        <f aca="false">INDEX(Produtos!$E$2:$E$11,MATCH(F33,Produtos!$A$2:$A$11,0))</f>
        <v>175</v>
      </c>
      <c r="L33" s="5" t="n">
        <f aca="false">H33*K33</f>
        <v>175</v>
      </c>
    </row>
    <row r="34" customFormat="false" ht="15" hidden="false" customHeight="false" outlineLevel="0" collapsed="false">
      <c r="A34" s="2" t="s">
        <v>316</v>
      </c>
      <c r="B34" s="8" t="n">
        <v>46026</v>
      </c>
      <c r="C34" s="2" t="s">
        <v>154</v>
      </c>
      <c r="D34" s="3" t="str">
        <f aca="false">INDEX(Vendedores!$C$2:$C$101,MATCH(C34,Vendedores!$A$2:$A$101,0))</f>
        <v>L06</v>
      </c>
      <c r="E34" s="3" t="str">
        <f aca="false">INDEX(Lojas!$E$2:$E$11,MATCH(D34,Lojas!$A$2:$A$11,0))</f>
        <v>Sul</v>
      </c>
      <c r="F34" s="2" t="s">
        <v>270</v>
      </c>
      <c r="G34" s="3" t="str">
        <f aca="false">INDEX(Produtos!$B$2:$B$11,MATCH(F34,Produtos!$A$2:$A$11,0))&amp;" "&amp;INDEX(Produtos!$C$2:$C$11,MATCH(F34,Produtos!$A$2:$A$11,0))</f>
        <v>Controle de Videogame Xbox</v>
      </c>
      <c r="H34" s="2" t="n">
        <v>1</v>
      </c>
      <c r="I34" s="5" t="n">
        <f aca="false">INDEX(Produtos!$D$2:$D$11,MATCH(F34,Produtos!$A$2:$A$11,0))</f>
        <v>349.9</v>
      </c>
      <c r="J34" s="5" t="n">
        <f aca="false">H34*I34</f>
        <v>349.9</v>
      </c>
      <c r="K34" s="5" t="n">
        <f aca="false">INDEX(Produtos!$E$2:$E$11,MATCH(F34,Produtos!$A$2:$A$11,0))</f>
        <v>215</v>
      </c>
      <c r="L34" s="5" t="n">
        <f aca="false">H34*K34</f>
        <v>215</v>
      </c>
    </row>
    <row r="35" customFormat="false" ht="15" hidden="false" customHeight="false" outlineLevel="0" collapsed="false">
      <c r="A35" s="2" t="s">
        <v>317</v>
      </c>
      <c r="B35" s="8" t="n">
        <v>46026</v>
      </c>
      <c r="C35" s="2" t="s">
        <v>135</v>
      </c>
      <c r="D35" s="3" t="str">
        <f aca="false">INDEX(Vendedores!$C$2:$C$101,MATCH(C35,Vendedores!$A$2:$A$101,0))</f>
        <v>L05</v>
      </c>
      <c r="E35" s="3" t="str">
        <f aca="false">INDEX(Lojas!$E$2:$E$11,MATCH(D35,Lojas!$A$2:$A$11,0))</f>
        <v>Sul</v>
      </c>
      <c r="F35" s="2" t="s">
        <v>262</v>
      </c>
      <c r="G35" s="3" t="str">
        <f aca="false">INDEX(Produtos!$B$2:$B$11,MATCH(F35,Produtos!$A$2:$A$11,0))&amp;" "&amp;INDEX(Produtos!$C$2:$C$11,MATCH(F35,Produtos!$A$2:$A$11,0))</f>
        <v>Fone de Ouvido De Celular</v>
      </c>
      <c r="H35" s="2" t="n">
        <v>1</v>
      </c>
      <c r="I35" s="5" t="n">
        <f aca="false">INDEX(Produtos!$D$2:$D$11,MATCH(F35,Produtos!$A$2:$A$11,0))</f>
        <v>59.9</v>
      </c>
      <c r="J35" s="5" t="n">
        <f aca="false">H35*I35</f>
        <v>59.9</v>
      </c>
      <c r="K35" s="5" t="n">
        <f aca="false">INDEX(Produtos!$E$2:$E$11,MATCH(F35,Produtos!$A$2:$A$11,0))</f>
        <v>28</v>
      </c>
      <c r="L35" s="5" t="n">
        <f aca="false">H35*K35</f>
        <v>28</v>
      </c>
    </row>
    <row r="36" customFormat="false" ht="15" hidden="false" customHeight="false" outlineLevel="0" collapsed="false">
      <c r="A36" s="2" t="s">
        <v>318</v>
      </c>
      <c r="B36" s="8" t="n">
        <v>46026</v>
      </c>
      <c r="C36" s="2" t="s">
        <v>88</v>
      </c>
      <c r="D36" s="3" t="str">
        <f aca="false">INDEX(Vendedores!$C$2:$C$101,MATCH(C36,Vendedores!$A$2:$A$101,0))</f>
        <v>L02</v>
      </c>
      <c r="E36" s="3" t="str">
        <f aca="false">INDEX(Lojas!$E$2:$E$11,MATCH(D36,Lojas!$A$2:$A$11,0))</f>
        <v>Sudeste</v>
      </c>
      <c r="F36" s="2" t="s">
        <v>252</v>
      </c>
      <c r="G36" s="3" t="str">
        <f aca="false">INDEX(Produtos!$B$2:$B$11,MATCH(F36,Produtos!$A$2:$A$11,0))&amp;" "&amp;INDEX(Produtos!$C$2:$C$11,MATCH(F36,Produtos!$A$2:$A$11,0))</f>
        <v>Notebook Lenovo</v>
      </c>
      <c r="H36" s="2" t="n">
        <v>1</v>
      </c>
      <c r="I36" s="5" t="n">
        <f aca="false">INDEX(Produtos!$D$2:$D$11,MATCH(F36,Produtos!$A$2:$A$11,0))</f>
        <v>3199</v>
      </c>
      <c r="J36" s="5" t="n">
        <f aca="false">H36*I36</f>
        <v>3199</v>
      </c>
      <c r="K36" s="5" t="n">
        <f aca="false">INDEX(Produtos!$E$2:$E$11,MATCH(F36,Produtos!$A$2:$A$11,0))</f>
        <v>2350</v>
      </c>
      <c r="L36" s="5" t="n">
        <f aca="false">H36*K36</f>
        <v>2350</v>
      </c>
    </row>
    <row r="37" customFormat="false" ht="15" hidden="false" customHeight="false" outlineLevel="0" collapsed="false">
      <c r="A37" s="2" t="s">
        <v>319</v>
      </c>
      <c r="B37" s="8" t="n">
        <v>46026</v>
      </c>
      <c r="C37" s="2" t="s">
        <v>183</v>
      </c>
      <c r="D37" s="3" t="str">
        <f aca="false">INDEX(Vendedores!$C$2:$C$101,MATCH(C37,Vendedores!$A$2:$A$101,0))</f>
        <v>L07</v>
      </c>
      <c r="E37" s="3" t="str">
        <f aca="false">INDEX(Lojas!$E$2:$E$11,MATCH(D37,Lojas!$A$2:$A$11,0))</f>
        <v>Sul</v>
      </c>
      <c r="F37" s="2" t="s">
        <v>262</v>
      </c>
      <c r="G37" s="3" t="str">
        <f aca="false">INDEX(Produtos!$B$2:$B$11,MATCH(F37,Produtos!$A$2:$A$11,0))&amp;" "&amp;INDEX(Produtos!$C$2:$C$11,MATCH(F37,Produtos!$A$2:$A$11,0))</f>
        <v>Fone de Ouvido De Celular</v>
      </c>
      <c r="H37" s="2" t="n">
        <v>2</v>
      </c>
      <c r="I37" s="5" t="n">
        <f aca="false">INDEX(Produtos!$D$2:$D$11,MATCH(F37,Produtos!$A$2:$A$11,0))</f>
        <v>59.9</v>
      </c>
      <c r="J37" s="5" t="n">
        <f aca="false">H37*I37</f>
        <v>119.8</v>
      </c>
      <c r="K37" s="5" t="n">
        <f aca="false">INDEX(Produtos!$E$2:$E$11,MATCH(F37,Produtos!$A$2:$A$11,0))</f>
        <v>28</v>
      </c>
      <c r="L37" s="5" t="n">
        <f aca="false">H37*K37</f>
        <v>56</v>
      </c>
    </row>
    <row r="38" customFormat="false" ht="15" hidden="false" customHeight="false" outlineLevel="0" collapsed="false">
      <c r="A38" s="2" t="s">
        <v>320</v>
      </c>
      <c r="B38" s="8" t="n">
        <v>46026</v>
      </c>
      <c r="C38" s="2" t="s">
        <v>129</v>
      </c>
      <c r="D38" s="3" t="str">
        <f aca="false">INDEX(Vendedores!$C$2:$C$101,MATCH(C38,Vendedores!$A$2:$A$101,0))</f>
        <v>L05</v>
      </c>
      <c r="E38" s="3" t="str">
        <f aca="false">INDEX(Lojas!$E$2:$E$11,MATCH(D38,Lojas!$A$2:$A$11,0))</f>
        <v>Sul</v>
      </c>
      <c r="F38" s="2" t="s">
        <v>267</v>
      </c>
      <c r="G38" s="3" t="str">
        <f aca="false">INDEX(Produtos!$B$2:$B$11,MATCH(F38,Produtos!$A$2:$A$11,0))&amp;" "&amp;INDEX(Produtos!$C$2:$C$11,MATCH(F38,Produtos!$A$2:$A$11,0))</f>
        <v>Carregador de Celular Tipo C</v>
      </c>
      <c r="H38" s="2" t="n">
        <v>1</v>
      </c>
      <c r="I38" s="5" t="n">
        <f aca="false">INDEX(Produtos!$D$2:$D$11,MATCH(F38,Produtos!$A$2:$A$11,0))</f>
        <v>44.9</v>
      </c>
      <c r="J38" s="5" t="n">
        <f aca="false">H38*I38</f>
        <v>44.9</v>
      </c>
      <c r="K38" s="5" t="n">
        <f aca="false">INDEX(Produtos!$E$2:$E$11,MATCH(F38,Produtos!$A$2:$A$11,0))</f>
        <v>18</v>
      </c>
      <c r="L38" s="5" t="n">
        <f aca="false">H38*K38</f>
        <v>18</v>
      </c>
    </row>
    <row r="39" customFormat="false" ht="15" hidden="false" customHeight="false" outlineLevel="0" collapsed="false">
      <c r="A39" s="2" t="s">
        <v>321</v>
      </c>
      <c r="B39" s="8" t="n">
        <v>46026</v>
      </c>
      <c r="C39" s="2" t="s">
        <v>193</v>
      </c>
      <c r="D39" s="3" t="str">
        <f aca="false">INDEX(Vendedores!$C$2:$C$101,MATCH(C39,Vendedores!$A$2:$A$101,0))</f>
        <v>L08</v>
      </c>
      <c r="E39" s="3" t="str">
        <f aca="false">INDEX(Lojas!$E$2:$E$11,MATCH(D39,Lojas!$A$2:$A$11,0))</f>
        <v>Nordeste</v>
      </c>
      <c r="F39" s="2" t="s">
        <v>255</v>
      </c>
      <c r="G39" s="3" t="str">
        <f aca="false">INDEX(Produtos!$B$2:$B$11,MATCH(F39,Produtos!$A$2:$A$11,0))&amp;" "&amp;INDEX(Produtos!$C$2:$C$11,MATCH(F39,Produtos!$A$2:$A$11,0))</f>
        <v>Notebook Positivo</v>
      </c>
      <c r="H39" s="2" t="n">
        <v>1</v>
      </c>
      <c r="I39" s="5" t="n">
        <f aca="false">INDEX(Produtos!$D$2:$D$11,MATCH(F39,Produtos!$A$2:$A$11,0))</f>
        <v>2199</v>
      </c>
      <c r="J39" s="5" t="n">
        <f aca="false">H39*I39</f>
        <v>2199</v>
      </c>
      <c r="K39" s="5" t="n">
        <f aca="false">INDEX(Produtos!$E$2:$E$11,MATCH(F39,Produtos!$A$2:$A$11,0))</f>
        <v>1550</v>
      </c>
      <c r="L39" s="5" t="n">
        <f aca="false">H39*K39</f>
        <v>1550</v>
      </c>
    </row>
    <row r="40" customFormat="false" ht="15" hidden="false" customHeight="false" outlineLevel="0" collapsed="false">
      <c r="A40" s="2" t="s">
        <v>322</v>
      </c>
      <c r="B40" s="8" t="n">
        <v>46026</v>
      </c>
      <c r="C40" s="2" t="s">
        <v>90</v>
      </c>
      <c r="D40" s="3" t="str">
        <f aca="false">INDEX(Vendedores!$C$2:$C$101,MATCH(C40,Vendedores!$A$2:$A$101,0))</f>
        <v>L03</v>
      </c>
      <c r="E40" s="3" t="str">
        <f aca="false">INDEX(Lojas!$E$2:$E$11,MATCH(D40,Lojas!$A$2:$A$11,0))</f>
        <v>Sudeste</v>
      </c>
      <c r="F40" s="2" t="s">
        <v>262</v>
      </c>
      <c r="G40" s="3" t="str">
        <f aca="false">INDEX(Produtos!$B$2:$B$11,MATCH(F40,Produtos!$A$2:$A$11,0))&amp;" "&amp;INDEX(Produtos!$C$2:$C$11,MATCH(F40,Produtos!$A$2:$A$11,0))</f>
        <v>Fone de Ouvido De Celular</v>
      </c>
      <c r="H40" s="2" t="n">
        <v>1</v>
      </c>
      <c r="I40" s="5" t="n">
        <f aca="false">INDEX(Produtos!$D$2:$D$11,MATCH(F40,Produtos!$A$2:$A$11,0))</f>
        <v>59.9</v>
      </c>
      <c r="J40" s="5" t="n">
        <f aca="false">H40*I40</f>
        <v>59.9</v>
      </c>
      <c r="K40" s="5" t="n">
        <f aca="false">INDEX(Produtos!$E$2:$E$11,MATCH(F40,Produtos!$A$2:$A$11,0))</f>
        <v>28</v>
      </c>
      <c r="L40" s="5" t="n">
        <f aca="false">H40*K40</f>
        <v>28</v>
      </c>
    </row>
    <row r="41" customFormat="false" ht="15" hidden="false" customHeight="false" outlineLevel="0" collapsed="false">
      <c r="A41" s="2" t="s">
        <v>323</v>
      </c>
      <c r="B41" s="8" t="n">
        <v>46026</v>
      </c>
      <c r="C41" s="2" t="s">
        <v>116</v>
      </c>
      <c r="D41" s="3" t="str">
        <f aca="false">INDEX(Vendedores!$C$2:$C$101,MATCH(C41,Vendedores!$A$2:$A$101,0))</f>
        <v>L04</v>
      </c>
      <c r="E41" s="3" t="str">
        <f aca="false">INDEX(Lojas!$E$2:$E$11,MATCH(D41,Lojas!$A$2:$A$11,0))</f>
        <v>Sudeste</v>
      </c>
      <c r="F41" s="2" t="s">
        <v>265</v>
      </c>
      <c r="G41" s="3" t="str">
        <f aca="false">INDEX(Produtos!$B$2:$B$11,MATCH(F41,Produtos!$A$2:$A$11,0))&amp;" "&amp;INDEX(Produtos!$C$2:$C$11,MATCH(F41,Produtos!$A$2:$A$11,0))</f>
        <v>Fone de Ouvido Headset</v>
      </c>
      <c r="H41" s="2" t="n">
        <v>2</v>
      </c>
      <c r="I41" s="5" t="n">
        <f aca="false">INDEX(Produtos!$D$2:$D$11,MATCH(F41,Produtos!$A$2:$A$11,0))</f>
        <v>249.9</v>
      </c>
      <c r="J41" s="5" t="n">
        <f aca="false">H41*I41</f>
        <v>499.8</v>
      </c>
      <c r="K41" s="5" t="n">
        <f aca="false">INDEX(Produtos!$E$2:$E$11,MATCH(F41,Produtos!$A$2:$A$11,0))</f>
        <v>145</v>
      </c>
      <c r="L41" s="5" t="n">
        <f aca="false">H41*K41</f>
        <v>290</v>
      </c>
    </row>
    <row r="42" customFormat="false" ht="15" hidden="false" customHeight="false" outlineLevel="0" collapsed="false">
      <c r="A42" s="2" t="s">
        <v>324</v>
      </c>
      <c r="B42" s="8" t="n">
        <v>46027</v>
      </c>
      <c r="C42" s="2" t="s">
        <v>131</v>
      </c>
      <c r="D42" s="3" t="str">
        <f aca="false">INDEX(Vendedores!$C$2:$C$101,MATCH(C42,Vendedores!$A$2:$A$101,0))</f>
        <v>L05</v>
      </c>
      <c r="E42" s="3" t="str">
        <f aca="false">INDEX(Lojas!$E$2:$E$11,MATCH(D42,Lojas!$A$2:$A$11,0))</f>
        <v>Sul</v>
      </c>
      <c r="F42" s="2" t="s">
        <v>275</v>
      </c>
      <c r="G42" s="3" t="str">
        <f aca="false">INDEX(Produtos!$B$2:$B$11,MATCH(F42,Produtos!$A$2:$A$11,0))&amp;" "&amp;INDEX(Produtos!$C$2:$C$11,MATCH(F42,Produtos!$A$2:$A$11,0))</f>
        <v>Controle de Videogame PS5</v>
      </c>
      <c r="H42" s="2" t="n">
        <v>1</v>
      </c>
      <c r="I42" s="5" t="n">
        <f aca="false">INDEX(Produtos!$D$2:$D$11,MATCH(F42,Produtos!$A$2:$A$11,0))</f>
        <v>379.9</v>
      </c>
      <c r="J42" s="5" t="n">
        <f aca="false">H42*I42</f>
        <v>379.9</v>
      </c>
      <c r="K42" s="5" t="n">
        <f aca="false">INDEX(Produtos!$E$2:$E$11,MATCH(F42,Produtos!$A$2:$A$11,0))</f>
        <v>235</v>
      </c>
      <c r="L42" s="5" t="n">
        <f aca="false">H42*K42</f>
        <v>235</v>
      </c>
    </row>
    <row r="43" customFormat="false" ht="15" hidden="false" customHeight="false" outlineLevel="0" collapsed="false">
      <c r="A43" s="2" t="s">
        <v>325</v>
      </c>
      <c r="B43" s="8" t="n">
        <v>46027</v>
      </c>
      <c r="C43" s="2" t="s">
        <v>118</v>
      </c>
      <c r="D43" s="3" t="str">
        <f aca="false">INDEX(Vendedores!$C$2:$C$101,MATCH(C43,Vendedores!$A$2:$A$101,0))</f>
        <v>L04</v>
      </c>
      <c r="E43" s="3" t="str">
        <f aca="false">INDEX(Lojas!$E$2:$E$11,MATCH(D43,Lojas!$A$2:$A$11,0))</f>
        <v>Sudeste</v>
      </c>
      <c r="F43" s="2" t="s">
        <v>275</v>
      </c>
      <c r="G43" s="3" t="str">
        <f aca="false">INDEX(Produtos!$B$2:$B$11,MATCH(F43,Produtos!$A$2:$A$11,0))&amp;" "&amp;INDEX(Produtos!$C$2:$C$11,MATCH(F43,Produtos!$A$2:$A$11,0))</f>
        <v>Controle de Videogame PS5</v>
      </c>
      <c r="H43" s="2" t="n">
        <v>1</v>
      </c>
      <c r="I43" s="5" t="n">
        <f aca="false">INDEX(Produtos!$D$2:$D$11,MATCH(F43,Produtos!$A$2:$A$11,0))</f>
        <v>379.9</v>
      </c>
      <c r="J43" s="5" t="n">
        <f aca="false">H43*I43</f>
        <v>379.9</v>
      </c>
      <c r="K43" s="5" t="n">
        <f aca="false">INDEX(Produtos!$E$2:$E$11,MATCH(F43,Produtos!$A$2:$A$11,0))</f>
        <v>235</v>
      </c>
      <c r="L43" s="5" t="n">
        <f aca="false">H43*K43</f>
        <v>235</v>
      </c>
    </row>
    <row r="44" customFormat="false" ht="15" hidden="false" customHeight="false" outlineLevel="0" collapsed="false">
      <c r="A44" s="2" t="s">
        <v>326</v>
      </c>
      <c r="B44" s="8" t="n">
        <v>46027</v>
      </c>
      <c r="C44" s="2" t="s">
        <v>166</v>
      </c>
      <c r="D44" s="3" t="str">
        <f aca="false">INDEX(Vendedores!$C$2:$C$101,MATCH(C44,Vendedores!$A$2:$A$101,0))</f>
        <v>L06</v>
      </c>
      <c r="E44" s="3" t="str">
        <f aca="false">INDEX(Lojas!$E$2:$E$11,MATCH(D44,Lojas!$A$2:$A$11,0))</f>
        <v>Sul</v>
      </c>
      <c r="F44" s="2" t="s">
        <v>257</v>
      </c>
      <c r="G44" s="3" t="str">
        <f aca="false">INDEX(Produtos!$B$2:$B$11,MATCH(F44,Produtos!$A$2:$A$11,0))&amp;" "&amp;INDEX(Produtos!$C$2:$C$11,MATCH(F44,Produtos!$A$2:$A$11,0))</f>
        <v>Celular Samsung</v>
      </c>
      <c r="H44" s="2" t="n">
        <v>1</v>
      </c>
      <c r="I44" s="5" t="n">
        <f aca="false">INDEX(Produtos!$D$2:$D$11,MATCH(F44,Produtos!$A$2:$A$11,0))</f>
        <v>2499</v>
      </c>
      <c r="J44" s="5" t="n">
        <f aca="false">H44*I44</f>
        <v>2499</v>
      </c>
      <c r="K44" s="5" t="n">
        <f aca="false">INDEX(Produtos!$E$2:$E$11,MATCH(F44,Produtos!$A$2:$A$11,0))</f>
        <v>1800</v>
      </c>
      <c r="L44" s="5" t="n">
        <f aca="false">H44*K44</f>
        <v>1800</v>
      </c>
    </row>
    <row r="45" customFormat="false" ht="15" hidden="false" customHeight="false" outlineLevel="0" collapsed="false">
      <c r="A45" s="2" t="s">
        <v>327</v>
      </c>
      <c r="B45" s="8" t="n">
        <v>46027</v>
      </c>
      <c r="C45" s="2" t="s">
        <v>90</v>
      </c>
      <c r="D45" s="3" t="str">
        <f aca="false">INDEX(Vendedores!$C$2:$C$101,MATCH(C45,Vendedores!$A$2:$A$101,0))</f>
        <v>L03</v>
      </c>
      <c r="E45" s="3" t="str">
        <f aca="false">INDEX(Lojas!$E$2:$E$11,MATCH(D45,Lojas!$A$2:$A$11,0))</f>
        <v>Sudeste</v>
      </c>
      <c r="F45" s="2" t="s">
        <v>260</v>
      </c>
      <c r="G45" s="3" t="str">
        <f aca="false">INDEX(Produtos!$B$2:$B$11,MATCH(F45,Produtos!$A$2:$A$11,0))&amp;" "&amp;INDEX(Produtos!$C$2:$C$11,MATCH(F45,Produtos!$A$2:$A$11,0))</f>
        <v>Celular Motorola</v>
      </c>
      <c r="H45" s="2" t="n">
        <v>3</v>
      </c>
      <c r="I45" s="5" t="n">
        <f aca="false">INDEX(Produtos!$D$2:$D$11,MATCH(F45,Produtos!$A$2:$A$11,0))</f>
        <v>1799</v>
      </c>
      <c r="J45" s="5" t="n">
        <f aca="false">H45*I45</f>
        <v>5397</v>
      </c>
      <c r="K45" s="5" t="n">
        <f aca="false">INDEX(Produtos!$E$2:$E$11,MATCH(F45,Produtos!$A$2:$A$11,0))</f>
        <v>1250</v>
      </c>
      <c r="L45" s="5" t="n">
        <f aca="false">H45*K45</f>
        <v>3750</v>
      </c>
    </row>
    <row r="46" customFormat="false" ht="15" hidden="false" customHeight="false" outlineLevel="0" collapsed="false">
      <c r="A46" s="2" t="s">
        <v>328</v>
      </c>
      <c r="B46" s="8" t="n">
        <v>46027</v>
      </c>
      <c r="C46" s="2" t="s">
        <v>100</v>
      </c>
      <c r="D46" s="3" t="str">
        <f aca="false">INDEX(Vendedores!$C$2:$C$101,MATCH(C46,Vendedores!$A$2:$A$101,0))</f>
        <v>L03</v>
      </c>
      <c r="E46" s="3" t="str">
        <f aca="false">INDEX(Lojas!$E$2:$E$11,MATCH(D46,Lojas!$A$2:$A$11,0))</f>
        <v>Sudeste</v>
      </c>
      <c r="F46" s="2" t="s">
        <v>262</v>
      </c>
      <c r="G46" s="3" t="str">
        <f aca="false">INDEX(Produtos!$B$2:$B$11,MATCH(F46,Produtos!$A$2:$A$11,0))&amp;" "&amp;INDEX(Produtos!$C$2:$C$11,MATCH(F46,Produtos!$A$2:$A$11,0))</f>
        <v>Fone de Ouvido De Celular</v>
      </c>
      <c r="H46" s="2" t="n">
        <v>1</v>
      </c>
      <c r="I46" s="5" t="n">
        <f aca="false">INDEX(Produtos!$D$2:$D$11,MATCH(F46,Produtos!$A$2:$A$11,0))</f>
        <v>59.9</v>
      </c>
      <c r="J46" s="5" t="n">
        <f aca="false">H46*I46</f>
        <v>59.9</v>
      </c>
      <c r="K46" s="5" t="n">
        <f aca="false">INDEX(Produtos!$E$2:$E$11,MATCH(F46,Produtos!$A$2:$A$11,0))</f>
        <v>28</v>
      </c>
      <c r="L46" s="5" t="n">
        <f aca="false">H46*K46</f>
        <v>28</v>
      </c>
    </row>
    <row r="47" customFormat="false" ht="15" hidden="false" customHeight="false" outlineLevel="0" collapsed="false">
      <c r="A47" s="2" t="s">
        <v>329</v>
      </c>
      <c r="B47" s="8" t="n">
        <v>46027</v>
      </c>
      <c r="C47" s="2" t="s">
        <v>122</v>
      </c>
      <c r="D47" s="3" t="str">
        <f aca="false">INDEX(Vendedores!$C$2:$C$101,MATCH(C47,Vendedores!$A$2:$A$101,0))</f>
        <v>L04</v>
      </c>
      <c r="E47" s="3" t="str">
        <f aca="false">INDEX(Lojas!$E$2:$E$11,MATCH(D47,Lojas!$A$2:$A$11,0))</f>
        <v>Sudeste</v>
      </c>
      <c r="F47" s="2" t="s">
        <v>273</v>
      </c>
      <c r="G47" s="3" t="str">
        <f aca="false">INDEX(Produtos!$B$2:$B$11,MATCH(F47,Produtos!$A$2:$A$11,0))&amp;" "&amp;INDEX(Produtos!$C$2:$C$11,MATCH(F47,Produtos!$A$2:$A$11,0))</f>
        <v>Controle de Videogame PS4</v>
      </c>
      <c r="H47" s="2" t="n">
        <v>2</v>
      </c>
      <c r="I47" s="5" t="n">
        <f aca="false">INDEX(Produtos!$D$2:$D$11,MATCH(F47,Produtos!$A$2:$A$11,0))</f>
        <v>299.9</v>
      </c>
      <c r="J47" s="5" t="n">
        <f aca="false">H47*I47</f>
        <v>599.8</v>
      </c>
      <c r="K47" s="5" t="n">
        <f aca="false">INDEX(Produtos!$E$2:$E$11,MATCH(F47,Produtos!$A$2:$A$11,0))</f>
        <v>175</v>
      </c>
      <c r="L47" s="5" t="n">
        <f aca="false">H47*K47</f>
        <v>350</v>
      </c>
    </row>
    <row r="48" customFormat="false" ht="15" hidden="false" customHeight="false" outlineLevel="0" collapsed="false">
      <c r="A48" s="2" t="s">
        <v>330</v>
      </c>
      <c r="B48" s="8" t="n">
        <v>46027</v>
      </c>
      <c r="C48" s="2" t="s">
        <v>219</v>
      </c>
      <c r="D48" s="3" t="str">
        <f aca="false">INDEX(Vendedores!$C$2:$C$101,MATCH(C48,Vendedores!$A$2:$A$101,0))</f>
        <v>L09</v>
      </c>
      <c r="E48" s="3" t="str">
        <f aca="false">INDEX(Lojas!$E$2:$E$11,MATCH(D48,Lojas!$A$2:$A$11,0))</f>
        <v>Nordeste</v>
      </c>
      <c r="F48" s="2" t="s">
        <v>262</v>
      </c>
      <c r="G48" s="3" t="str">
        <f aca="false">INDEX(Produtos!$B$2:$B$11,MATCH(F48,Produtos!$A$2:$A$11,0))&amp;" "&amp;INDEX(Produtos!$C$2:$C$11,MATCH(F48,Produtos!$A$2:$A$11,0))</f>
        <v>Fone de Ouvido De Celular</v>
      </c>
      <c r="H48" s="2" t="n">
        <v>3</v>
      </c>
      <c r="I48" s="5" t="n">
        <f aca="false">INDEX(Produtos!$D$2:$D$11,MATCH(F48,Produtos!$A$2:$A$11,0))</f>
        <v>59.9</v>
      </c>
      <c r="J48" s="5" t="n">
        <f aca="false">H48*I48</f>
        <v>179.7</v>
      </c>
      <c r="K48" s="5" t="n">
        <f aca="false">INDEX(Produtos!$E$2:$E$11,MATCH(F48,Produtos!$A$2:$A$11,0))</f>
        <v>28</v>
      </c>
      <c r="L48" s="5" t="n">
        <f aca="false">H48*K48</f>
        <v>84</v>
      </c>
    </row>
    <row r="49" customFormat="false" ht="15" hidden="false" customHeight="false" outlineLevel="0" collapsed="false">
      <c r="A49" s="2" t="s">
        <v>331</v>
      </c>
      <c r="B49" s="8" t="n">
        <v>46027</v>
      </c>
      <c r="C49" s="2" t="s">
        <v>223</v>
      </c>
      <c r="D49" s="3" t="str">
        <f aca="false">INDEX(Vendedores!$C$2:$C$101,MATCH(C49,Vendedores!$A$2:$A$101,0))</f>
        <v>L09</v>
      </c>
      <c r="E49" s="3" t="str">
        <f aca="false">INDEX(Lojas!$E$2:$E$11,MATCH(D49,Lojas!$A$2:$A$11,0))</f>
        <v>Nordeste</v>
      </c>
      <c r="F49" s="2" t="s">
        <v>267</v>
      </c>
      <c r="G49" s="3" t="str">
        <f aca="false">INDEX(Produtos!$B$2:$B$11,MATCH(F49,Produtos!$A$2:$A$11,0))&amp;" "&amp;INDEX(Produtos!$C$2:$C$11,MATCH(F49,Produtos!$A$2:$A$11,0))</f>
        <v>Carregador de Celular Tipo C</v>
      </c>
      <c r="H49" s="2" t="n">
        <v>1</v>
      </c>
      <c r="I49" s="5" t="n">
        <f aca="false">INDEX(Produtos!$D$2:$D$11,MATCH(F49,Produtos!$A$2:$A$11,0))</f>
        <v>44.9</v>
      </c>
      <c r="J49" s="5" t="n">
        <f aca="false">H49*I49</f>
        <v>44.9</v>
      </c>
      <c r="K49" s="5" t="n">
        <f aca="false">INDEX(Produtos!$E$2:$E$11,MATCH(F49,Produtos!$A$2:$A$11,0))</f>
        <v>18</v>
      </c>
      <c r="L49" s="5" t="n">
        <f aca="false">H49*K49</f>
        <v>18</v>
      </c>
    </row>
    <row r="50" customFormat="false" ht="15" hidden="false" customHeight="false" outlineLevel="0" collapsed="false">
      <c r="A50" s="2" t="s">
        <v>332</v>
      </c>
      <c r="B50" s="8" t="n">
        <v>46027</v>
      </c>
      <c r="C50" s="2" t="s">
        <v>138</v>
      </c>
      <c r="D50" s="3" t="str">
        <f aca="false">INDEX(Vendedores!$C$2:$C$101,MATCH(C50,Vendedores!$A$2:$A$101,0))</f>
        <v>L05</v>
      </c>
      <c r="E50" s="3" t="str">
        <f aca="false">INDEX(Lojas!$E$2:$E$11,MATCH(D50,Lojas!$A$2:$A$11,0))</f>
        <v>Sul</v>
      </c>
      <c r="F50" s="2" t="s">
        <v>273</v>
      </c>
      <c r="G50" s="3" t="str">
        <f aca="false">INDEX(Produtos!$B$2:$B$11,MATCH(F50,Produtos!$A$2:$A$11,0))&amp;" "&amp;INDEX(Produtos!$C$2:$C$11,MATCH(F50,Produtos!$A$2:$A$11,0))</f>
        <v>Controle de Videogame PS4</v>
      </c>
      <c r="H50" s="2" t="n">
        <v>1</v>
      </c>
      <c r="I50" s="5" t="n">
        <f aca="false">INDEX(Produtos!$D$2:$D$11,MATCH(F50,Produtos!$A$2:$A$11,0))</f>
        <v>299.9</v>
      </c>
      <c r="J50" s="5" t="n">
        <f aca="false">H50*I50</f>
        <v>299.9</v>
      </c>
      <c r="K50" s="5" t="n">
        <f aca="false">INDEX(Produtos!$E$2:$E$11,MATCH(F50,Produtos!$A$2:$A$11,0))</f>
        <v>175</v>
      </c>
      <c r="L50" s="5" t="n">
        <f aca="false">H50*K50</f>
        <v>175</v>
      </c>
    </row>
    <row r="51" customFormat="false" ht="15" hidden="false" customHeight="false" outlineLevel="0" collapsed="false">
      <c r="A51" s="2" t="s">
        <v>333</v>
      </c>
      <c r="B51" s="8" t="n">
        <v>46027</v>
      </c>
      <c r="C51" s="2" t="s">
        <v>78</v>
      </c>
      <c r="D51" s="3" t="str">
        <f aca="false">INDEX(Vendedores!$C$2:$C$101,MATCH(C51,Vendedores!$A$2:$A$101,0))</f>
        <v>L02</v>
      </c>
      <c r="E51" s="3" t="str">
        <f aca="false">INDEX(Lojas!$E$2:$E$11,MATCH(D51,Lojas!$A$2:$A$11,0))</f>
        <v>Sudeste</v>
      </c>
      <c r="F51" s="2" t="s">
        <v>275</v>
      </c>
      <c r="G51" s="3" t="str">
        <f aca="false">INDEX(Produtos!$B$2:$B$11,MATCH(F51,Produtos!$A$2:$A$11,0))&amp;" "&amp;INDEX(Produtos!$C$2:$C$11,MATCH(F51,Produtos!$A$2:$A$11,0))</f>
        <v>Controle de Videogame PS5</v>
      </c>
      <c r="H51" s="2" t="n">
        <v>1</v>
      </c>
      <c r="I51" s="5" t="n">
        <f aca="false">INDEX(Produtos!$D$2:$D$11,MATCH(F51,Produtos!$A$2:$A$11,0))</f>
        <v>379.9</v>
      </c>
      <c r="J51" s="5" t="n">
        <f aca="false">H51*I51</f>
        <v>379.9</v>
      </c>
      <c r="K51" s="5" t="n">
        <f aca="false">INDEX(Produtos!$E$2:$E$11,MATCH(F51,Produtos!$A$2:$A$11,0))</f>
        <v>235</v>
      </c>
      <c r="L51" s="5" t="n">
        <f aca="false">H51*K51</f>
        <v>235</v>
      </c>
    </row>
    <row r="52" customFormat="false" ht="15" hidden="false" customHeight="false" outlineLevel="0" collapsed="false">
      <c r="A52" s="2" t="s">
        <v>334</v>
      </c>
      <c r="B52" s="8" t="n">
        <v>46027</v>
      </c>
      <c r="C52" s="2" t="s">
        <v>133</v>
      </c>
      <c r="D52" s="3" t="str">
        <f aca="false">INDEX(Vendedores!$C$2:$C$101,MATCH(C52,Vendedores!$A$2:$A$101,0))</f>
        <v>L05</v>
      </c>
      <c r="E52" s="3" t="str">
        <f aca="false">INDEX(Lojas!$E$2:$E$11,MATCH(D52,Lojas!$A$2:$A$11,0))</f>
        <v>Sul</v>
      </c>
      <c r="F52" s="2" t="s">
        <v>273</v>
      </c>
      <c r="G52" s="3" t="str">
        <f aca="false">INDEX(Produtos!$B$2:$B$11,MATCH(F52,Produtos!$A$2:$A$11,0))&amp;" "&amp;INDEX(Produtos!$C$2:$C$11,MATCH(F52,Produtos!$A$2:$A$11,0))</f>
        <v>Controle de Videogame PS4</v>
      </c>
      <c r="H52" s="2" t="n">
        <v>2</v>
      </c>
      <c r="I52" s="5" t="n">
        <f aca="false">INDEX(Produtos!$D$2:$D$11,MATCH(F52,Produtos!$A$2:$A$11,0))</f>
        <v>299.9</v>
      </c>
      <c r="J52" s="5" t="n">
        <f aca="false">H52*I52</f>
        <v>599.8</v>
      </c>
      <c r="K52" s="5" t="n">
        <f aca="false">INDEX(Produtos!$E$2:$E$11,MATCH(F52,Produtos!$A$2:$A$11,0))</f>
        <v>175</v>
      </c>
      <c r="L52" s="5" t="n">
        <f aca="false">H52*K52</f>
        <v>350</v>
      </c>
    </row>
    <row r="53" customFormat="false" ht="15" hidden="false" customHeight="false" outlineLevel="0" collapsed="false">
      <c r="A53" s="2" t="s">
        <v>335</v>
      </c>
      <c r="B53" s="8" t="n">
        <v>46028</v>
      </c>
      <c r="C53" s="2" t="s">
        <v>203</v>
      </c>
      <c r="D53" s="3" t="str">
        <f aca="false">INDEX(Vendedores!$C$2:$C$101,MATCH(C53,Vendedores!$A$2:$A$101,0))</f>
        <v>L08</v>
      </c>
      <c r="E53" s="3" t="str">
        <f aca="false">INDEX(Lojas!$E$2:$E$11,MATCH(D53,Lojas!$A$2:$A$11,0))</f>
        <v>Nordeste</v>
      </c>
      <c r="F53" s="2" t="s">
        <v>262</v>
      </c>
      <c r="G53" s="3" t="str">
        <f aca="false">INDEX(Produtos!$B$2:$B$11,MATCH(F53,Produtos!$A$2:$A$11,0))&amp;" "&amp;INDEX(Produtos!$C$2:$C$11,MATCH(F53,Produtos!$A$2:$A$11,0))</f>
        <v>Fone de Ouvido De Celular</v>
      </c>
      <c r="H53" s="2" t="n">
        <v>1</v>
      </c>
      <c r="I53" s="5" t="n">
        <f aca="false">INDEX(Produtos!$D$2:$D$11,MATCH(F53,Produtos!$A$2:$A$11,0))</f>
        <v>59.9</v>
      </c>
      <c r="J53" s="5" t="n">
        <f aca="false">H53*I53</f>
        <v>59.9</v>
      </c>
      <c r="K53" s="5" t="n">
        <f aca="false">INDEX(Produtos!$E$2:$E$11,MATCH(F53,Produtos!$A$2:$A$11,0))</f>
        <v>28</v>
      </c>
      <c r="L53" s="5" t="n">
        <f aca="false">H53*K53</f>
        <v>28</v>
      </c>
    </row>
    <row r="54" customFormat="false" ht="15" hidden="false" customHeight="false" outlineLevel="0" collapsed="false">
      <c r="A54" s="2" t="s">
        <v>336</v>
      </c>
      <c r="B54" s="8" t="n">
        <v>46028</v>
      </c>
      <c r="C54" s="2" t="s">
        <v>64</v>
      </c>
      <c r="D54" s="3" t="str">
        <f aca="false">INDEX(Vendedores!$C$2:$C$101,MATCH(C54,Vendedores!$A$2:$A$101,0))</f>
        <v>L01</v>
      </c>
      <c r="E54" s="3" t="str">
        <f aca="false">INDEX(Lojas!$E$2:$E$11,MATCH(D54,Lojas!$A$2:$A$11,0))</f>
        <v>Sudeste</v>
      </c>
      <c r="F54" s="2" t="s">
        <v>260</v>
      </c>
      <c r="G54" s="3" t="str">
        <f aca="false">INDEX(Produtos!$B$2:$B$11,MATCH(F54,Produtos!$A$2:$A$11,0))&amp;" "&amp;INDEX(Produtos!$C$2:$C$11,MATCH(F54,Produtos!$A$2:$A$11,0))</f>
        <v>Celular Motorola</v>
      </c>
      <c r="H54" s="2" t="n">
        <v>2</v>
      </c>
      <c r="I54" s="5" t="n">
        <f aca="false">INDEX(Produtos!$D$2:$D$11,MATCH(F54,Produtos!$A$2:$A$11,0))</f>
        <v>1799</v>
      </c>
      <c r="J54" s="5" t="n">
        <f aca="false">H54*I54</f>
        <v>3598</v>
      </c>
      <c r="K54" s="5" t="n">
        <f aca="false">INDEX(Produtos!$E$2:$E$11,MATCH(F54,Produtos!$A$2:$A$11,0))</f>
        <v>1250</v>
      </c>
      <c r="L54" s="5" t="n">
        <f aca="false">H54*K54</f>
        <v>2500</v>
      </c>
    </row>
    <row r="55" customFormat="false" ht="15" hidden="false" customHeight="false" outlineLevel="0" collapsed="false">
      <c r="A55" s="2" t="s">
        <v>337</v>
      </c>
      <c r="B55" s="8" t="n">
        <v>46028</v>
      </c>
      <c r="C55" s="2" t="s">
        <v>168</v>
      </c>
      <c r="D55" s="3" t="str">
        <f aca="false">INDEX(Vendedores!$C$2:$C$101,MATCH(C55,Vendedores!$A$2:$A$101,0))</f>
        <v>L07</v>
      </c>
      <c r="E55" s="3" t="str">
        <f aca="false">INDEX(Lojas!$E$2:$E$11,MATCH(D55,Lojas!$A$2:$A$11,0))</f>
        <v>Sul</v>
      </c>
      <c r="F55" s="2" t="s">
        <v>270</v>
      </c>
      <c r="G55" s="3" t="str">
        <f aca="false">INDEX(Produtos!$B$2:$B$11,MATCH(F55,Produtos!$A$2:$A$11,0))&amp;" "&amp;INDEX(Produtos!$C$2:$C$11,MATCH(F55,Produtos!$A$2:$A$11,0))</f>
        <v>Controle de Videogame Xbox</v>
      </c>
      <c r="H55" s="2" t="n">
        <v>1</v>
      </c>
      <c r="I55" s="5" t="n">
        <f aca="false">INDEX(Produtos!$D$2:$D$11,MATCH(F55,Produtos!$A$2:$A$11,0))</f>
        <v>349.9</v>
      </c>
      <c r="J55" s="5" t="n">
        <f aca="false">H55*I55</f>
        <v>349.9</v>
      </c>
      <c r="K55" s="5" t="n">
        <f aca="false">INDEX(Produtos!$E$2:$E$11,MATCH(F55,Produtos!$A$2:$A$11,0))</f>
        <v>215</v>
      </c>
      <c r="L55" s="5" t="n">
        <f aca="false">H55*K55</f>
        <v>215</v>
      </c>
    </row>
    <row r="56" customFormat="false" ht="15" hidden="false" customHeight="false" outlineLevel="0" collapsed="false">
      <c r="A56" s="2" t="s">
        <v>338</v>
      </c>
      <c r="B56" s="8" t="n">
        <v>46028</v>
      </c>
      <c r="C56" s="2" t="s">
        <v>197</v>
      </c>
      <c r="D56" s="3" t="str">
        <f aca="false">INDEX(Vendedores!$C$2:$C$101,MATCH(C56,Vendedores!$A$2:$A$101,0))</f>
        <v>L08</v>
      </c>
      <c r="E56" s="3" t="str">
        <f aca="false">INDEX(Lojas!$E$2:$E$11,MATCH(D56,Lojas!$A$2:$A$11,0))</f>
        <v>Nordeste</v>
      </c>
      <c r="F56" s="2" t="s">
        <v>267</v>
      </c>
      <c r="G56" s="3" t="str">
        <f aca="false">INDEX(Produtos!$B$2:$B$11,MATCH(F56,Produtos!$A$2:$A$11,0))&amp;" "&amp;INDEX(Produtos!$C$2:$C$11,MATCH(F56,Produtos!$A$2:$A$11,0))</f>
        <v>Carregador de Celular Tipo C</v>
      </c>
      <c r="H56" s="2" t="n">
        <v>1</v>
      </c>
      <c r="I56" s="5" t="n">
        <f aca="false">INDEX(Produtos!$D$2:$D$11,MATCH(F56,Produtos!$A$2:$A$11,0))</f>
        <v>44.9</v>
      </c>
      <c r="J56" s="5" t="n">
        <f aca="false">H56*I56</f>
        <v>44.9</v>
      </c>
      <c r="K56" s="5" t="n">
        <f aca="false">INDEX(Produtos!$E$2:$E$11,MATCH(F56,Produtos!$A$2:$A$11,0))</f>
        <v>18</v>
      </c>
      <c r="L56" s="5" t="n">
        <f aca="false">H56*K56</f>
        <v>18</v>
      </c>
    </row>
    <row r="57" customFormat="false" ht="15" hidden="false" customHeight="false" outlineLevel="0" collapsed="false">
      <c r="A57" s="2" t="s">
        <v>339</v>
      </c>
      <c r="B57" s="8" t="n">
        <v>46028</v>
      </c>
      <c r="C57" s="2" t="s">
        <v>88</v>
      </c>
      <c r="D57" s="3" t="str">
        <f aca="false">INDEX(Vendedores!$C$2:$C$101,MATCH(C57,Vendedores!$A$2:$A$101,0))</f>
        <v>L02</v>
      </c>
      <c r="E57" s="3" t="str">
        <f aca="false">INDEX(Lojas!$E$2:$E$11,MATCH(D57,Lojas!$A$2:$A$11,0))</f>
        <v>Sudeste</v>
      </c>
      <c r="F57" s="2" t="s">
        <v>257</v>
      </c>
      <c r="G57" s="3" t="str">
        <f aca="false">INDEX(Produtos!$B$2:$B$11,MATCH(F57,Produtos!$A$2:$A$11,0))&amp;" "&amp;INDEX(Produtos!$C$2:$C$11,MATCH(F57,Produtos!$A$2:$A$11,0))</f>
        <v>Celular Samsung</v>
      </c>
      <c r="H57" s="2" t="n">
        <v>1</v>
      </c>
      <c r="I57" s="5" t="n">
        <f aca="false">INDEX(Produtos!$D$2:$D$11,MATCH(F57,Produtos!$A$2:$A$11,0))</f>
        <v>2499</v>
      </c>
      <c r="J57" s="5" t="n">
        <f aca="false">H57*I57</f>
        <v>2499</v>
      </c>
      <c r="K57" s="5" t="n">
        <f aca="false">INDEX(Produtos!$E$2:$E$11,MATCH(F57,Produtos!$A$2:$A$11,0))</f>
        <v>1800</v>
      </c>
      <c r="L57" s="5" t="n">
        <f aca="false">H57*K57</f>
        <v>1800</v>
      </c>
    </row>
    <row r="58" customFormat="false" ht="15" hidden="false" customHeight="false" outlineLevel="0" collapsed="false">
      <c r="A58" s="2" t="s">
        <v>340</v>
      </c>
      <c r="B58" s="8" t="n">
        <v>46028</v>
      </c>
      <c r="C58" s="2" t="s">
        <v>88</v>
      </c>
      <c r="D58" s="3" t="str">
        <f aca="false">INDEX(Vendedores!$C$2:$C$101,MATCH(C58,Vendedores!$A$2:$A$101,0))</f>
        <v>L02</v>
      </c>
      <c r="E58" s="3" t="str">
        <f aca="false">INDEX(Lojas!$E$2:$E$11,MATCH(D58,Lojas!$A$2:$A$11,0))</f>
        <v>Sudeste</v>
      </c>
      <c r="F58" s="2" t="s">
        <v>267</v>
      </c>
      <c r="G58" s="3" t="str">
        <f aca="false">INDEX(Produtos!$B$2:$B$11,MATCH(F58,Produtos!$A$2:$A$11,0))&amp;" "&amp;INDEX(Produtos!$C$2:$C$11,MATCH(F58,Produtos!$A$2:$A$11,0))</f>
        <v>Carregador de Celular Tipo C</v>
      </c>
      <c r="H58" s="2" t="n">
        <v>1</v>
      </c>
      <c r="I58" s="5" t="n">
        <f aca="false">INDEX(Produtos!$D$2:$D$11,MATCH(F58,Produtos!$A$2:$A$11,0))</f>
        <v>44.9</v>
      </c>
      <c r="J58" s="5" t="n">
        <f aca="false">H58*I58</f>
        <v>44.9</v>
      </c>
      <c r="K58" s="5" t="n">
        <f aca="false">INDEX(Produtos!$E$2:$E$11,MATCH(F58,Produtos!$A$2:$A$11,0))</f>
        <v>18</v>
      </c>
      <c r="L58" s="5" t="n">
        <f aca="false">H58*K58</f>
        <v>18</v>
      </c>
    </row>
    <row r="59" customFormat="false" ht="15" hidden="false" customHeight="false" outlineLevel="0" collapsed="false">
      <c r="A59" s="2" t="s">
        <v>341</v>
      </c>
      <c r="B59" s="8" t="n">
        <v>46028</v>
      </c>
      <c r="C59" s="2" t="s">
        <v>183</v>
      </c>
      <c r="D59" s="3" t="str">
        <f aca="false">INDEX(Vendedores!$C$2:$C$101,MATCH(C59,Vendedores!$A$2:$A$101,0))</f>
        <v>L07</v>
      </c>
      <c r="E59" s="3" t="str">
        <f aca="false">INDEX(Lojas!$E$2:$E$11,MATCH(D59,Lojas!$A$2:$A$11,0))</f>
        <v>Sul</v>
      </c>
      <c r="F59" s="2" t="s">
        <v>275</v>
      </c>
      <c r="G59" s="3" t="str">
        <f aca="false">INDEX(Produtos!$B$2:$B$11,MATCH(F59,Produtos!$A$2:$A$11,0))&amp;" "&amp;INDEX(Produtos!$C$2:$C$11,MATCH(F59,Produtos!$A$2:$A$11,0))</f>
        <v>Controle de Videogame PS5</v>
      </c>
      <c r="H59" s="2" t="n">
        <v>1</v>
      </c>
      <c r="I59" s="5" t="n">
        <f aca="false">INDEX(Produtos!$D$2:$D$11,MATCH(F59,Produtos!$A$2:$A$11,0))</f>
        <v>379.9</v>
      </c>
      <c r="J59" s="5" t="n">
        <f aca="false">H59*I59</f>
        <v>379.9</v>
      </c>
      <c r="K59" s="5" t="n">
        <f aca="false">INDEX(Produtos!$E$2:$E$11,MATCH(F59,Produtos!$A$2:$A$11,0))</f>
        <v>235</v>
      </c>
      <c r="L59" s="5" t="n">
        <f aca="false">H59*K59</f>
        <v>235</v>
      </c>
    </row>
    <row r="60" customFormat="false" ht="15" hidden="false" customHeight="false" outlineLevel="0" collapsed="false">
      <c r="A60" s="2" t="s">
        <v>342</v>
      </c>
      <c r="B60" s="8" t="n">
        <v>46029</v>
      </c>
      <c r="C60" s="2" t="s">
        <v>170</v>
      </c>
      <c r="D60" s="3" t="str">
        <f aca="false">INDEX(Vendedores!$C$2:$C$101,MATCH(C60,Vendedores!$A$2:$A$101,0))</f>
        <v>L07</v>
      </c>
      <c r="E60" s="3" t="str">
        <f aca="false">INDEX(Lojas!$E$2:$E$11,MATCH(D60,Lojas!$A$2:$A$11,0))</f>
        <v>Sul</v>
      </c>
      <c r="F60" s="2" t="s">
        <v>275</v>
      </c>
      <c r="G60" s="3" t="str">
        <f aca="false">INDEX(Produtos!$B$2:$B$11,MATCH(F60,Produtos!$A$2:$A$11,0))&amp;" "&amp;INDEX(Produtos!$C$2:$C$11,MATCH(F60,Produtos!$A$2:$A$11,0))</f>
        <v>Controle de Videogame PS5</v>
      </c>
      <c r="H60" s="2" t="n">
        <v>1</v>
      </c>
      <c r="I60" s="5" t="n">
        <f aca="false">INDEX(Produtos!$D$2:$D$11,MATCH(F60,Produtos!$A$2:$A$11,0))</f>
        <v>379.9</v>
      </c>
      <c r="J60" s="5" t="n">
        <f aca="false">H60*I60</f>
        <v>379.9</v>
      </c>
      <c r="K60" s="5" t="n">
        <f aca="false">INDEX(Produtos!$E$2:$E$11,MATCH(F60,Produtos!$A$2:$A$11,0))</f>
        <v>235</v>
      </c>
      <c r="L60" s="5" t="n">
        <f aca="false">H60*K60</f>
        <v>235</v>
      </c>
    </row>
    <row r="61" customFormat="false" ht="15" hidden="false" customHeight="false" outlineLevel="0" collapsed="false">
      <c r="A61" s="2" t="s">
        <v>343</v>
      </c>
      <c r="B61" s="8" t="n">
        <v>46029</v>
      </c>
      <c r="C61" s="2" t="s">
        <v>120</v>
      </c>
      <c r="D61" s="3" t="str">
        <f aca="false">INDEX(Vendedores!$C$2:$C$101,MATCH(C61,Vendedores!$A$2:$A$101,0))</f>
        <v>L04</v>
      </c>
      <c r="E61" s="3" t="str">
        <f aca="false">INDEX(Lojas!$E$2:$E$11,MATCH(D61,Lojas!$A$2:$A$11,0))</f>
        <v>Sudeste</v>
      </c>
      <c r="F61" s="2" t="s">
        <v>260</v>
      </c>
      <c r="G61" s="3" t="str">
        <f aca="false">INDEX(Produtos!$B$2:$B$11,MATCH(F61,Produtos!$A$2:$A$11,0))&amp;" "&amp;INDEX(Produtos!$C$2:$C$11,MATCH(F61,Produtos!$A$2:$A$11,0))</f>
        <v>Celular Motorola</v>
      </c>
      <c r="H61" s="2" t="n">
        <v>3</v>
      </c>
      <c r="I61" s="5" t="n">
        <f aca="false">INDEX(Produtos!$D$2:$D$11,MATCH(F61,Produtos!$A$2:$A$11,0))</f>
        <v>1799</v>
      </c>
      <c r="J61" s="5" t="n">
        <f aca="false">H61*I61</f>
        <v>5397</v>
      </c>
      <c r="K61" s="5" t="n">
        <f aca="false">INDEX(Produtos!$E$2:$E$11,MATCH(F61,Produtos!$A$2:$A$11,0))</f>
        <v>1250</v>
      </c>
      <c r="L61" s="5" t="n">
        <f aca="false">H61*K61</f>
        <v>3750</v>
      </c>
    </row>
    <row r="62" customFormat="false" ht="15" hidden="false" customHeight="false" outlineLevel="0" collapsed="false">
      <c r="A62" s="2" t="s">
        <v>344</v>
      </c>
      <c r="B62" s="8" t="n">
        <v>46029</v>
      </c>
      <c r="C62" s="2" t="s">
        <v>223</v>
      </c>
      <c r="D62" s="3" t="str">
        <f aca="false">INDEX(Vendedores!$C$2:$C$101,MATCH(C62,Vendedores!$A$2:$A$101,0))</f>
        <v>L09</v>
      </c>
      <c r="E62" s="3" t="str">
        <f aca="false">INDEX(Lojas!$E$2:$E$11,MATCH(D62,Lojas!$A$2:$A$11,0))</f>
        <v>Nordeste</v>
      </c>
      <c r="F62" s="2" t="s">
        <v>270</v>
      </c>
      <c r="G62" s="3" t="str">
        <f aca="false">INDEX(Produtos!$B$2:$B$11,MATCH(F62,Produtos!$A$2:$A$11,0))&amp;" "&amp;INDEX(Produtos!$C$2:$C$11,MATCH(F62,Produtos!$A$2:$A$11,0))</f>
        <v>Controle de Videogame Xbox</v>
      </c>
      <c r="H62" s="2" t="n">
        <v>1</v>
      </c>
      <c r="I62" s="5" t="n">
        <f aca="false">INDEX(Produtos!$D$2:$D$11,MATCH(F62,Produtos!$A$2:$A$11,0))</f>
        <v>349.9</v>
      </c>
      <c r="J62" s="5" t="n">
        <f aca="false">H62*I62</f>
        <v>349.9</v>
      </c>
      <c r="K62" s="5" t="n">
        <f aca="false">INDEX(Produtos!$E$2:$E$11,MATCH(F62,Produtos!$A$2:$A$11,0))</f>
        <v>215</v>
      </c>
      <c r="L62" s="5" t="n">
        <f aca="false">H62*K62</f>
        <v>215</v>
      </c>
    </row>
    <row r="63" customFormat="false" ht="15" hidden="false" customHeight="false" outlineLevel="0" collapsed="false">
      <c r="A63" s="2" t="s">
        <v>345</v>
      </c>
      <c r="B63" s="8" t="n">
        <v>46029</v>
      </c>
      <c r="C63" s="2" t="s">
        <v>164</v>
      </c>
      <c r="D63" s="3" t="str">
        <f aca="false">INDEX(Vendedores!$C$2:$C$101,MATCH(C63,Vendedores!$A$2:$A$101,0))</f>
        <v>L06</v>
      </c>
      <c r="E63" s="3" t="str">
        <f aca="false">INDEX(Lojas!$E$2:$E$11,MATCH(D63,Lojas!$A$2:$A$11,0))</f>
        <v>Sul</v>
      </c>
      <c r="F63" s="2" t="s">
        <v>270</v>
      </c>
      <c r="G63" s="3" t="str">
        <f aca="false">INDEX(Produtos!$B$2:$B$11,MATCH(F63,Produtos!$A$2:$A$11,0))&amp;" "&amp;INDEX(Produtos!$C$2:$C$11,MATCH(F63,Produtos!$A$2:$A$11,0))</f>
        <v>Controle de Videogame Xbox</v>
      </c>
      <c r="H63" s="2" t="n">
        <v>3</v>
      </c>
      <c r="I63" s="5" t="n">
        <f aca="false">INDEX(Produtos!$D$2:$D$11,MATCH(F63,Produtos!$A$2:$A$11,0))</f>
        <v>349.9</v>
      </c>
      <c r="J63" s="5" t="n">
        <f aca="false">H63*I63</f>
        <v>1049.7</v>
      </c>
      <c r="K63" s="5" t="n">
        <f aca="false">INDEX(Produtos!$E$2:$E$11,MATCH(F63,Produtos!$A$2:$A$11,0))</f>
        <v>215</v>
      </c>
      <c r="L63" s="5" t="n">
        <f aca="false">H63*K63</f>
        <v>645</v>
      </c>
    </row>
    <row r="64" customFormat="false" ht="15" hidden="false" customHeight="false" outlineLevel="0" collapsed="false">
      <c r="A64" s="2" t="s">
        <v>346</v>
      </c>
      <c r="B64" s="8" t="n">
        <v>46029</v>
      </c>
      <c r="C64" s="2" t="s">
        <v>174</v>
      </c>
      <c r="D64" s="3" t="str">
        <f aca="false">INDEX(Vendedores!$C$2:$C$101,MATCH(C64,Vendedores!$A$2:$A$101,0))</f>
        <v>L07</v>
      </c>
      <c r="E64" s="3" t="str">
        <f aca="false">INDEX(Lojas!$E$2:$E$11,MATCH(D64,Lojas!$A$2:$A$11,0))</f>
        <v>Sul</v>
      </c>
      <c r="F64" s="2" t="s">
        <v>262</v>
      </c>
      <c r="G64" s="3" t="str">
        <f aca="false">INDEX(Produtos!$B$2:$B$11,MATCH(F64,Produtos!$A$2:$A$11,0))&amp;" "&amp;INDEX(Produtos!$C$2:$C$11,MATCH(F64,Produtos!$A$2:$A$11,0))</f>
        <v>Fone de Ouvido De Celular</v>
      </c>
      <c r="H64" s="2" t="n">
        <v>1</v>
      </c>
      <c r="I64" s="5" t="n">
        <f aca="false">INDEX(Produtos!$D$2:$D$11,MATCH(F64,Produtos!$A$2:$A$11,0))</f>
        <v>59.9</v>
      </c>
      <c r="J64" s="5" t="n">
        <f aca="false">H64*I64</f>
        <v>59.9</v>
      </c>
      <c r="K64" s="5" t="n">
        <f aca="false">INDEX(Produtos!$E$2:$E$11,MATCH(F64,Produtos!$A$2:$A$11,0))</f>
        <v>28</v>
      </c>
      <c r="L64" s="5" t="n">
        <f aca="false">H64*K64</f>
        <v>28</v>
      </c>
    </row>
    <row r="65" customFormat="false" ht="15" hidden="false" customHeight="false" outlineLevel="0" collapsed="false">
      <c r="A65" s="2" t="s">
        <v>347</v>
      </c>
      <c r="B65" s="8" t="n">
        <v>46029</v>
      </c>
      <c r="C65" s="2" t="s">
        <v>193</v>
      </c>
      <c r="D65" s="3" t="str">
        <f aca="false">INDEX(Vendedores!$C$2:$C$101,MATCH(C65,Vendedores!$A$2:$A$101,0))</f>
        <v>L08</v>
      </c>
      <c r="E65" s="3" t="str">
        <f aca="false">INDEX(Lojas!$E$2:$E$11,MATCH(D65,Lojas!$A$2:$A$11,0))</f>
        <v>Nordeste</v>
      </c>
      <c r="F65" s="2" t="s">
        <v>252</v>
      </c>
      <c r="G65" s="3" t="str">
        <f aca="false">INDEX(Produtos!$B$2:$B$11,MATCH(F65,Produtos!$A$2:$A$11,0))&amp;" "&amp;INDEX(Produtos!$C$2:$C$11,MATCH(F65,Produtos!$A$2:$A$11,0))</f>
        <v>Notebook Lenovo</v>
      </c>
      <c r="H65" s="2" t="n">
        <v>1</v>
      </c>
      <c r="I65" s="5" t="n">
        <f aca="false">INDEX(Produtos!$D$2:$D$11,MATCH(F65,Produtos!$A$2:$A$11,0))</f>
        <v>3199</v>
      </c>
      <c r="J65" s="5" t="n">
        <f aca="false">H65*I65</f>
        <v>3199</v>
      </c>
      <c r="K65" s="5" t="n">
        <f aca="false">INDEX(Produtos!$E$2:$E$11,MATCH(F65,Produtos!$A$2:$A$11,0))</f>
        <v>2350</v>
      </c>
      <c r="L65" s="5" t="n">
        <f aca="false">H65*K65</f>
        <v>2350</v>
      </c>
    </row>
    <row r="66" customFormat="false" ht="15" hidden="false" customHeight="false" outlineLevel="0" collapsed="false">
      <c r="A66" s="2" t="s">
        <v>348</v>
      </c>
      <c r="B66" s="8" t="n">
        <v>46029</v>
      </c>
      <c r="C66" s="2" t="s">
        <v>213</v>
      </c>
      <c r="D66" s="3" t="str">
        <f aca="false">INDEX(Vendedores!$C$2:$C$101,MATCH(C66,Vendedores!$A$2:$A$101,0))</f>
        <v>L09</v>
      </c>
      <c r="E66" s="3" t="str">
        <f aca="false">INDEX(Lojas!$E$2:$E$11,MATCH(D66,Lojas!$A$2:$A$11,0))</f>
        <v>Nordeste</v>
      </c>
      <c r="F66" s="2" t="s">
        <v>267</v>
      </c>
      <c r="G66" s="3" t="str">
        <f aca="false">INDEX(Produtos!$B$2:$B$11,MATCH(F66,Produtos!$A$2:$A$11,0))&amp;" "&amp;INDEX(Produtos!$C$2:$C$11,MATCH(F66,Produtos!$A$2:$A$11,0))</f>
        <v>Carregador de Celular Tipo C</v>
      </c>
      <c r="H66" s="2" t="n">
        <v>1</v>
      </c>
      <c r="I66" s="5" t="n">
        <f aca="false">INDEX(Produtos!$D$2:$D$11,MATCH(F66,Produtos!$A$2:$A$11,0))</f>
        <v>44.9</v>
      </c>
      <c r="J66" s="5" t="n">
        <f aca="false">H66*I66</f>
        <v>44.9</v>
      </c>
      <c r="K66" s="5" t="n">
        <f aca="false">INDEX(Produtos!$E$2:$E$11,MATCH(F66,Produtos!$A$2:$A$11,0))</f>
        <v>18</v>
      </c>
      <c r="L66" s="5" t="n">
        <f aca="false">H66*K66</f>
        <v>18</v>
      </c>
    </row>
    <row r="67" customFormat="false" ht="15" hidden="false" customHeight="false" outlineLevel="0" collapsed="false">
      <c r="A67" s="2" t="s">
        <v>349</v>
      </c>
      <c r="B67" s="8" t="n">
        <v>46029</v>
      </c>
      <c r="C67" s="2" t="s">
        <v>68</v>
      </c>
      <c r="D67" s="3" t="str">
        <f aca="false">INDEX(Vendedores!$C$2:$C$101,MATCH(C67,Vendedores!$A$2:$A$101,0))</f>
        <v>L01</v>
      </c>
      <c r="E67" s="3" t="str">
        <f aca="false">INDEX(Lojas!$E$2:$E$11,MATCH(D67,Lojas!$A$2:$A$11,0))</f>
        <v>Sudeste</v>
      </c>
      <c r="F67" s="2" t="s">
        <v>265</v>
      </c>
      <c r="G67" s="3" t="str">
        <f aca="false">INDEX(Produtos!$B$2:$B$11,MATCH(F67,Produtos!$A$2:$A$11,0))&amp;" "&amp;INDEX(Produtos!$C$2:$C$11,MATCH(F67,Produtos!$A$2:$A$11,0))</f>
        <v>Fone de Ouvido Headset</v>
      </c>
      <c r="H67" s="2" t="n">
        <v>1</v>
      </c>
      <c r="I67" s="5" t="n">
        <f aca="false">INDEX(Produtos!$D$2:$D$11,MATCH(F67,Produtos!$A$2:$A$11,0))</f>
        <v>249.9</v>
      </c>
      <c r="J67" s="5" t="n">
        <f aca="false">H67*I67</f>
        <v>249.9</v>
      </c>
      <c r="K67" s="5" t="n">
        <f aca="false">INDEX(Produtos!$E$2:$E$11,MATCH(F67,Produtos!$A$2:$A$11,0))</f>
        <v>145</v>
      </c>
      <c r="L67" s="5" t="n">
        <f aca="false">H67*K67</f>
        <v>145</v>
      </c>
    </row>
    <row r="68" customFormat="false" ht="15" hidden="false" customHeight="false" outlineLevel="0" collapsed="false">
      <c r="A68" s="2" t="s">
        <v>350</v>
      </c>
      <c r="B68" s="8" t="n">
        <v>46029</v>
      </c>
      <c r="C68" s="2" t="s">
        <v>140</v>
      </c>
      <c r="D68" s="3" t="str">
        <f aca="false">INDEX(Vendedores!$C$2:$C$101,MATCH(C68,Vendedores!$A$2:$A$101,0))</f>
        <v>L05</v>
      </c>
      <c r="E68" s="3" t="str">
        <f aca="false">INDEX(Lojas!$E$2:$E$11,MATCH(D68,Lojas!$A$2:$A$11,0))</f>
        <v>Sul</v>
      </c>
      <c r="F68" s="2" t="s">
        <v>275</v>
      </c>
      <c r="G68" s="3" t="str">
        <f aca="false">INDEX(Produtos!$B$2:$B$11,MATCH(F68,Produtos!$A$2:$A$11,0))&amp;" "&amp;INDEX(Produtos!$C$2:$C$11,MATCH(F68,Produtos!$A$2:$A$11,0))</f>
        <v>Controle de Videogame PS5</v>
      </c>
      <c r="H68" s="2" t="n">
        <v>1</v>
      </c>
      <c r="I68" s="5" t="n">
        <f aca="false">INDEX(Produtos!$D$2:$D$11,MATCH(F68,Produtos!$A$2:$A$11,0))</f>
        <v>379.9</v>
      </c>
      <c r="J68" s="5" t="n">
        <f aca="false">H68*I68</f>
        <v>379.9</v>
      </c>
      <c r="K68" s="5" t="n">
        <f aca="false">INDEX(Produtos!$E$2:$E$11,MATCH(F68,Produtos!$A$2:$A$11,0))</f>
        <v>235</v>
      </c>
      <c r="L68" s="5" t="n">
        <f aca="false">H68*K68</f>
        <v>235</v>
      </c>
    </row>
    <row r="69" customFormat="false" ht="15" hidden="false" customHeight="false" outlineLevel="0" collapsed="false">
      <c r="A69" s="2" t="s">
        <v>351</v>
      </c>
      <c r="B69" s="8" t="n">
        <v>46029</v>
      </c>
      <c r="C69" s="2" t="s">
        <v>88</v>
      </c>
      <c r="D69" s="3" t="str">
        <f aca="false">INDEX(Vendedores!$C$2:$C$101,MATCH(C69,Vendedores!$A$2:$A$101,0))</f>
        <v>L02</v>
      </c>
      <c r="E69" s="3" t="str">
        <f aca="false">INDEX(Lojas!$E$2:$E$11,MATCH(D69,Lojas!$A$2:$A$11,0))</f>
        <v>Sudeste</v>
      </c>
      <c r="F69" s="2" t="s">
        <v>273</v>
      </c>
      <c r="G69" s="3" t="str">
        <f aca="false">INDEX(Produtos!$B$2:$B$11,MATCH(F69,Produtos!$A$2:$A$11,0))&amp;" "&amp;INDEX(Produtos!$C$2:$C$11,MATCH(F69,Produtos!$A$2:$A$11,0))</f>
        <v>Controle de Videogame PS4</v>
      </c>
      <c r="H69" s="2" t="n">
        <v>1</v>
      </c>
      <c r="I69" s="5" t="n">
        <f aca="false">INDEX(Produtos!$D$2:$D$11,MATCH(F69,Produtos!$A$2:$A$11,0))</f>
        <v>299.9</v>
      </c>
      <c r="J69" s="5" t="n">
        <f aca="false">H69*I69</f>
        <v>299.9</v>
      </c>
      <c r="K69" s="5" t="n">
        <f aca="false">INDEX(Produtos!$E$2:$E$11,MATCH(F69,Produtos!$A$2:$A$11,0))</f>
        <v>175</v>
      </c>
      <c r="L69" s="5" t="n">
        <f aca="false">H69*K69</f>
        <v>175</v>
      </c>
    </row>
    <row r="70" customFormat="false" ht="15" hidden="false" customHeight="false" outlineLevel="0" collapsed="false">
      <c r="A70" s="2" t="s">
        <v>352</v>
      </c>
      <c r="B70" s="8" t="n">
        <v>46029</v>
      </c>
      <c r="C70" s="2" t="s">
        <v>104</v>
      </c>
      <c r="D70" s="3" t="str">
        <f aca="false">INDEX(Vendedores!$C$2:$C$101,MATCH(C70,Vendedores!$A$2:$A$101,0))</f>
        <v>L03</v>
      </c>
      <c r="E70" s="3" t="str">
        <f aca="false">INDEX(Lojas!$E$2:$E$11,MATCH(D70,Lojas!$A$2:$A$11,0))</f>
        <v>Sudeste</v>
      </c>
      <c r="F70" s="2" t="s">
        <v>275</v>
      </c>
      <c r="G70" s="3" t="str">
        <f aca="false">INDEX(Produtos!$B$2:$B$11,MATCH(F70,Produtos!$A$2:$A$11,0))&amp;" "&amp;INDEX(Produtos!$C$2:$C$11,MATCH(F70,Produtos!$A$2:$A$11,0))</f>
        <v>Controle de Videogame PS5</v>
      </c>
      <c r="H70" s="2" t="n">
        <v>1</v>
      </c>
      <c r="I70" s="5" t="n">
        <f aca="false">INDEX(Produtos!$D$2:$D$11,MATCH(F70,Produtos!$A$2:$A$11,0))</f>
        <v>379.9</v>
      </c>
      <c r="J70" s="5" t="n">
        <f aca="false">H70*I70</f>
        <v>379.9</v>
      </c>
      <c r="K70" s="5" t="n">
        <f aca="false">INDEX(Produtos!$E$2:$E$11,MATCH(F70,Produtos!$A$2:$A$11,0))</f>
        <v>235</v>
      </c>
      <c r="L70" s="5" t="n">
        <f aca="false">H70*K70</f>
        <v>235</v>
      </c>
    </row>
    <row r="71" customFormat="false" ht="15" hidden="false" customHeight="false" outlineLevel="0" collapsed="false">
      <c r="A71" s="2" t="s">
        <v>353</v>
      </c>
      <c r="B71" s="8" t="n">
        <v>46029</v>
      </c>
      <c r="C71" s="2" t="s">
        <v>229</v>
      </c>
      <c r="D71" s="3" t="str">
        <f aca="false">INDEX(Vendedores!$C$2:$C$101,MATCH(C71,Vendedores!$A$2:$A$101,0))</f>
        <v>L10</v>
      </c>
      <c r="E71" s="3" t="str">
        <f aca="false">INDEX(Lojas!$E$2:$E$11,MATCH(D71,Lojas!$A$2:$A$11,0))</f>
        <v>Nordeste</v>
      </c>
      <c r="F71" s="2" t="s">
        <v>275</v>
      </c>
      <c r="G71" s="3" t="str">
        <f aca="false">INDEX(Produtos!$B$2:$B$11,MATCH(F71,Produtos!$A$2:$A$11,0))&amp;" "&amp;INDEX(Produtos!$C$2:$C$11,MATCH(F71,Produtos!$A$2:$A$11,0))</f>
        <v>Controle de Videogame PS5</v>
      </c>
      <c r="H71" s="2" t="n">
        <v>1</v>
      </c>
      <c r="I71" s="5" t="n">
        <f aca="false">INDEX(Produtos!$D$2:$D$11,MATCH(F71,Produtos!$A$2:$A$11,0))</f>
        <v>379.9</v>
      </c>
      <c r="J71" s="5" t="n">
        <f aca="false">H71*I71</f>
        <v>379.9</v>
      </c>
      <c r="K71" s="5" t="n">
        <f aca="false">INDEX(Produtos!$E$2:$E$11,MATCH(F71,Produtos!$A$2:$A$11,0))</f>
        <v>235</v>
      </c>
      <c r="L71" s="5" t="n">
        <f aca="false">H71*K71</f>
        <v>235</v>
      </c>
    </row>
    <row r="72" customFormat="false" ht="15" hidden="false" customHeight="false" outlineLevel="0" collapsed="false">
      <c r="A72" s="2" t="s">
        <v>354</v>
      </c>
      <c r="B72" s="8" t="n">
        <v>46029</v>
      </c>
      <c r="C72" s="2" t="s">
        <v>138</v>
      </c>
      <c r="D72" s="3" t="str">
        <f aca="false">INDEX(Vendedores!$C$2:$C$101,MATCH(C72,Vendedores!$A$2:$A$101,0))</f>
        <v>L05</v>
      </c>
      <c r="E72" s="3" t="str">
        <f aca="false">INDEX(Lojas!$E$2:$E$11,MATCH(D72,Lojas!$A$2:$A$11,0))</f>
        <v>Sul</v>
      </c>
      <c r="F72" s="2" t="s">
        <v>262</v>
      </c>
      <c r="G72" s="3" t="str">
        <f aca="false">INDEX(Produtos!$B$2:$B$11,MATCH(F72,Produtos!$A$2:$A$11,0))&amp;" "&amp;INDEX(Produtos!$C$2:$C$11,MATCH(F72,Produtos!$A$2:$A$11,0))</f>
        <v>Fone de Ouvido De Celular</v>
      </c>
      <c r="H72" s="2" t="n">
        <v>1</v>
      </c>
      <c r="I72" s="5" t="n">
        <f aca="false">INDEX(Produtos!$D$2:$D$11,MATCH(F72,Produtos!$A$2:$A$11,0))</f>
        <v>59.9</v>
      </c>
      <c r="J72" s="5" t="n">
        <f aca="false">H72*I72</f>
        <v>59.9</v>
      </c>
      <c r="K72" s="5" t="n">
        <f aca="false">INDEX(Produtos!$E$2:$E$11,MATCH(F72,Produtos!$A$2:$A$11,0))</f>
        <v>28</v>
      </c>
      <c r="L72" s="5" t="n">
        <f aca="false">H72*K72</f>
        <v>28</v>
      </c>
    </row>
    <row r="73" customFormat="false" ht="15" hidden="false" customHeight="false" outlineLevel="0" collapsed="false">
      <c r="A73" s="2" t="s">
        <v>355</v>
      </c>
      <c r="B73" s="8" t="n">
        <v>46029</v>
      </c>
      <c r="C73" s="2" t="s">
        <v>187</v>
      </c>
      <c r="D73" s="3" t="str">
        <f aca="false">INDEX(Vendedores!$C$2:$C$101,MATCH(C73,Vendedores!$A$2:$A$101,0))</f>
        <v>L08</v>
      </c>
      <c r="E73" s="3" t="str">
        <f aca="false">INDEX(Lojas!$E$2:$E$11,MATCH(D73,Lojas!$A$2:$A$11,0))</f>
        <v>Nordeste</v>
      </c>
      <c r="F73" s="2" t="s">
        <v>267</v>
      </c>
      <c r="G73" s="3" t="str">
        <f aca="false">INDEX(Produtos!$B$2:$B$11,MATCH(F73,Produtos!$A$2:$A$11,0))&amp;" "&amp;INDEX(Produtos!$C$2:$C$11,MATCH(F73,Produtos!$A$2:$A$11,0))</f>
        <v>Carregador de Celular Tipo C</v>
      </c>
      <c r="H73" s="2" t="n">
        <v>2</v>
      </c>
      <c r="I73" s="5" t="n">
        <f aca="false">INDEX(Produtos!$D$2:$D$11,MATCH(F73,Produtos!$A$2:$A$11,0))</f>
        <v>44.9</v>
      </c>
      <c r="J73" s="5" t="n">
        <f aca="false">H73*I73</f>
        <v>89.8</v>
      </c>
      <c r="K73" s="5" t="n">
        <f aca="false">INDEX(Produtos!$E$2:$E$11,MATCH(F73,Produtos!$A$2:$A$11,0))</f>
        <v>18</v>
      </c>
      <c r="L73" s="5" t="n">
        <f aca="false">H73*K73</f>
        <v>36</v>
      </c>
    </row>
    <row r="74" customFormat="false" ht="15" hidden="false" customHeight="false" outlineLevel="0" collapsed="false">
      <c r="A74" s="2" t="s">
        <v>356</v>
      </c>
      <c r="B74" s="8" t="n">
        <v>46030</v>
      </c>
      <c r="C74" s="2" t="s">
        <v>94</v>
      </c>
      <c r="D74" s="3" t="str">
        <f aca="false">INDEX(Vendedores!$C$2:$C$101,MATCH(C74,Vendedores!$A$2:$A$101,0))</f>
        <v>L03</v>
      </c>
      <c r="E74" s="3" t="str">
        <f aca="false">INDEX(Lojas!$E$2:$E$11,MATCH(D74,Lojas!$A$2:$A$11,0))</f>
        <v>Sudeste</v>
      </c>
      <c r="F74" s="2" t="s">
        <v>273</v>
      </c>
      <c r="G74" s="3" t="str">
        <f aca="false">INDEX(Produtos!$B$2:$B$11,MATCH(F74,Produtos!$A$2:$A$11,0))&amp;" "&amp;INDEX(Produtos!$C$2:$C$11,MATCH(F74,Produtos!$A$2:$A$11,0))</f>
        <v>Controle de Videogame PS4</v>
      </c>
      <c r="H74" s="2" t="n">
        <v>1</v>
      </c>
      <c r="I74" s="5" t="n">
        <f aca="false">INDEX(Produtos!$D$2:$D$11,MATCH(F74,Produtos!$A$2:$A$11,0))</f>
        <v>299.9</v>
      </c>
      <c r="J74" s="5" t="n">
        <f aca="false">H74*I74</f>
        <v>299.9</v>
      </c>
      <c r="K74" s="5" t="n">
        <f aca="false">INDEX(Produtos!$E$2:$E$11,MATCH(F74,Produtos!$A$2:$A$11,0))</f>
        <v>175</v>
      </c>
      <c r="L74" s="5" t="n">
        <f aca="false">H74*K74</f>
        <v>175</v>
      </c>
    </row>
    <row r="75" customFormat="false" ht="15" hidden="false" customHeight="false" outlineLevel="0" collapsed="false">
      <c r="A75" s="2" t="s">
        <v>357</v>
      </c>
      <c r="B75" s="8" t="n">
        <v>46030</v>
      </c>
      <c r="C75" s="2" t="s">
        <v>195</v>
      </c>
      <c r="D75" s="3" t="str">
        <f aca="false">INDEX(Vendedores!$C$2:$C$101,MATCH(C75,Vendedores!$A$2:$A$101,0))</f>
        <v>L08</v>
      </c>
      <c r="E75" s="3" t="str">
        <f aca="false">INDEX(Lojas!$E$2:$E$11,MATCH(D75,Lojas!$A$2:$A$11,0))</f>
        <v>Nordeste</v>
      </c>
      <c r="F75" s="2" t="s">
        <v>267</v>
      </c>
      <c r="G75" s="3" t="str">
        <f aca="false">INDEX(Produtos!$B$2:$B$11,MATCH(F75,Produtos!$A$2:$A$11,0))&amp;" "&amp;INDEX(Produtos!$C$2:$C$11,MATCH(F75,Produtos!$A$2:$A$11,0))</f>
        <v>Carregador de Celular Tipo C</v>
      </c>
      <c r="H75" s="2" t="n">
        <v>1</v>
      </c>
      <c r="I75" s="5" t="n">
        <f aca="false">INDEX(Produtos!$D$2:$D$11,MATCH(F75,Produtos!$A$2:$A$11,0))</f>
        <v>44.9</v>
      </c>
      <c r="J75" s="5" t="n">
        <f aca="false">H75*I75</f>
        <v>44.9</v>
      </c>
      <c r="K75" s="5" t="n">
        <f aca="false">INDEX(Produtos!$E$2:$E$11,MATCH(F75,Produtos!$A$2:$A$11,0))</f>
        <v>18</v>
      </c>
      <c r="L75" s="5" t="n">
        <f aca="false">H75*K75</f>
        <v>18</v>
      </c>
    </row>
    <row r="76" customFormat="false" ht="15" hidden="false" customHeight="false" outlineLevel="0" collapsed="false">
      <c r="A76" s="2" t="s">
        <v>358</v>
      </c>
      <c r="B76" s="8" t="n">
        <v>46030</v>
      </c>
      <c r="C76" s="2" t="s">
        <v>68</v>
      </c>
      <c r="D76" s="3" t="str">
        <f aca="false">INDEX(Vendedores!$C$2:$C$101,MATCH(C76,Vendedores!$A$2:$A$101,0))</f>
        <v>L01</v>
      </c>
      <c r="E76" s="3" t="str">
        <f aca="false">INDEX(Lojas!$E$2:$E$11,MATCH(D76,Lojas!$A$2:$A$11,0))</f>
        <v>Sudeste</v>
      </c>
      <c r="F76" s="2" t="s">
        <v>273</v>
      </c>
      <c r="G76" s="3" t="str">
        <f aca="false">INDEX(Produtos!$B$2:$B$11,MATCH(F76,Produtos!$A$2:$A$11,0))&amp;" "&amp;INDEX(Produtos!$C$2:$C$11,MATCH(F76,Produtos!$A$2:$A$11,0))</f>
        <v>Controle de Videogame PS4</v>
      </c>
      <c r="H76" s="2" t="n">
        <v>1</v>
      </c>
      <c r="I76" s="5" t="n">
        <f aca="false">INDEX(Produtos!$D$2:$D$11,MATCH(F76,Produtos!$A$2:$A$11,0))</f>
        <v>299.9</v>
      </c>
      <c r="J76" s="5" t="n">
        <f aca="false">H76*I76</f>
        <v>299.9</v>
      </c>
      <c r="K76" s="5" t="n">
        <f aca="false">INDEX(Produtos!$E$2:$E$11,MATCH(F76,Produtos!$A$2:$A$11,0))</f>
        <v>175</v>
      </c>
      <c r="L76" s="5" t="n">
        <f aca="false">H76*K76</f>
        <v>175</v>
      </c>
    </row>
    <row r="77" customFormat="false" ht="15" hidden="false" customHeight="false" outlineLevel="0" collapsed="false">
      <c r="A77" s="2" t="s">
        <v>359</v>
      </c>
      <c r="B77" s="8" t="n">
        <v>46030</v>
      </c>
      <c r="C77" s="2" t="s">
        <v>146</v>
      </c>
      <c r="D77" s="3" t="str">
        <f aca="false">INDEX(Vendedores!$C$2:$C$101,MATCH(C77,Vendedores!$A$2:$A$101,0))</f>
        <v>L05</v>
      </c>
      <c r="E77" s="3" t="str">
        <f aca="false">INDEX(Lojas!$E$2:$E$11,MATCH(D77,Lojas!$A$2:$A$11,0))</f>
        <v>Sul</v>
      </c>
      <c r="F77" s="2" t="s">
        <v>262</v>
      </c>
      <c r="G77" s="3" t="str">
        <f aca="false">INDEX(Produtos!$B$2:$B$11,MATCH(F77,Produtos!$A$2:$A$11,0))&amp;" "&amp;INDEX(Produtos!$C$2:$C$11,MATCH(F77,Produtos!$A$2:$A$11,0))</f>
        <v>Fone de Ouvido De Celular</v>
      </c>
      <c r="H77" s="2" t="n">
        <v>1</v>
      </c>
      <c r="I77" s="5" t="n">
        <f aca="false">INDEX(Produtos!$D$2:$D$11,MATCH(F77,Produtos!$A$2:$A$11,0))</f>
        <v>59.9</v>
      </c>
      <c r="J77" s="5" t="n">
        <f aca="false">H77*I77</f>
        <v>59.9</v>
      </c>
      <c r="K77" s="5" t="n">
        <f aca="false">INDEX(Produtos!$E$2:$E$11,MATCH(F77,Produtos!$A$2:$A$11,0))</f>
        <v>28</v>
      </c>
      <c r="L77" s="5" t="n">
        <f aca="false">H77*K77</f>
        <v>28</v>
      </c>
    </row>
    <row r="78" customFormat="false" ht="15" hidden="false" customHeight="false" outlineLevel="0" collapsed="false">
      <c r="A78" s="2" t="s">
        <v>360</v>
      </c>
      <c r="B78" s="8" t="n">
        <v>46030</v>
      </c>
      <c r="C78" s="2" t="s">
        <v>187</v>
      </c>
      <c r="D78" s="3" t="str">
        <f aca="false">INDEX(Vendedores!$C$2:$C$101,MATCH(C78,Vendedores!$A$2:$A$101,0))</f>
        <v>L08</v>
      </c>
      <c r="E78" s="3" t="str">
        <f aca="false">INDEX(Lojas!$E$2:$E$11,MATCH(D78,Lojas!$A$2:$A$11,0))</f>
        <v>Nordeste</v>
      </c>
      <c r="F78" s="2" t="s">
        <v>257</v>
      </c>
      <c r="G78" s="3" t="str">
        <f aca="false">INDEX(Produtos!$B$2:$B$11,MATCH(F78,Produtos!$A$2:$A$11,0))&amp;" "&amp;INDEX(Produtos!$C$2:$C$11,MATCH(F78,Produtos!$A$2:$A$11,0))</f>
        <v>Celular Samsung</v>
      </c>
      <c r="H78" s="2" t="n">
        <v>1</v>
      </c>
      <c r="I78" s="5" t="n">
        <f aca="false">INDEX(Produtos!$D$2:$D$11,MATCH(F78,Produtos!$A$2:$A$11,0))</f>
        <v>2499</v>
      </c>
      <c r="J78" s="5" t="n">
        <f aca="false">H78*I78</f>
        <v>2499</v>
      </c>
      <c r="K78" s="5" t="n">
        <f aca="false">INDEX(Produtos!$E$2:$E$11,MATCH(F78,Produtos!$A$2:$A$11,0))</f>
        <v>1800</v>
      </c>
      <c r="L78" s="5" t="n">
        <f aca="false">H78*K78</f>
        <v>1800</v>
      </c>
    </row>
    <row r="79" customFormat="false" ht="15" hidden="false" customHeight="false" outlineLevel="0" collapsed="false">
      <c r="A79" s="2" t="s">
        <v>361</v>
      </c>
      <c r="B79" s="8" t="n">
        <v>46030</v>
      </c>
      <c r="C79" s="2" t="s">
        <v>74</v>
      </c>
      <c r="D79" s="3" t="str">
        <f aca="false">INDEX(Vendedores!$C$2:$C$101,MATCH(C79,Vendedores!$A$2:$A$101,0))</f>
        <v>L02</v>
      </c>
      <c r="E79" s="3" t="str">
        <f aca="false">INDEX(Lojas!$E$2:$E$11,MATCH(D79,Lojas!$A$2:$A$11,0))</f>
        <v>Sudeste</v>
      </c>
      <c r="F79" s="2" t="s">
        <v>273</v>
      </c>
      <c r="G79" s="3" t="str">
        <f aca="false">INDEX(Produtos!$B$2:$B$11,MATCH(F79,Produtos!$A$2:$A$11,0))&amp;" "&amp;INDEX(Produtos!$C$2:$C$11,MATCH(F79,Produtos!$A$2:$A$11,0))</f>
        <v>Controle de Videogame PS4</v>
      </c>
      <c r="H79" s="2" t="n">
        <v>1</v>
      </c>
      <c r="I79" s="5" t="n">
        <f aca="false">INDEX(Produtos!$D$2:$D$11,MATCH(F79,Produtos!$A$2:$A$11,0))</f>
        <v>299.9</v>
      </c>
      <c r="J79" s="5" t="n">
        <f aca="false">H79*I79</f>
        <v>299.9</v>
      </c>
      <c r="K79" s="5" t="n">
        <f aca="false">INDEX(Produtos!$E$2:$E$11,MATCH(F79,Produtos!$A$2:$A$11,0))</f>
        <v>175</v>
      </c>
      <c r="L79" s="5" t="n">
        <f aca="false">H79*K79</f>
        <v>175</v>
      </c>
    </row>
    <row r="80" customFormat="false" ht="15" hidden="false" customHeight="false" outlineLevel="0" collapsed="false">
      <c r="A80" s="2" t="s">
        <v>362</v>
      </c>
      <c r="B80" s="8" t="n">
        <v>46030</v>
      </c>
      <c r="C80" s="2" t="s">
        <v>142</v>
      </c>
      <c r="D80" s="3" t="str">
        <f aca="false">INDEX(Vendedores!$C$2:$C$101,MATCH(C80,Vendedores!$A$2:$A$101,0))</f>
        <v>L05</v>
      </c>
      <c r="E80" s="3" t="str">
        <f aca="false">INDEX(Lojas!$E$2:$E$11,MATCH(D80,Lojas!$A$2:$A$11,0))</f>
        <v>Sul</v>
      </c>
      <c r="F80" s="2" t="s">
        <v>273</v>
      </c>
      <c r="G80" s="3" t="str">
        <f aca="false">INDEX(Produtos!$B$2:$B$11,MATCH(F80,Produtos!$A$2:$A$11,0))&amp;" "&amp;INDEX(Produtos!$C$2:$C$11,MATCH(F80,Produtos!$A$2:$A$11,0))</f>
        <v>Controle de Videogame PS4</v>
      </c>
      <c r="H80" s="2" t="n">
        <v>1</v>
      </c>
      <c r="I80" s="5" t="n">
        <f aca="false">INDEX(Produtos!$D$2:$D$11,MATCH(F80,Produtos!$A$2:$A$11,0))</f>
        <v>299.9</v>
      </c>
      <c r="J80" s="5" t="n">
        <f aca="false">H80*I80</f>
        <v>299.9</v>
      </c>
      <c r="K80" s="5" t="n">
        <f aca="false">INDEX(Produtos!$E$2:$E$11,MATCH(F80,Produtos!$A$2:$A$11,0))</f>
        <v>175</v>
      </c>
      <c r="L80" s="5" t="n">
        <f aca="false">H80*K80</f>
        <v>175</v>
      </c>
    </row>
    <row r="81" customFormat="false" ht="15" hidden="false" customHeight="false" outlineLevel="0" collapsed="false">
      <c r="A81" s="2" t="s">
        <v>363</v>
      </c>
      <c r="B81" s="8" t="n">
        <v>46030</v>
      </c>
      <c r="C81" s="2" t="s">
        <v>193</v>
      </c>
      <c r="D81" s="3" t="str">
        <f aca="false">INDEX(Vendedores!$C$2:$C$101,MATCH(C81,Vendedores!$A$2:$A$101,0))</f>
        <v>L08</v>
      </c>
      <c r="E81" s="3" t="str">
        <f aca="false">INDEX(Lojas!$E$2:$E$11,MATCH(D81,Lojas!$A$2:$A$11,0))</f>
        <v>Nordeste</v>
      </c>
      <c r="F81" s="2" t="s">
        <v>267</v>
      </c>
      <c r="G81" s="3" t="str">
        <f aca="false">INDEX(Produtos!$B$2:$B$11,MATCH(F81,Produtos!$A$2:$A$11,0))&amp;" "&amp;INDEX(Produtos!$C$2:$C$11,MATCH(F81,Produtos!$A$2:$A$11,0))</f>
        <v>Carregador de Celular Tipo C</v>
      </c>
      <c r="H81" s="2" t="n">
        <v>2</v>
      </c>
      <c r="I81" s="5" t="n">
        <f aca="false">INDEX(Produtos!$D$2:$D$11,MATCH(F81,Produtos!$A$2:$A$11,0))</f>
        <v>44.9</v>
      </c>
      <c r="J81" s="5" t="n">
        <f aca="false">H81*I81</f>
        <v>89.8</v>
      </c>
      <c r="K81" s="5" t="n">
        <f aca="false">INDEX(Produtos!$E$2:$E$11,MATCH(F81,Produtos!$A$2:$A$11,0))</f>
        <v>18</v>
      </c>
      <c r="L81" s="5" t="n">
        <f aca="false">H81*K81</f>
        <v>36</v>
      </c>
    </row>
    <row r="82" customFormat="false" ht="15" hidden="false" customHeight="false" outlineLevel="0" collapsed="false">
      <c r="A82" s="2" t="s">
        <v>364</v>
      </c>
      <c r="B82" s="8" t="n">
        <v>46030</v>
      </c>
      <c r="C82" s="2" t="s">
        <v>54</v>
      </c>
      <c r="D82" s="3" t="str">
        <f aca="false">INDEX(Vendedores!$C$2:$C$101,MATCH(C82,Vendedores!$A$2:$A$101,0))</f>
        <v>L01</v>
      </c>
      <c r="E82" s="3" t="str">
        <f aca="false">INDEX(Lojas!$E$2:$E$11,MATCH(D82,Lojas!$A$2:$A$11,0))</f>
        <v>Sudeste</v>
      </c>
      <c r="F82" s="2" t="s">
        <v>252</v>
      </c>
      <c r="G82" s="3" t="str">
        <f aca="false">INDEX(Produtos!$B$2:$B$11,MATCH(F82,Produtos!$A$2:$A$11,0))&amp;" "&amp;INDEX(Produtos!$C$2:$C$11,MATCH(F82,Produtos!$A$2:$A$11,0))</f>
        <v>Notebook Lenovo</v>
      </c>
      <c r="H82" s="2" t="n">
        <v>3</v>
      </c>
      <c r="I82" s="5" t="n">
        <f aca="false">INDEX(Produtos!$D$2:$D$11,MATCH(F82,Produtos!$A$2:$A$11,0))</f>
        <v>3199</v>
      </c>
      <c r="J82" s="5" t="n">
        <f aca="false">H82*I82</f>
        <v>9597</v>
      </c>
      <c r="K82" s="5" t="n">
        <f aca="false">INDEX(Produtos!$E$2:$E$11,MATCH(F82,Produtos!$A$2:$A$11,0))</f>
        <v>2350</v>
      </c>
      <c r="L82" s="5" t="n">
        <f aca="false">H82*K82</f>
        <v>7050</v>
      </c>
    </row>
    <row r="83" customFormat="false" ht="15" hidden="false" customHeight="false" outlineLevel="0" collapsed="false">
      <c r="A83" s="2" t="s">
        <v>365</v>
      </c>
      <c r="B83" s="8" t="n">
        <v>46030</v>
      </c>
      <c r="C83" s="2" t="s">
        <v>201</v>
      </c>
      <c r="D83" s="3" t="str">
        <f aca="false">INDEX(Vendedores!$C$2:$C$101,MATCH(C83,Vendedores!$A$2:$A$101,0))</f>
        <v>L08</v>
      </c>
      <c r="E83" s="3" t="str">
        <f aca="false">INDEX(Lojas!$E$2:$E$11,MATCH(D83,Lojas!$A$2:$A$11,0))</f>
        <v>Nordeste</v>
      </c>
      <c r="F83" s="2" t="s">
        <v>255</v>
      </c>
      <c r="G83" s="3" t="str">
        <f aca="false">INDEX(Produtos!$B$2:$B$11,MATCH(F83,Produtos!$A$2:$A$11,0))&amp;" "&amp;INDEX(Produtos!$C$2:$C$11,MATCH(F83,Produtos!$A$2:$A$11,0))</f>
        <v>Notebook Positivo</v>
      </c>
      <c r="H83" s="2" t="n">
        <v>1</v>
      </c>
      <c r="I83" s="5" t="n">
        <f aca="false">INDEX(Produtos!$D$2:$D$11,MATCH(F83,Produtos!$A$2:$A$11,0))</f>
        <v>2199</v>
      </c>
      <c r="J83" s="5" t="n">
        <f aca="false">H83*I83</f>
        <v>2199</v>
      </c>
      <c r="K83" s="5" t="n">
        <f aca="false">INDEX(Produtos!$E$2:$E$11,MATCH(F83,Produtos!$A$2:$A$11,0))</f>
        <v>1550</v>
      </c>
      <c r="L83" s="5" t="n">
        <f aca="false">H83*K83</f>
        <v>1550</v>
      </c>
    </row>
    <row r="84" customFormat="false" ht="15" hidden="false" customHeight="false" outlineLevel="0" collapsed="false">
      <c r="A84" s="2" t="s">
        <v>366</v>
      </c>
      <c r="B84" s="8" t="n">
        <v>46030</v>
      </c>
      <c r="C84" s="2" t="s">
        <v>239</v>
      </c>
      <c r="D84" s="3" t="str">
        <f aca="false">INDEX(Vendedores!$C$2:$C$101,MATCH(C84,Vendedores!$A$2:$A$101,0))</f>
        <v>L10</v>
      </c>
      <c r="E84" s="3" t="str">
        <f aca="false">INDEX(Lojas!$E$2:$E$11,MATCH(D84,Lojas!$A$2:$A$11,0))</f>
        <v>Nordeste</v>
      </c>
      <c r="F84" s="2" t="s">
        <v>267</v>
      </c>
      <c r="G84" s="3" t="str">
        <f aca="false">INDEX(Produtos!$B$2:$B$11,MATCH(F84,Produtos!$A$2:$A$11,0))&amp;" "&amp;INDEX(Produtos!$C$2:$C$11,MATCH(F84,Produtos!$A$2:$A$11,0))</f>
        <v>Carregador de Celular Tipo C</v>
      </c>
      <c r="H84" s="2" t="n">
        <v>1</v>
      </c>
      <c r="I84" s="5" t="n">
        <f aca="false">INDEX(Produtos!$D$2:$D$11,MATCH(F84,Produtos!$A$2:$A$11,0))</f>
        <v>44.9</v>
      </c>
      <c r="J84" s="5" t="n">
        <f aca="false">H84*I84</f>
        <v>44.9</v>
      </c>
      <c r="K84" s="5" t="n">
        <f aca="false">INDEX(Produtos!$E$2:$E$11,MATCH(F84,Produtos!$A$2:$A$11,0))</f>
        <v>18</v>
      </c>
      <c r="L84" s="5" t="n">
        <f aca="false">H84*K84</f>
        <v>18</v>
      </c>
    </row>
    <row r="85" customFormat="false" ht="15" hidden="false" customHeight="false" outlineLevel="0" collapsed="false">
      <c r="A85" s="2" t="s">
        <v>367</v>
      </c>
      <c r="B85" s="8" t="n">
        <v>46031</v>
      </c>
      <c r="C85" s="2" t="s">
        <v>223</v>
      </c>
      <c r="D85" s="3" t="str">
        <f aca="false">INDEX(Vendedores!$C$2:$C$101,MATCH(C85,Vendedores!$A$2:$A$101,0))</f>
        <v>L09</v>
      </c>
      <c r="E85" s="3" t="str">
        <f aca="false">INDEX(Lojas!$E$2:$E$11,MATCH(D85,Lojas!$A$2:$A$11,0))</f>
        <v>Nordeste</v>
      </c>
      <c r="F85" s="2" t="s">
        <v>273</v>
      </c>
      <c r="G85" s="3" t="str">
        <f aca="false">INDEX(Produtos!$B$2:$B$11,MATCH(F85,Produtos!$A$2:$A$11,0))&amp;" "&amp;INDEX(Produtos!$C$2:$C$11,MATCH(F85,Produtos!$A$2:$A$11,0))</f>
        <v>Controle de Videogame PS4</v>
      </c>
      <c r="H85" s="2" t="n">
        <v>2</v>
      </c>
      <c r="I85" s="5" t="n">
        <f aca="false">INDEX(Produtos!$D$2:$D$11,MATCH(F85,Produtos!$A$2:$A$11,0))</f>
        <v>299.9</v>
      </c>
      <c r="J85" s="5" t="n">
        <f aca="false">H85*I85</f>
        <v>599.8</v>
      </c>
      <c r="K85" s="5" t="n">
        <f aca="false">INDEX(Produtos!$E$2:$E$11,MATCH(F85,Produtos!$A$2:$A$11,0))</f>
        <v>175</v>
      </c>
      <c r="L85" s="5" t="n">
        <f aca="false">H85*K85</f>
        <v>350</v>
      </c>
    </row>
    <row r="86" customFormat="false" ht="15" hidden="false" customHeight="false" outlineLevel="0" collapsed="false">
      <c r="A86" s="2" t="s">
        <v>368</v>
      </c>
      <c r="B86" s="8" t="n">
        <v>46031</v>
      </c>
      <c r="C86" s="2" t="s">
        <v>201</v>
      </c>
      <c r="D86" s="3" t="str">
        <f aca="false">INDEX(Vendedores!$C$2:$C$101,MATCH(C86,Vendedores!$A$2:$A$101,0))</f>
        <v>L08</v>
      </c>
      <c r="E86" s="3" t="str">
        <f aca="false">INDEX(Lojas!$E$2:$E$11,MATCH(D86,Lojas!$A$2:$A$11,0))</f>
        <v>Nordeste</v>
      </c>
      <c r="F86" s="2" t="s">
        <v>255</v>
      </c>
      <c r="G86" s="3" t="str">
        <f aca="false">INDEX(Produtos!$B$2:$B$11,MATCH(F86,Produtos!$A$2:$A$11,0))&amp;" "&amp;INDEX(Produtos!$C$2:$C$11,MATCH(F86,Produtos!$A$2:$A$11,0))</f>
        <v>Notebook Positivo</v>
      </c>
      <c r="H86" s="2" t="n">
        <v>1</v>
      </c>
      <c r="I86" s="5" t="n">
        <f aca="false">INDEX(Produtos!$D$2:$D$11,MATCH(F86,Produtos!$A$2:$A$11,0))</f>
        <v>2199</v>
      </c>
      <c r="J86" s="5" t="n">
        <f aca="false">H86*I86</f>
        <v>2199</v>
      </c>
      <c r="K86" s="5" t="n">
        <f aca="false">INDEX(Produtos!$E$2:$E$11,MATCH(F86,Produtos!$A$2:$A$11,0))</f>
        <v>1550</v>
      </c>
      <c r="L86" s="5" t="n">
        <f aca="false">H86*K86</f>
        <v>1550</v>
      </c>
    </row>
    <row r="87" customFormat="false" ht="15" hidden="false" customHeight="false" outlineLevel="0" collapsed="false">
      <c r="A87" s="2" t="s">
        <v>369</v>
      </c>
      <c r="B87" s="8" t="n">
        <v>46031</v>
      </c>
      <c r="C87" s="2" t="s">
        <v>231</v>
      </c>
      <c r="D87" s="3" t="str">
        <f aca="false">INDEX(Vendedores!$C$2:$C$101,MATCH(C87,Vendedores!$A$2:$A$101,0))</f>
        <v>L10</v>
      </c>
      <c r="E87" s="3" t="str">
        <f aca="false">INDEX(Lojas!$E$2:$E$11,MATCH(D87,Lojas!$A$2:$A$11,0))</f>
        <v>Nordeste</v>
      </c>
      <c r="F87" s="2" t="s">
        <v>267</v>
      </c>
      <c r="G87" s="3" t="str">
        <f aca="false">INDEX(Produtos!$B$2:$B$11,MATCH(F87,Produtos!$A$2:$A$11,0))&amp;" "&amp;INDEX(Produtos!$C$2:$C$11,MATCH(F87,Produtos!$A$2:$A$11,0))</f>
        <v>Carregador de Celular Tipo C</v>
      </c>
      <c r="H87" s="2" t="n">
        <v>1</v>
      </c>
      <c r="I87" s="5" t="n">
        <f aca="false">INDEX(Produtos!$D$2:$D$11,MATCH(F87,Produtos!$A$2:$A$11,0))</f>
        <v>44.9</v>
      </c>
      <c r="J87" s="5" t="n">
        <f aca="false">H87*I87</f>
        <v>44.9</v>
      </c>
      <c r="K87" s="5" t="n">
        <f aca="false">INDEX(Produtos!$E$2:$E$11,MATCH(F87,Produtos!$A$2:$A$11,0))</f>
        <v>18</v>
      </c>
      <c r="L87" s="5" t="n">
        <f aca="false">H87*K87</f>
        <v>18</v>
      </c>
    </row>
    <row r="88" customFormat="false" ht="15" hidden="false" customHeight="false" outlineLevel="0" collapsed="false">
      <c r="A88" s="2" t="s">
        <v>370</v>
      </c>
      <c r="B88" s="8" t="n">
        <v>46031</v>
      </c>
      <c r="C88" s="2" t="s">
        <v>217</v>
      </c>
      <c r="D88" s="3" t="str">
        <f aca="false">INDEX(Vendedores!$C$2:$C$101,MATCH(C88,Vendedores!$A$2:$A$101,0))</f>
        <v>L09</v>
      </c>
      <c r="E88" s="3" t="str">
        <f aca="false">INDEX(Lojas!$E$2:$E$11,MATCH(D88,Lojas!$A$2:$A$11,0))</f>
        <v>Nordeste</v>
      </c>
      <c r="F88" s="2" t="s">
        <v>275</v>
      </c>
      <c r="G88" s="3" t="str">
        <f aca="false">INDEX(Produtos!$B$2:$B$11,MATCH(F88,Produtos!$A$2:$A$11,0))&amp;" "&amp;INDEX(Produtos!$C$2:$C$11,MATCH(F88,Produtos!$A$2:$A$11,0))</f>
        <v>Controle de Videogame PS5</v>
      </c>
      <c r="H88" s="2" t="n">
        <v>2</v>
      </c>
      <c r="I88" s="5" t="n">
        <f aca="false">INDEX(Produtos!$D$2:$D$11,MATCH(F88,Produtos!$A$2:$A$11,0))</f>
        <v>379.9</v>
      </c>
      <c r="J88" s="5" t="n">
        <f aca="false">H88*I88</f>
        <v>759.8</v>
      </c>
      <c r="K88" s="5" t="n">
        <f aca="false">INDEX(Produtos!$E$2:$E$11,MATCH(F88,Produtos!$A$2:$A$11,0))</f>
        <v>235</v>
      </c>
      <c r="L88" s="5" t="n">
        <f aca="false">H88*K88</f>
        <v>470</v>
      </c>
    </row>
    <row r="89" customFormat="false" ht="15" hidden="false" customHeight="false" outlineLevel="0" collapsed="false">
      <c r="A89" s="2" t="s">
        <v>371</v>
      </c>
      <c r="B89" s="8" t="n">
        <v>46031</v>
      </c>
      <c r="C89" s="2" t="s">
        <v>126</v>
      </c>
      <c r="D89" s="3" t="str">
        <f aca="false">INDEX(Vendedores!$C$2:$C$101,MATCH(C89,Vendedores!$A$2:$A$101,0))</f>
        <v>L04</v>
      </c>
      <c r="E89" s="3" t="str">
        <f aca="false">INDEX(Lojas!$E$2:$E$11,MATCH(D89,Lojas!$A$2:$A$11,0))</f>
        <v>Sudeste</v>
      </c>
      <c r="F89" s="2" t="s">
        <v>257</v>
      </c>
      <c r="G89" s="3" t="str">
        <f aca="false">INDEX(Produtos!$B$2:$B$11,MATCH(F89,Produtos!$A$2:$A$11,0))&amp;" "&amp;INDEX(Produtos!$C$2:$C$11,MATCH(F89,Produtos!$A$2:$A$11,0))</f>
        <v>Celular Samsung</v>
      </c>
      <c r="H89" s="2" t="n">
        <v>1</v>
      </c>
      <c r="I89" s="5" t="n">
        <f aca="false">INDEX(Produtos!$D$2:$D$11,MATCH(F89,Produtos!$A$2:$A$11,0))</f>
        <v>2499</v>
      </c>
      <c r="J89" s="5" t="n">
        <f aca="false">H89*I89</f>
        <v>2499</v>
      </c>
      <c r="K89" s="5" t="n">
        <f aca="false">INDEX(Produtos!$E$2:$E$11,MATCH(F89,Produtos!$A$2:$A$11,0))</f>
        <v>1800</v>
      </c>
      <c r="L89" s="5" t="n">
        <f aca="false">H89*K89</f>
        <v>1800</v>
      </c>
    </row>
    <row r="90" customFormat="false" ht="15" hidden="false" customHeight="false" outlineLevel="0" collapsed="false">
      <c r="A90" s="2" t="s">
        <v>372</v>
      </c>
      <c r="B90" s="8" t="n">
        <v>46031</v>
      </c>
      <c r="C90" s="2" t="s">
        <v>137</v>
      </c>
      <c r="D90" s="3" t="str">
        <f aca="false">INDEX(Vendedores!$C$2:$C$101,MATCH(C90,Vendedores!$A$2:$A$101,0))</f>
        <v>L05</v>
      </c>
      <c r="E90" s="3" t="str">
        <f aca="false">INDEX(Lojas!$E$2:$E$11,MATCH(D90,Lojas!$A$2:$A$11,0))</f>
        <v>Sul</v>
      </c>
      <c r="F90" s="2" t="s">
        <v>270</v>
      </c>
      <c r="G90" s="3" t="str">
        <f aca="false">INDEX(Produtos!$B$2:$B$11,MATCH(F90,Produtos!$A$2:$A$11,0))&amp;" "&amp;INDEX(Produtos!$C$2:$C$11,MATCH(F90,Produtos!$A$2:$A$11,0))</f>
        <v>Controle de Videogame Xbox</v>
      </c>
      <c r="H90" s="2" t="n">
        <v>1</v>
      </c>
      <c r="I90" s="5" t="n">
        <f aca="false">INDEX(Produtos!$D$2:$D$11,MATCH(F90,Produtos!$A$2:$A$11,0))</f>
        <v>349.9</v>
      </c>
      <c r="J90" s="5" t="n">
        <f aca="false">H90*I90</f>
        <v>349.9</v>
      </c>
      <c r="K90" s="5" t="n">
        <f aca="false">INDEX(Produtos!$E$2:$E$11,MATCH(F90,Produtos!$A$2:$A$11,0))</f>
        <v>215</v>
      </c>
      <c r="L90" s="5" t="n">
        <f aca="false">H90*K90</f>
        <v>215</v>
      </c>
    </row>
    <row r="91" customFormat="false" ht="15" hidden="false" customHeight="false" outlineLevel="0" collapsed="false">
      <c r="A91" s="2" t="s">
        <v>373</v>
      </c>
      <c r="B91" s="8" t="n">
        <v>46031</v>
      </c>
      <c r="C91" s="2" t="s">
        <v>164</v>
      </c>
      <c r="D91" s="3" t="str">
        <f aca="false">INDEX(Vendedores!$C$2:$C$101,MATCH(C91,Vendedores!$A$2:$A$101,0))</f>
        <v>L06</v>
      </c>
      <c r="E91" s="3" t="str">
        <f aca="false">INDEX(Lojas!$E$2:$E$11,MATCH(D91,Lojas!$A$2:$A$11,0))</f>
        <v>Sul</v>
      </c>
      <c r="F91" s="2" t="s">
        <v>262</v>
      </c>
      <c r="G91" s="3" t="str">
        <f aca="false">INDEX(Produtos!$B$2:$B$11,MATCH(F91,Produtos!$A$2:$A$11,0))&amp;" "&amp;INDEX(Produtos!$C$2:$C$11,MATCH(F91,Produtos!$A$2:$A$11,0))</f>
        <v>Fone de Ouvido De Celular</v>
      </c>
      <c r="H91" s="2" t="n">
        <v>1</v>
      </c>
      <c r="I91" s="5" t="n">
        <f aca="false">INDEX(Produtos!$D$2:$D$11,MATCH(F91,Produtos!$A$2:$A$11,0))</f>
        <v>59.9</v>
      </c>
      <c r="J91" s="5" t="n">
        <f aca="false">H91*I91</f>
        <v>59.9</v>
      </c>
      <c r="K91" s="5" t="n">
        <f aca="false">INDEX(Produtos!$E$2:$E$11,MATCH(F91,Produtos!$A$2:$A$11,0))</f>
        <v>28</v>
      </c>
      <c r="L91" s="5" t="n">
        <f aca="false">H91*K91</f>
        <v>28</v>
      </c>
    </row>
    <row r="92" customFormat="false" ht="15" hidden="false" customHeight="false" outlineLevel="0" collapsed="false">
      <c r="A92" s="2" t="s">
        <v>374</v>
      </c>
      <c r="B92" s="8" t="n">
        <v>46032</v>
      </c>
      <c r="C92" s="2" t="s">
        <v>133</v>
      </c>
      <c r="D92" s="3" t="str">
        <f aca="false">INDEX(Vendedores!$C$2:$C$101,MATCH(C92,Vendedores!$A$2:$A$101,0))</f>
        <v>L05</v>
      </c>
      <c r="E92" s="3" t="str">
        <f aca="false">INDEX(Lojas!$E$2:$E$11,MATCH(D92,Lojas!$A$2:$A$11,0))</f>
        <v>Sul</v>
      </c>
      <c r="F92" s="2" t="s">
        <v>270</v>
      </c>
      <c r="G92" s="3" t="str">
        <f aca="false">INDEX(Produtos!$B$2:$B$11,MATCH(F92,Produtos!$A$2:$A$11,0))&amp;" "&amp;INDEX(Produtos!$C$2:$C$11,MATCH(F92,Produtos!$A$2:$A$11,0))</f>
        <v>Controle de Videogame Xbox</v>
      </c>
      <c r="H92" s="2" t="n">
        <v>2</v>
      </c>
      <c r="I92" s="5" t="n">
        <f aca="false">INDEX(Produtos!$D$2:$D$11,MATCH(F92,Produtos!$A$2:$A$11,0))</f>
        <v>349.9</v>
      </c>
      <c r="J92" s="5" t="n">
        <f aca="false">H92*I92</f>
        <v>699.8</v>
      </c>
      <c r="K92" s="5" t="n">
        <f aca="false">INDEX(Produtos!$E$2:$E$11,MATCH(F92,Produtos!$A$2:$A$11,0))</f>
        <v>215</v>
      </c>
      <c r="L92" s="5" t="n">
        <f aca="false">H92*K92</f>
        <v>430</v>
      </c>
    </row>
    <row r="93" customFormat="false" ht="15" hidden="false" customHeight="false" outlineLevel="0" collapsed="false">
      <c r="A93" s="2" t="s">
        <v>375</v>
      </c>
      <c r="B93" s="8" t="n">
        <v>46032</v>
      </c>
      <c r="C93" s="2" t="s">
        <v>170</v>
      </c>
      <c r="D93" s="3" t="str">
        <f aca="false">INDEX(Vendedores!$C$2:$C$101,MATCH(C93,Vendedores!$A$2:$A$101,0))</f>
        <v>L07</v>
      </c>
      <c r="E93" s="3" t="str">
        <f aca="false">INDEX(Lojas!$E$2:$E$11,MATCH(D93,Lojas!$A$2:$A$11,0))</f>
        <v>Sul</v>
      </c>
      <c r="F93" s="2" t="s">
        <v>265</v>
      </c>
      <c r="G93" s="3" t="str">
        <f aca="false">INDEX(Produtos!$B$2:$B$11,MATCH(F93,Produtos!$A$2:$A$11,0))&amp;" "&amp;INDEX(Produtos!$C$2:$C$11,MATCH(F93,Produtos!$A$2:$A$11,0))</f>
        <v>Fone de Ouvido Headset</v>
      </c>
      <c r="H93" s="2" t="n">
        <v>1</v>
      </c>
      <c r="I93" s="5" t="n">
        <f aca="false">INDEX(Produtos!$D$2:$D$11,MATCH(F93,Produtos!$A$2:$A$11,0))</f>
        <v>249.9</v>
      </c>
      <c r="J93" s="5" t="n">
        <f aca="false">H93*I93</f>
        <v>249.9</v>
      </c>
      <c r="K93" s="5" t="n">
        <f aca="false">INDEX(Produtos!$E$2:$E$11,MATCH(F93,Produtos!$A$2:$A$11,0))</f>
        <v>145</v>
      </c>
      <c r="L93" s="5" t="n">
        <f aca="false">H93*K93</f>
        <v>145</v>
      </c>
    </row>
    <row r="94" customFormat="false" ht="15" hidden="false" customHeight="false" outlineLevel="0" collapsed="false">
      <c r="A94" s="2" t="s">
        <v>376</v>
      </c>
      <c r="B94" s="8" t="n">
        <v>46032</v>
      </c>
      <c r="C94" s="2" t="s">
        <v>94</v>
      </c>
      <c r="D94" s="3" t="str">
        <f aca="false">INDEX(Vendedores!$C$2:$C$101,MATCH(C94,Vendedores!$A$2:$A$101,0))</f>
        <v>L03</v>
      </c>
      <c r="E94" s="3" t="str">
        <f aca="false">INDEX(Lojas!$E$2:$E$11,MATCH(D94,Lojas!$A$2:$A$11,0))</f>
        <v>Sudeste</v>
      </c>
      <c r="F94" s="2" t="s">
        <v>267</v>
      </c>
      <c r="G94" s="3" t="str">
        <f aca="false">INDEX(Produtos!$B$2:$B$11,MATCH(F94,Produtos!$A$2:$A$11,0))&amp;" "&amp;INDEX(Produtos!$C$2:$C$11,MATCH(F94,Produtos!$A$2:$A$11,0))</f>
        <v>Carregador de Celular Tipo C</v>
      </c>
      <c r="H94" s="2" t="n">
        <v>1</v>
      </c>
      <c r="I94" s="5" t="n">
        <f aca="false">INDEX(Produtos!$D$2:$D$11,MATCH(F94,Produtos!$A$2:$A$11,0))</f>
        <v>44.9</v>
      </c>
      <c r="J94" s="5" t="n">
        <f aca="false">H94*I94</f>
        <v>44.9</v>
      </c>
      <c r="K94" s="5" t="n">
        <f aca="false">INDEX(Produtos!$E$2:$E$11,MATCH(F94,Produtos!$A$2:$A$11,0))</f>
        <v>18</v>
      </c>
      <c r="L94" s="5" t="n">
        <f aca="false">H94*K94</f>
        <v>18</v>
      </c>
    </row>
    <row r="95" customFormat="false" ht="15" hidden="false" customHeight="false" outlineLevel="0" collapsed="false">
      <c r="A95" s="2" t="s">
        <v>377</v>
      </c>
      <c r="B95" s="8" t="n">
        <v>46032</v>
      </c>
      <c r="C95" s="2" t="s">
        <v>158</v>
      </c>
      <c r="D95" s="3" t="str">
        <f aca="false">INDEX(Vendedores!$C$2:$C$101,MATCH(C95,Vendedores!$A$2:$A$101,0))</f>
        <v>L06</v>
      </c>
      <c r="E95" s="3" t="str">
        <f aca="false">INDEX(Lojas!$E$2:$E$11,MATCH(D95,Lojas!$A$2:$A$11,0))</f>
        <v>Sul</v>
      </c>
      <c r="F95" s="2" t="s">
        <v>262</v>
      </c>
      <c r="G95" s="3" t="str">
        <f aca="false">INDEX(Produtos!$B$2:$B$11,MATCH(F95,Produtos!$A$2:$A$11,0))&amp;" "&amp;INDEX(Produtos!$C$2:$C$11,MATCH(F95,Produtos!$A$2:$A$11,0))</f>
        <v>Fone de Ouvido De Celular</v>
      </c>
      <c r="H95" s="2" t="n">
        <v>1</v>
      </c>
      <c r="I95" s="5" t="n">
        <f aca="false">INDEX(Produtos!$D$2:$D$11,MATCH(F95,Produtos!$A$2:$A$11,0))</f>
        <v>59.9</v>
      </c>
      <c r="J95" s="5" t="n">
        <f aca="false">H95*I95</f>
        <v>59.9</v>
      </c>
      <c r="K95" s="5" t="n">
        <f aca="false">INDEX(Produtos!$E$2:$E$11,MATCH(F95,Produtos!$A$2:$A$11,0))</f>
        <v>28</v>
      </c>
      <c r="L95" s="5" t="n">
        <f aca="false">H95*K95</f>
        <v>28</v>
      </c>
    </row>
    <row r="96" customFormat="false" ht="15" hidden="false" customHeight="false" outlineLevel="0" collapsed="false">
      <c r="A96" s="2" t="s">
        <v>378</v>
      </c>
      <c r="B96" s="8" t="n">
        <v>46032</v>
      </c>
      <c r="C96" s="2" t="s">
        <v>243</v>
      </c>
      <c r="D96" s="3" t="str">
        <f aca="false">INDEX(Vendedores!$C$2:$C$101,MATCH(C96,Vendedores!$A$2:$A$101,0))</f>
        <v>L10</v>
      </c>
      <c r="E96" s="3" t="str">
        <f aca="false">INDEX(Lojas!$E$2:$E$11,MATCH(D96,Lojas!$A$2:$A$11,0))</f>
        <v>Nordeste</v>
      </c>
      <c r="F96" s="2" t="s">
        <v>257</v>
      </c>
      <c r="G96" s="3" t="str">
        <f aca="false">INDEX(Produtos!$B$2:$B$11,MATCH(F96,Produtos!$A$2:$A$11,0))&amp;" "&amp;INDEX(Produtos!$C$2:$C$11,MATCH(F96,Produtos!$A$2:$A$11,0))</f>
        <v>Celular Samsung</v>
      </c>
      <c r="H96" s="2" t="n">
        <v>3</v>
      </c>
      <c r="I96" s="5" t="n">
        <f aca="false">INDEX(Produtos!$D$2:$D$11,MATCH(F96,Produtos!$A$2:$A$11,0))</f>
        <v>2499</v>
      </c>
      <c r="J96" s="5" t="n">
        <f aca="false">H96*I96</f>
        <v>7497</v>
      </c>
      <c r="K96" s="5" t="n">
        <f aca="false">INDEX(Produtos!$E$2:$E$11,MATCH(F96,Produtos!$A$2:$A$11,0))</f>
        <v>1800</v>
      </c>
      <c r="L96" s="5" t="n">
        <f aca="false">H96*K96</f>
        <v>5400</v>
      </c>
    </row>
    <row r="97" customFormat="false" ht="15" hidden="false" customHeight="false" outlineLevel="0" collapsed="false">
      <c r="A97" s="2" t="s">
        <v>379</v>
      </c>
      <c r="B97" s="8" t="n">
        <v>46032</v>
      </c>
      <c r="C97" s="2" t="s">
        <v>223</v>
      </c>
      <c r="D97" s="3" t="str">
        <f aca="false">INDEX(Vendedores!$C$2:$C$101,MATCH(C97,Vendedores!$A$2:$A$101,0))</f>
        <v>L09</v>
      </c>
      <c r="E97" s="3" t="str">
        <f aca="false">INDEX(Lojas!$E$2:$E$11,MATCH(D97,Lojas!$A$2:$A$11,0))</f>
        <v>Nordeste</v>
      </c>
      <c r="F97" s="2" t="s">
        <v>265</v>
      </c>
      <c r="G97" s="3" t="str">
        <f aca="false">INDEX(Produtos!$B$2:$B$11,MATCH(F97,Produtos!$A$2:$A$11,0))&amp;" "&amp;INDEX(Produtos!$C$2:$C$11,MATCH(F97,Produtos!$A$2:$A$11,0))</f>
        <v>Fone de Ouvido Headset</v>
      </c>
      <c r="H97" s="2" t="n">
        <v>2</v>
      </c>
      <c r="I97" s="5" t="n">
        <f aca="false">INDEX(Produtos!$D$2:$D$11,MATCH(F97,Produtos!$A$2:$A$11,0))</f>
        <v>249.9</v>
      </c>
      <c r="J97" s="5" t="n">
        <f aca="false">H97*I97</f>
        <v>499.8</v>
      </c>
      <c r="K97" s="5" t="n">
        <f aca="false">INDEX(Produtos!$E$2:$E$11,MATCH(F97,Produtos!$A$2:$A$11,0))</f>
        <v>145</v>
      </c>
      <c r="L97" s="5" t="n">
        <f aca="false">H97*K97</f>
        <v>290</v>
      </c>
    </row>
    <row r="98" customFormat="false" ht="15" hidden="false" customHeight="false" outlineLevel="0" collapsed="false">
      <c r="A98" s="2" t="s">
        <v>380</v>
      </c>
      <c r="B98" s="8" t="n">
        <v>46032</v>
      </c>
      <c r="C98" s="2" t="s">
        <v>189</v>
      </c>
      <c r="D98" s="3" t="str">
        <f aca="false">INDEX(Vendedores!$C$2:$C$101,MATCH(C98,Vendedores!$A$2:$A$101,0))</f>
        <v>L08</v>
      </c>
      <c r="E98" s="3" t="str">
        <f aca="false">INDEX(Lojas!$E$2:$E$11,MATCH(D98,Lojas!$A$2:$A$11,0))</f>
        <v>Nordeste</v>
      </c>
      <c r="F98" s="2" t="s">
        <v>275</v>
      </c>
      <c r="G98" s="3" t="str">
        <f aca="false">INDEX(Produtos!$B$2:$B$11,MATCH(F98,Produtos!$A$2:$A$11,0))&amp;" "&amp;INDEX(Produtos!$C$2:$C$11,MATCH(F98,Produtos!$A$2:$A$11,0))</f>
        <v>Controle de Videogame PS5</v>
      </c>
      <c r="H98" s="2" t="n">
        <v>1</v>
      </c>
      <c r="I98" s="5" t="n">
        <f aca="false">INDEX(Produtos!$D$2:$D$11,MATCH(F98,Produtos!$A$2:$A$11,0))</f>
        <v>379.9</v>
      </c>
      <c r="J98" s="5" t="n">
        <f aca="false">H98*I98</f>
        <v>379.9</v>
      </c>
      <c r="K98" s="5" t="n">
        <f aca="false">INDEX(Produtos!$E$2:$E$11,MATCH(F98,Produtos!$A$2:$A$11,0))</f>
        <v>235</v>
      </c>
      <c r="L98" s="5" t="n">
        <f aca="false">H98*K98</f>
        <v>235</v>
      </c>
    </row>
    <row r="99" customFormat="false" ht="15" hidden="false" customHeight="false" outlineLevel="0" collapsed="false">
      <c r="A99" s="2" t="s">
        <v>381</v>
      </c>
      <c r="B99" s="8" t="n">
        <v>46032</v>
      </c>
      <c r="C99" s="2" t="s">
        <v>108</v>
      </c>
      <c r="D99" s="3" t="str">
        <f aca="false">INDEX(Vendedores!$C$2:$C$101,MATCH(C99,Vendedores!$A$2:$A$101,0))</f>
        <v>L03</v>
      </c>
      <c r="E99" s="3" t="str">
        <f aca="false">INDEX(Lojas!$E$2:$E$11,MATCH(D99,Lojas!$A$2:$A$11,0))</f>
        <v>Sudeste</v>
      </c>
      <c r="F99" s="2" t="s">
        <v>257</v>
      </c>
      <c r="G99" s="3" t="str">
        <f aca="false">INDEX(Produtos!$B$2:$B$11,MATCH(F99,Produtos!$A$2:$A$11,0))&amp;" "&amp;INDEX(Produtos!$C$2:$C$11,MATCH(F99,Produtos!$A$2:$A$11,0))</f>
        <v>Celular Samsung</v>
      </c>
      <c r="H99" s="2" t="n">
        <v>1</v>
      </c>
      <c r="I99" s="5" t="n">
        <f aca="false">INDEX(Produtos!$D$2:$D$11,MATCH(F99,Produtos!$A$2:$A$11,0))</f>
        <v>2499</v>
      </c>
      <c r="J99" s="5" t="n">
        <f aca="false">H99*I99</f>
        <v>2499</v>
      </c>
      <c r="K99" s="5" t="n">
        <f aca="false">INDEX(Produtos!$E$2:$E$11,MATCH(F99,Produtos!$A$2:$A$11,0))</f>
        <v>1800</v>
      </c>
      <c r="L99" s="5" t="n">
        <f aca="false">H99*K99</f>
        <v>1800</v>
      </c>
    </row>
    <row r="100" customFormat="false" ht="15" hidden="false" customHeight="false" outlineLevel="0" collapsed="false">
      <c r="A100" s="2" t="s">
        <v>382</v>
      </c>
      <c r="B100" s="8" t="n">
        <v>46033</v>
      </c>
      <c r="C100" s="2" t="s">
        <v>166</v>
      </c>
      <c r="D100" s="3" t="str">
        <f aca="false">INDEX(Vendedores!$C$2:$C$101,MATCH(C100,Vendedores!$A$2:$A$101,0))</f>
        <v>L06</v>
      </c>
      <c r="E100" s="3" t="str">
        <f aca="false">INDEX(Lojas!$E$2:$E$11,MATCH(D100,Lojas!$A$2:$A$11,0))</f>
        <v>Sul</v>
      </c>
      <c r="F100" s="2" t="s">
        <v>270</v>
      </c>
      <c r="G100" s="3" t="str">
        <f aca="false">INDEX(Produtos!$B$2:$B$11,MATCH(F100,Produtos!$A$2:$A$11,0))&amp;" "&amp;INDEX(Produtos!$C$2:$C$11,MATCH(F100,Produtos!$A$2:$A$11,0))</f>
        <v>Controle de Videogame Xbox</v>
      </c>
      <c r="H100" s="2" t="n">
        <v>1</v>
      </c>
      <c r="I100" s="5" t="n">
        <f aca="false">INDEX(Produtos!$D$2:$D$11,MATCH(F100,Produtos!$A$2:$A$11,0))</f>
        <v>349.9</v>
      </c>
      <c r="J100" s="5" t="n">
        <f aca="false">H100*I100</f>
        <v>349.9</v>
      </c>
      <c r="K100" s="5" t="n">
        <f aca="false">INDEX(Produtos!$E$2:$E$11,MATCH(F100,Produtos!$A$2:$A$11,0))</f>
        <v>215</v>
      </c>
      <c r="L100" s="5" t="n">
        <f aca="false">H100*K100</f>
        <v>215</v>
      </c>
    </row>
    <row r="101" customFormat="false" ht="15" hidden="false" customHeight="false" outlineLevel="0" collapsed="false">
      <c r="A101" s="2" t="s">
        <v>383</v>
      </c>
      <c r="B101" s="8" t="n">
        <v>46033</v>
      </c>
      <c r="C101" s="2" t="s">
        <v>74</v>
      </c>
      <c r="D101" s="3" t="str">
        <f aca="false">INDEX(Vendedores!$C$2:$C$101,MATCH(C101,Vendedores!$A$2:$A$101,0))</f>
        <v>L02</v>
      </c>
      <c r="E101" s="3" t="str">
        <f aca="false">INDEX(Lojas!$E$2:$E$11,MATCH(D101,Lojas!$A$2:$A$11,0))</f>
        <v>Sudeste</v>
      </c>
      <c r="F101" s="2" t="s">
        <v>257</v>
      </c>
      <c r="G101" s="3" t="str">
        <f aca="false">INDEX(Produtos!$B$2:$B$11,MATCH(F101,Produtos!$A$2:$A$11,0))&amp;" "&amp;INDEX(Produtos!$C$2:$C$11,MATCH(F101,Produtos!$A$2:$A$11,0))</f>
        <v>Celular Samsung</v>
      </c>
      <c r="H101" s="2" t="n">
        <v>1</v>
      </c>
      <c r="I101" s="5" t="n">
        <f aca="false">INDEX(Produtos!$D$2:$D$11,MATCH(F101,Produtos!$A$2:$A$11,0))</f>
        <v>2499</v>
      </c>
      <c r="J101" s="5" t="n">
        <f aca="false">H101*I101</f>
        <v>2499</v>
      </c>
      <c r="K101" s="5" t="n">
        <f aca="false">INDEX(Produtos!$E$2:$E$11,MATCH(F101,Produtos!$A$2:$A$11,0))</f>
        <v>1800</v>
      </c>
      <c r="L101" s="5" t="n">
        <f aca="false">H101*K101</f>
        <v>1800</v>
      </c>
    </row>
    <row r="102" customFormat="false" ht="15" hidden="false" customHeight="false" outlineLevel="0" collapsed="false">
      <c r="A102" s="2" t="s">
        <v>384</v>
      </c>
      <c r="B102" s="8" t="n">
        <v>46033</v>
      </c>
      <c r="C102" s="2" t="s">
        <v>72</v>
      </c>
      <c r="D102" s="3" t="str">
        <f aca="false">INDEX(Vendedores!$C$2:$C$101,MATCH(C102,Vendedores!$A$2:$A$101,0))</f>
        <v>L02</v>
      </c>
      <c r="E102" s="3" t="str">
        <f aca="false">INDEX(Lojas!$E$2:$E$11,MATCH(D102,Lojas!$A$2:$A$11,0))</f>
        <v>Sudeste</v>
      </c>
      <c r="F102" s="2" t="s">
        <v>262</v>
      </c>
      <c r="G102" s="3" t="str">
        <f aca="false">INDEX(Produtos!$B$2:$B$11,MATCH(F102,Produtos!$A$2:$A$11,0))&amp;" "&amp;INDEX(Produtos!$C$2:$C$11,MATCH(F102,Produtos!$A$2:$A$11,0))</f>
        <v>Fone de Ouvido De Celular</v>
      </c>
      <c r="H102" s="2" t="n">
        <v>2</v>
      </c>
      <c r="I102" s="5" t="n">
        <f aca="false">INDEX(Produtos!$D$2:$D$11,MATCH(F102,Produtos!$A$2:$A$11,0))</f>
        <v>59.9</v>
      </c>
      <c r="J102" s="5" t="n">
        <f aca="false">H102*I102</f>
        <v>119.8</v>
      </c>
      <c r="K102" s="5" t="n">
        <f aca="false">INDEX(Produtos!$E$2:$E$11,MATCH(F102,Produtos!$A$2:$A$11,0))</f>
        <v>28</v>
      </c>
      <c r="L102" s="5" t="n">
        <f aca="false">H102*K102</f>
        <v>56</v>
      </c>
    </row>
    <row r="103" customFormat="false" ht="15" hidden="false" customHeight="false" outlineLevel="0" collapsed="false">
      <c r="A103" s="2" t="s">
        <v>385</v>
      </c>
      <c r="B103" s="8" t="n">
        <v>46033</v>
      </c>
      <c r="C103" s="2" t="s">
        <v>241</v>
      </c>
      <c r="D103" s="3" t="str">
        <f aca="false">INDEX(Vendedores!$C$2:$C$101,MATCH(C103,Vendedores!$A$2:$A$101,0))</f>
        <v>L10</v>
      </c>
      <c r="E103" s="3" t="str">
        <f aca="false">INDEX(Lojas!$E$2:$E$11,MATCH(D103,Lojas!$A$2:$A$11,0))</f>
        <v>Nordeste</v>
      </c>
      <c r="F103" s="2" t="s">
        <v>255</v>
      </c>
      <c r="G103" s="3" t="str">
        <f aca="false">INDEX(Produtos!$B$2:$B$11,MATCH(F103,Produtos!$A$2:$A$11,0))&amp;" "&amp;INDEX(Produtos!$C$2:$C$11,MATCH(F103,Produtos!$A$2:$A$11,0))</f>
        <v>Notebook Positivo</v>
      </c>
      <c r="H103" s="2" t="n">
        <v>1</v>
      </c>
      <c r="I103" s="5" t="n">
        <f aca="false">INDEX(Produtos!$D$2:$D$11,MATCH(F103,Produtos!$A$2:$A$11,0))</f>
        <v>2199</v>
      </c>
      <c r="J103" s="5" t="n">
        <f aca="false">H103*I103</f>
        <v>2199</v>
      </c>
      <c r="K103" s="5" t="n">
        <f aca="false">INDEX(Produtos!$E$2:$E$11,MATCH(F103,Produtos!$A$2:$A$11,0))</f>
        <v>1550</v>
      </c>
      <c r="L103" s="5" t="n">
        <f aca="false">H103*K103</f>
        <v>1550</v>
      </c>
    </row>
    <row r="104" customFormat="false" ht="15" hidden="false" customHeight="false" outlineLevel="0" collapsed="false">
      <c r="A104" s="2" t="s">
        <v>386</v>
      </c>
      <c r="B104" s="8" t="n">
        <v>46033</v>
      </c>
      <c r="C104" s="2" t="s">
        <v>225</v>
      </c>
      <c r="D104" s="3" t="str">
        <f aca="false">INDEX(Vendedores!$C$2:$C$101,MATCH(C104,Vendedores!$A$2:$A$101,0))</f>
        <v>L10</v>
      </c>
      <c r="E104" s="3" t="str">
        <f aca="false">INDEX(Lojas!$E$2:$E$11,MATCH(D104,Lojas!$A$2:$A$11,0))</f>
        <v>Nordeste</v>
      </c>
      <c r="F104" s="2" t="s">
        <v>255</v>
      </c>
      <c r="G104" s="3" t="str">
        <f aca="false">INDEX(Produtos!$B$2:$B$11,MATCH(F104,Produtos!$A$2:$A$11,0))&amp;" "&amp;INDEX(Produtos!$C$2:$C$11,MATCH(F104,Produtos!$A$2:$A$11,0))</f>
        <v>Notebook Positivo</v>
      </c>
      <c r="H104" s="2" t="n">
        <v>1</v>
      </c>
      <c r="I104" s="5" t="n">
        <f aca="false">INDEX(Produtos!$D$2:$D$11,MATCH(F104,Produtos!$A$2:$A$11,0))</f>
        <v>2199</v>
      </c>
      <c r="J104" s="5" t="n">
        <f aca="false">H104*I104</f>
        <v>2199</v>
      </c>
      <c r="K104" s="5" t="n">
        <f aca="false">INDEX(Produtos!$E$2:$E$11,MATCH(F104,Produtos!$A$2:$A$11,0))</f>
        <v>1550</v>
      </c>
      <c r="L104" s="5" t="n">
        <f aca="false">H104*K104</f>
        <v>1550</v>
      </c>
    </row>
    <row r="105" customFormat="false" ht="15" hidden="false" customHeight="false" outlineLevel="0" collapsed="false">
      <c r="A105" s="2" t="s">
        <v>387</v>
      </c>
      <c r="B105" s="8" t="n">
        <v>46033</v>
      </c>
      <c r="C105" s="2" t="s">
        <v>72</v>
      </c>
      <c r="D105" s="3" t="str">
        <f aca="false">INDEX(Vendedores!$C$2:$C$101,MATCH(C105,Vendedores!$A$2:$A$101,0))</f>
        <v>L02</v>
      </c>
      <c r="E105" s="3" t="str">
        <f aca="false">INDEX(Lojas!$E$2:$E$11,MATCH(D105,Lojas!$A$2:$A$11,0))</f>
        <v>Sudeste</v>
      </c>
      <c r="F105" s="2" t="s">
        <v>255</v>
      </c>
      <c r="G105" s="3" t="str">
        <f aca="false">INDEX(Produtos!$B$2:$B$11,MATCH(F105,Produtos!$A$2:$A$11,0))&amp;" "&amp;INDEX(Produtos!$C$2:$C$11,MATCH(F105,Produtos!$A$2:$A$11,0))</f>
        <v>Notebook Positivo</v>
      </c>
      <c r="H105" s="2" t="n">
        <v>1</v>
      </c>
      <c r="I105" s="5" t="n">
        <f aca="false">INDEX(Produtos!$D$2:$D$11,MATCH(F105,Produtos!$A$2:$A$11,0))</f>
        <v>2199</v>
      </c>
      <c r="J105" s="5" t="n">
        <f aca="false">H105*I105</f>
        <v>2199</v>
      </c>
      <c r="K105" s="5" t="n">
        <f aca="false">INDEX(Produtos!$E$2:$E$11,MATCH(F105,Produtos!$A$2:$A$11,0))</f>
        <v>1550</v>
      </c>
      <c r="L105" s="5" t="n">
        <f aca="false">H105*K105</f>
        <v>1550</v>
      </c>
    </row>
    <row r="106" customFormat="false" ht="15" hidden="false" customHeight="false" outlineLevel="0" collapsed="false">
      <c r="A106" s="2" t="s">
        <v>388</v>
      </c>
      <c r="B106" s="8" t="n">
        <v>46033</v>
      </c>
      <c r="C106" s="2" t="s">
        <v>219</v>
      </c>
      <c r="D106" s="3" t="str">
        <f aca="false">INDEX(Vendedores!$C$2:$C$101,MATCH(C106,Vendedores!$A$2:$A$101,0))</f>
        <v>L09</v>
      </c>
      <c r="E106" s="3" t="str">
        <f aca="false">INDEX(Lojas!$E$2:$E$11,MATCH(D106,Lojas!$A$2:$A$11,0))</f>
        <v>Nordeste</v>
      </c>
      <c r="F106" s="2" t="s">
        <v>273</v>
      </c>
      <c r="G106" s="3" t="str">
        <f aca="false">INDEX(Produtos!$B$2:$B$11,MATCH(F106,Produtos!$A$2:$A$11,0))&amp;" "&amp;INDEX(Produtos!$C$2:$C$11,MATCH(F106,Produtos!$A$2:$A$11,0))</f>
        <v>Controle de Videogame PS4</v>
      </c>
      <c r="H106" s="2" t="n">
        <v>1</v>
      </c>
      <c r="I106" s="5" t="n">
        <f aca="false">INDEX(Produtos!$D$2:$D$11,MATCH(F106,Produtos!$A$2:$A$11,0))</f>
        <v>299.9</v>
      </c>
      <c r="J106" s="5" t="n">
        <f aca="false">H106*I106</f>
        <v>299.9</v>
      </c>
      <c r="K106" s="5" t="n">
        <f aca="false">INDEX(Produtos!$E$2:$E$11,MATCH(F106,Produtos!$A$2:$A$11,0))</f>
        <v>175</v>
      </c>
      <c r="L106" s="5" t="n">
        <f aca="false">H106*K106</f>
        <v>175</v>
      </c>
    </row>
    <row r="107" customFormat="false" ht="15" hidden="false" customHeight="false" outlineLevel="0" collapsed="false">
      <c r="A107" s="2" t="s">
        <v>389</v>
      </c>
      <c r="B107" s="8" t="n">
        <v>46033</v>
      </c>
      <c r="C107" s="2" t="s">
        <v>96</v>
      </c>
      <c r="D107" s="3" t="str">
        <f aca="false">INDEX(Vendedores!$C$2:$C$101,MATCH(C107,Vendedores!$A$2:$A$101,0))</f>
        <v>L03</v>
      </c>
      <c r="E107" s="3" t="str">
        <f aca="false">INDEX(Lojas!$E$2:$E$11,MATCH(D107,Lojas!$A$2:$A$11,0))</f>
        <v>Sudeste</v>
      </c>
      <c r="F107" s="2" t="s">
        <v>252</v>
      </c>
      <c r="G107" s="3" t="str">
        <f aca="false">INDEX(Produtos!$B$2:$B$11,MATCH(F107,Produtos!$A$2:$A$11,0))&amp;" "&amp;INDEX(Produtos!$C$2:$C$11,MATCH(F107,Produtos!$A$2:$A$11,0))</f>
        <v>Notebook Lenovo</v>
      </c>
      <c r="H107" s="2" t="n">
        <v>2</v>
      </c>
      <c r="I107" s="5" t="n">
        <f aca="false">INDEX(Produtos!$D$2:$D$11,MATCH(F107,Produtos!$A$2:$A$11,0))</f>
        <v>3199</v>
      </c>
      <c r="J107" s="5" t="n">
        <f aca="false">H107*I107</f>
        <v>6398</v>
      </c>
      <c r="K107" s="5" t="n">
        <f aca="false">INDEX(Produtos!$E$2:$E$11,MATCH(F107,Produtos!$A$2:$A$11,0))</f>
        <v>2350</v>
      </c>
      <c r="L107" s="5" t="n">
        <f aca="false">H107*K107</f>
        <v>4700</v>
      </c>
    </row>
    <row r="108" customFormat="false" ht="15" hidden="false" customHeight="false" outlineLevel="0" collapsed="false">
      <c r="A108" s="2" t="s">
        <v>390</v>
      </c>
      <c r="B108" s="8" t="n">
        <v>46033</v>
      </c>
      <c r="C108" s="2" t="s">
        <v>110</v>
      </c>
      <c r="D108" s="3" t="str">
        <f aca="false">INDEX(Vendedores!$C$2:$C$101,MATCH(C108,Vendedores!$A$2:$A$101,0))</f>
        <v>L04</v>
      </c>
      <c r="E108" s="3" t="str">
        <f aca="false">INDEX(Lojas!$E$2:$E$11,MATCH(D108,Lojas!$A$2:$A$11,0))</f>
        <v>Sudeste</v>
      </c>
      <c r="F108" s="2" t="s">
        <v>273</v>
      </c>
      <c r="G108" s="3" t="str">
        <f aca="false">INDEX(Produtos!$B$2:$B$11,MATCH(F108,Produtos!$A$2:$A$11,0))&amp;" "&amp;INDEX(Produtos!$C$2:$C$11,MATCH(F108,Produtos!$A$2:$A$11,0))</f>
        <v>Controle de Videogame PS4</v>
      </c>
      <c r="H108" s="2" t="n">
        <v>1</v>
      </c>
      <c r="I108" s="5" t="n">
        <f aca="false">INDEX(Produtos!$D$2:$D$11,MATCH(F108,Produtos!$A$2:$A$11,0))</f>
        <v>299.9</v>
      </c>
      <c r="J108" s="5" t="n">
        <f aca="false">H108*I108</f>
        <v>299.9</v>
      </c>
      <c r="K108" s="5" t="n">
        <f aca="false">INDEX(Produtos!$E$2:$E$11,MATCH(F108,Produtos!$A$2:$A$11,0))</f>
        <v>175</v>
      </c>
      <c r="L108" s="5" t="n">
        <f aca="false">H108*K108</f>
        <v>175</v>
      </c>
    </row>
    <row r="109" customFormat="false" ht="15" hidden="false" customHeight="false" outlineLevel="0" collapsed="false">
      <c r="A109" s="2" t="s">
        <v>391</v>
      </c>
      <c r="B109" s="8" t="n">
        <v>46033</v>
      </c>
      <c r="C109" s="2" t="s">
        <v>223</v>
      </c>
      <c r="D109" s="3" t="str">
        <f aca="false">INDEX(Vendedores!$C$2:$C$101,MATCH(C109,Vendedores!$A$2:$A$101,0))</f>
        <v>L09</v>
      </c>
      <c r="E109" s="3" t="str">
        <f aca="false">INDEX(Lojas!$E$2:$E$11,MATCH(D109,Lojas!$A$2:$A$11,0))</f>
        <v>Nordeste</v>
      </c>
      <c r="F109" s="2" t="s">
        <v>260</v>
      </c>
      <c r="G109" s="3" t="str">
        <f aca="false">INDEX(Produtos!$B$2:$B$11,MATCH(F109,Produtos!$A$2:$A$11,0))&amp;" "&amp;INDEX(Produtos!$C$2:$C$11,MATCH(F109,Produtos!$A$2:$A$11,0))</f>
        <v>Celular Motorola</v>
      </c>
      <c r="H109" s="2" t="n">
        <v>2</v>
      </c>
      <c r="I109" s="5" t="n">
        <f aca="false">INDEX(Produtos!$D$2:$D$11,MATCH(F109,Produtos!$A$2:$A$11,0))</f>
        <v>1799</v>
      </c>
      <c r="J109" s="5" t="n">
        <f aca="false">H109*I109</f>
        <v>3598</v>
      </c>
      <c r="K109" s="5" t="n">
        <f aca="false">INDEX(Produtos!$E$2:$E$11,MATCH(F109,Produtos!$A$2:$A$11,0))</f>
        <v>1250</v>
      </c>
      <c r="L109" s="5" t="n">
        <f aca="false">H109*K109</f>
        <v>2500</v>
      </c>
    </row>
    <row r="110" customFormat="false" ht="15" hidden="false" customHeight="false" outlineLevel="0" collapsed="false">
      <c r="A110" s="2" t="s">
        <v>392</v>
      </c>
      <c r="B110" s="8" t="n">
        <v>46033</v>
      </c>
      <c r="C110" s="2" t="s">
        <v>64</v>
      </c>
      <c r="D110" s="3" t="str">
        <f aca="false">INDEX(Vendedores!$C$2:$C$101,MATCH(C110,Vendedores!$A$2:$A$101,0))</f>
        <v>L01</v>
      </c>
      <c r="E110" s="3" t="str">
        <f aca="false">INDEX(Lojas!$E$2:$E$11,MATCH(D110,Lojas!$A$2:$A$11,0))</f>
        <v>Sudeste</v>
      </c>
      <c r="F110" s="2" t="s">
        <v>270</v>
      </c>
      <c r="G110" s="3" t="str">
        <f aca="false">INDEX(Produtos!$B$2:$B$11,MATCH(F110,Produtos!$A$2:$A$11,0))&amp;" "&amp;INDEX(Produtos!$C$2:$C$11,MATCH(F110,Produtos!$A$2:$A$11,0))</f>
        <v>Controle de Videogame Xbox</v>
      </c>
      <c r="H110" s="2" t="n">
        <v>3</v>
      </c>
      <c r="I110" s="5" t="n">
        <f aca="false">INDEX(Produtos!$D$2:$D$11,MATCH(F110,Produtos!$A$2:$A$11,0))</f>
        <v>349.9</v>
      </c>
      <c r="J110" s="5" t="n">
        <f aca="false">H110*I110</f>
        <v>1049.7</v>
      </c>
      <c r="K110" s="5" t="n">
        <f aca="false">INDEX(Produtos!$E$2:$E$11,MATCH(F110,Produtos!$A$2:$A$11,0))</f>
        <v>215</v>
      </c>
      <c r="L110" s="5" t="n">
        <f aca="false">H110*K110</f>
        <v>645</v>
      </c>
    </row>
    <row r="111" customFormat="false" ht="15" hidden="false" customHeight="false" outlineLevel="0" collapsed="false">
      <c r="A111" s="2" t="s">
        <v>393</v>
      </c>
      <c r="B111" s="8" t="n">
        <v>46033</v>
      </c>
      <c r="C111" s="2" t="s">
        <v>106</v>
      </c>
      <c r="D111" s="3" t="str">
        <f aca="false">INDEX(Vendedores!$C$2:$C$101,MATCH(C111,Vendedores!$A$2:$A$101,0))</f>
        <v>L03</v>
      </c>
      <c r="E111" s="3" t="str">
        <f aca="false">INDEX(Lojas!$E$2:$E$11,MATCH(D111,Lojas!$A$2:$A$11,0))</f>
        <v>Sudeste</v>
      </c>
      <c r="F111" s="2" t="s">
        <v>257</v>
      </c>
      <c r="G111" s="3" t="str">
        <f aca="false">INDEX(Produtos!$B$2:$B$11,MATCH(F111,Produtos!$A$2:$A$11,0))&amp;" "&amp;INDEX(Produtos!$C$2:$C$11,MATCH(F111,Produtos!$A$2:$A$11,0))</f>
        <v>Celular Samsung</v>
      </c>
      <c r="H111" s="2" t="n">
        <v>2</v>
      </c>
      <c r="I111" s="5" t="n">
        <f aca="false">INDEX(Produtos!$D$2:$D$11,MATCH(F111,Produtos!$A$2:$A$11,0))</f>
        <v>2499</v>
      </c>
      <c r="J111" s="5" t="n">
        <f aca="false">H111*I111</f>
        <v>4998</v>
      </c>
      <c r="K111" s="5" t="n">
        <f aca="false">INDEX(Produtos!$E$2:$E$11,MATCH(F111,Produtos!$A$2:$A$11,0))</f>
        <v>1800</v>
      </c>
      <c r="L111" s="5" t="n">
        <f aca="false">H111*K111</f>
        <v>3600</v>
      </c>
    </row>
    <row r="112" customFormat="false" ht="15" hidden="false" customHeight="false" outlineLevel="0" collapsed="false">
      <c r="A112" s="2" t="s">
        <v>394</v>
      </c>
      <c r="B112" s="8" t="n">
        <v>46034</v>
      </c>
      <c r="C112" s="2" t="s">
        <v>102</v>
      </c>
      <c r="D112" s="3" t="str">
        <f aca="false">INDEX(Vendedores!$C$2:$C$101,MATCH(C112,Vendedores!$A$2:$A$101,0))</f>
        <v>L03</v>
      </c>
      <c r="E112" s="3" t="str">
        <f aca="false">INDEX(Lojas!$E$2:$E$11,MATCH(D112,Lojas!$A$2:$A$11,0))</f>
        <v>Sudeste</v>
      </c>
      <c r="F112" s="2" t="s">
        <v>262</v>
      </c>
      <c r="G112" s="3" t="str">
        <f aca="false">INDEX(Produtos!$B$2:$B$11,MATCH(F112,Produtos!$A$2:$A$11,0))&amp;" "&amp;INDEX(Produtos!$C$2:$C$11,MATCH(F112,Produtos!$A$2:$A$11,0))</f>
        <v>Fone de Ouvido De Celular</v>
      </c>
      <c r="H112" s="2" t="n">
        <v>2</v>
      </c>
      <c r="I112" s="5" t="n">
        <f aca="false">INDEX(Produtos!$D$2:$D$11,MATCH(F112,Produtos!$A$2:$A$11,0))</f>
        <v>59.9</v>
      </c>
      <c r="J112" s="5" t="n">
        <f aca="false">H112*I112</f>
        <v>119.8</v>
      </c>
      <c r="K112" s="5" t="n">
        <f aca="false">INDEX(Produtos!$E$2:$E$11,MATCH(F112,Produtos!$A$2:$A$11,0))</f>
        <v>28</v>
      </c>
      <c r="L112" s="5" t="n">
        <f aca="false">H112*K112</f>
        <v>56</v>
      </c>
    </row>
    <row r="113" customFormat="false" ht="15" hidden="false" customHeight="false" outlineLevel="0" collapsed="false">
      <c r="A113" s="2" t="s">
        <v>395</v>
      </c>
      <c r="B113" s="8" t="n">
        <v>46034</v>
      </c>
      <c r="C113" s="2" t="s">
        <v>176</v>
      </c>
      <c r="D113" s="3" t="str">
        <f aca="false">INDEX(Vendedores!$C$2:$C$101,MATCH(C113,Vendedores!$A$2:$A$101,0))</f>
        <v>L07</v>
      </c>
      <c r="E113" s="3" t="str">
        <f aca="false">INDEX(Lojas!$E$2:$E$11,MATCH(D113,Lojas!$A$2:$A$11,0))</f>
        <v>Sul</v>
      </c>
      <c r="F113" s="2" t="s">
        <v>275</v>
      </c>
      <c r="G113" s="3" t="str">
        <f aca="false">INDEX(Produtos!$B$2:$B$11,MATCH(F113,Produtos!$A$2:$A$11,0))&amp;" "&amp;INDEX(Produtos!$C$2:$C$11,MATCH(F113,Produtos!$A$2:$A$11,0))</f>
        <v>Controle de Videogame PS5</v>
      </c>
      <c r="H113" s="2" t="n">
        <v>2</v>
      </c>
      <c r="I113" s="5" t="n">
        <f aca="false">INDEX(Produtos!$D$2:$D$11,MATCH(F113,Produtos!$A$2:$A$11,0))</f>
        <v>379.9</v>
      </c>
      <c r="J113" s="5" t="n">
        <f aca="false">H113*I113</f>
        <v>759.8</v>
      </c>
      <c r="K113" s="5" t="n">
        <f aca="false">INDEX(Produtos!$E$2:$E$11,MATCH(F113,Produtos!$A$2:$A$11,0))</f>
        <v>235</v>
      </c>
      <c r="L113" s="5" t="n">
        <f aca="false">H113*K113</f>
        <v>470</v>
      </c>
    </row>
    <row r="114" customFormat="false" ht="15" hidden="false" customHeight="false" outlineLevel="0" collapsed="false">
      <c r="A114" s="2" t="s">
        <v>396</v>
      </c>
      <c r="B114" s="8" t="n">
        <v>46034</v>
      </c>
      <c r="C114" s="2" t="s">
        <v>213</v>
      </c>
      <c r="D114" s="3" t="str">
        <f aca="false">INDEX(Vendedores!$C$2:$C$101,MATCH(C114,Vendedores!$A$2:$A$101,0))</f>
        <v>L09</v>
      </c>
      <c r="E114" s="3" t="str">
        <f aca="false">INDEX(Lojas!$E$2:$E$11,MATCH(D114,Lojas!$A$2:$A$11,0))</f>
        <v>Nordeste</v>
      </c>
      <c r="F114" s="2" t="s">
        <v>270</v>
      </c>
      <c r="G114" s="3" t="str">
        <f aca="false">INDEX(Produtos!$B$2:$B$11,MATCH(F114,Produtos!$A$2:$A$11,0))&amp;" "&amp;INDEX(Produtos!$C$2:$C$11,MATCH(F114,Produtos!$A$2:$A$11,0))</f>
        <v>Controle de Videogame Xbox</v>
      </c>
      <c r="H114" s="2" t="n">
        <v>1</v>
      </c>
      <c r="I114" s="5" t="n">
        <f aca="false">INDEX(Produtos!$D$2:$D$11,MATCH(F114,Produtos!$A$2:$A$11,0))</f>
        <v>349.9</v>
      </c>
      <c r="J114" s="5" t="n">
        <f aca="false">H114*I114</f>
        <v>349.9</v>
      </c>
      <c r="K114" s="5" t="n">
        <f aca="false">INDEX(Produtos!$E$2:$E$11,MATCH(F114,Produtos!$A$2:$A$11,0))</f>
        <v>215</v>
      </c>
      <c r="L114" s="5" t="n">
        <f aca="false">H114*K114</f>
        <v>215</v>
      </c>
    </row>
    <row r="115" customFormat="false" ht="15" hidden="false" customHeight="false" outlineLevel="0" collapsed="false">
      <c r="A115" s="2" t="s">
        <v>397</v>
      </c>
      <c r="B115" s="8" t="n">
        <v>46034</v>
      </c>
      <c r="C115" s="2" t="s">
        <v>54</v>
      </c>
      <c r="D115" s="3" t="str">
        <f aca="false">INDEX(Vendedores!$C$2:$C$101,MATCH(C115,Vendedores!$A$2:$A$101,0))</f>
        <v>L01</v>
      </c>
      <c r="E115" s="3" t="str">
        <f aca="false">INDEX(Lojas!$E$2:$E$11,MATCH(D115,Lojas!$A$2:$A$11,0))</f>
        <v>Sudeste</v>
      </c>
      <c r="F115" s="2" t="s">
        <v>257</v>
      </c>
      <c r="G115" s="3" t="str">
        <f aca="false">INDEX(Produtos!$B$2:$B$11,MATCH(F115,Produtos!$A$2:$A$11,0))&amp;" "&amp;INDEX(Produtos!$C$2:$C$11,MATCH(F115,Produtos!$A$2:$A$11,0))</f>
        <v>Celular Samsung</v>
      </c>
      <c r="H115" s="2" t="n">
        <v>1</v>
      </c>
      <c r="I115" s="5" t="n">
        <f aca="false">INDEX(Produtos!$D$2:$D$11,MATCH(F115,Produtos!$A$2:$A$11,0))</f>
        <v>2499</v>
      </c>
      <c r="J115" s="5" t="n">
        <f aca="false">H115*I115</f>
        <v>2499</v>
      </c>
      <c r="K115" s="5" t="n">
        <f aca="false">INDEX(Produtos!$E$2:$E$11,MATCH(F115,Produtos!$A$2:$A$11,0))</f>
        <v>1800</v>
      </c>
      <c r="L115" s="5" t="n">
        <f aca="false">H115*K115</f>
        <v>1800</v>
      </c>
    </row>
    <row r="116" customFormat="false" ht="15" hidden="false" customHeight="false" outlineLevel="0" collapsed="false">
      <c r="A116" s="2" t="s">
        <v>398</v>
      </c>
      <c r="B116" s="8" t="n">
        <v>46034</v>
      </c>
      <c r="C116" s="2" t="s">
        <v>112</v>
      </c>
      <c r="D116" s="3" t="str">
        <f aca="false">INDEX(Vendedores!$C$2:$C$101,MATCH(C116,Vendedores!$A$2:$A$101,0))</f>
        <v>L04</v>
      </c>
      <c r="E116" s="3" t="str">
        <f aca="false">INDEX(Lojas!$E$2:$E$11,MATCH(D116,Lojas!$A$2:$A$11,0))</f>
        <v>Sudeste</v>
      </c>
      <c r="F116" s="2" t="s">
        <v>265</v>
      </c>
      <c r="G116" s="3" t="str">
        <f aca="false">INDEX(Produtos!$B$2:$B$11,MATCH(F116,Produtos!$A$2:$A$11,0))&amp;" "&amp;INDEX(Produtos!$C$2:$C$11,MATCH(F116,Produtos!$A$2:$A$11,0))</f>
        <v>Fone de Ouvido Headset</v>
      </c>
      <c r="H116" s="2" t="n">
        <v>1</v>
      </c>
      <c r="I116" s="5" t="n">
        <f aca="false">INDEX(Produtos!$D$2:$D$11,MATCH(F116,Produtos!$A$2:$A$11,0))</f>
        <v>249.9</v>
      </c>
      <c r="J116" s="5" t="n">
        <f aca="false">H116*I116</f>
        <v>249.9</v>
      </c>
      <c r="K116" s="5" t="n">
        <f aca="false">INDEX(Produtos!$E$2:$E$11,MATCH(F116,Produtos!$A$2:$A$11,0))</f>
        <v>145</v>
      </c>
      <c r="L116" s="5" t="n">
        <f aca="false">H116*K116</f>
        <v>145</v>
      </c>
    </row>
    <row r="117" customFormat="false" ht="15" hidden="false" customHeight="false" outlineLevel="0" collapsed="false">
      <c r="A117" s="2" t="s">
        <v>399</v>
      </c>
      <c r="B117" s="8" t="n">
        <v>46034</v>
      </c>
      <c r="C117" s="2" t="s">
        <v>211</v>
      </c>
      <c r="D117" s="3" t="str">
        <f aca="false">INDEX(Vendedores!$C$2:$C$101,MATCH(C117,Vendedores!$A$2:$A$101,0))</f>
        <v>L09</v>
      </c>
      <c r="E117" s="3" t="str">
        <f aca="false">INDEX(Lojas!$E$2:$E$11,MATCH(D117,Lojas!$A$2:$A$11,0))</f>
        <v>Nordeste</v>
      </c>
      <c r="F117" s="2" t="s">
        <v>267</v>
      </c>
      <c r="G117" s="3" t="str">
        <f aca="false">INDEX(Produtos!$B$2:$B$11,MATCH(F117,Produtos!$A$2:$A$11,0))&amp;" "&amp;INDEX(Produtos!$C$2:$C$11,MATCH(F117,Produtos!$A$2:$A$11,0))</f>
        <v>Carregador de Celular Tipo C</v>
      </c>
      <c r="H117" s="2" t="n">
        <v>1</v>
      </c>
      <c r="I117" s="5" t="n">
        <f aca="false">INDEX(Produtos!$D$2:$D$11,MATCH(F117,Produtos!$A$2:$A$11,0))</f>
        <v>44.9</v>
      </c>
      <c r="J117" s="5" t="n">
        <f aca="false">H117*I117</f>
        <v>44.9</v>
      </c>
      <c r="K117" s="5" t="n">
        <f aca="false">INDEX(Produtos!$E$2:$E$11,MATCH(F117,Produtos!$A$2:$A$11,0))</f>
        <v>18</v>
      </c>
      <c r="L117" s="5" t="n">
        <f aca="false">H117*K117</f>
        <v>18</v>
      </c>
    </row>
    <row r="118" customFormat="false" ht="15" hidden="false" customHeight="false" outlineLevel="0" collapsed="false">
      <c r="A118" s="2" t="s">
        <v>400</v>
      </c>
      <c r="B118" s="8" t="n">
        <v>46034</v>
      </c>
      <c r="C118" s="2" t="s">
        <v>58</v>
      </c>
      <c r="D118" s="3" t="str">
        <f aca="false">INDEX(Vendedores!$C$2:$C$101,MATCH(C118,Vendedores!$A$2:$A$101,0))</f>
        <v>L01</v>
      </c>
      <c r="E118" s="3" t="str">
        <f aca="false">INDEX(Lojas!$E$2:$E$11,MATCH(D118,Lojas!$A$2:$A$11,0))</f>
        <v>Sudeste</v>
      </c>
      <c r="F118" s="2" t="s">
        <v>267</v>
      </c>
      <c r="G118" s="3" t="str">
        <f aca="false">INDEX(Produtos!$B$2:$B$11,MATCH(F118,Produtos!$A$2:$A$11,0))&amp;" "&amp;INDEX(Produtos!$C$2:$C$11,MATCH(F118,Produtos!$A$2:$A$11,0))</f>
        <v>Carregador de Celular Tipo C</v>
      </c>
      <c r="H118" s="2" t="n">
        <v>2</v>
      </c>
      <c r="I118" s="5" t="n">
        <f aca="false">INDEX(Produtos!$D$2:$D$11,MATCH(F118,Produtos!$A$2:$A$11,0))</f>
        <v>44.9</v>
      </c>
      <c r="J118" s="5" t="n">
        <f aca="false">H118*I118</f>
        <v>89.8</v>
      </c>
      <c r="K118" s="5" t="n">
        <f aca="false">INDEX(Produtos!$E$2:$E$11,MATCH(F118,Produtos!$A$2:$A$11,0))</f>
        <v>18</v>
      </c>
      <c r="L118" s="5" t="n">
        <f aca="false">H118*K118</f>
        <v>36</v>
      </c>
    </row>
    <row r="119" customFormat="false" ht="15" hidden="false" customHeight="false" outlineLevel="0" collapsed="false">
      <c r="A119" s="2" t="s">
        <v>401</v>
      </c>
      <c r="B119" s="8" t="n">
        <v>46034</v>
      </c>
      <c r="C119" s="2" t="s">
        <v>180</v>
      </c>
      <c r="D119" s="3" t="str">
        <f aca="false">INDEX(Vendedores!$C$2:$C$101,MATCH(C119,Vendedores!$A$2:$A$101,0))</f>
        <v>L07</v>
      </c>
      <c r="E119" s="3" t="str">
        <f aca="false">INDEX(Lojas!$E$2:$E$11,MATCH(D119,Lojas!$A$2:$A$11,0))</f>
        <v>Sul</v>
      </c>
      <c r="F119" s="2" t="s">
        <v>275</v>
      </c>
      <c r="G119" s="3" t="str">
        <f aca="false">INDEX(Produtos!$B$2:$B$11,MATCH(F119,Produtos!$A$2:$A$11,0))&amp;" "&amp;INDEX(Produtos!$C$2:$C$11,MATCH(F119,Produtos!$A$2:$A$11,0))</f>
        <v>Controle de Videogame PS5</v>
      </c>
      <c r="H119" s="2" t="n">
        <v>1</v>
      </c>
      <c r="I119" s="5" t="n">
        <f aca="false">INDEX(Produtos!$D$2:$D$11,MATCH(F119,Produtos!$A$2:$A$11,0))</f>
        <v>379.9</v>
      </c>
      <c r="J119" s="5" t="n">
        <f aca="false">H119*I119</f>
        <v>379.9</v>
      </c>
      <c r="K119" s="5" t="n">
        <f aca="false">INDEX(Produtos!$E$2:$E$11,MATCH(F119,Produtos!$A$2:$A$11,0))</f>
        <v>235</v>
      </c>
      <c r="L119" s="5" t="n">
        <f aca="false">H119*K119</f>
        <v>235</v>
      </c>
    </row>
    <row r="120" customFormat="false" ht="15" hidden="false" customHeight="false" outlineLevel="0" collapsed="false">
      <c r="A120" s="2" t="s">
        <v>402</v>
      </c>
      <c r="B120" s="8" t="n">
        <v>46034</v>
      </c>
      <c r="C120" s="2" t="s">
        <v>193</v>
      </c>
      <c r="D120" s="3" t="str">
        <f aca="false">INDEX(Vendedores!$C$2:$C$101,MATCH(C120,Vendedores!$A$2:$A$101,0))</f>
        <v>L08</v>
      </c>
      <c r="E120" s="3" t="str">
        <f aca="false">INDEX(Lojas!$E$2:$E$11,MATCH(D120,Lojas!$A$2:$A$11,0))</f>
        <v>Nordeste</v>
      </c>
      <c r="F120" s="2" t="s">
        <v>255</v>
      </c>
      <c r="G120" s="3" t="str">
        <f aca="false">INDEX(Produtos!$B$2:$B$11,MATCH(F120,Produtos!$A$2:$A$11,0))&amp;" "&amp;INDEX(Produtos!$C$2:$C$11,MATCH(F120,Produtos!$A$2:$A$11,0))</f>
        <v>Notebook Positivo</v>
      </c>
      <c r="H120" s="2" t="n">
        <v>3</v>
      </c>
      <c r="I120" s="5" t="n">
        <f aca="false">INDEX(Produtos!$D$2:$D$11,MATCH(F120,Produtos!$A$2:$A$11,0))</f>
        <v>2199</v>
      </c>
      <c r="J120" s="5" t="n">
        <f aca="false">H120*I120</f>
        <v>6597</v>
      </c>
      <c r="K120" s="5" t="n">
        <f aca="false">INDEX(Produtos!$E$2:$E$11,MATCH(F120,Produtos!$A$2:$A$11,0))</f>
        <v>1550</v>
      </c>
      <c r="L120" s="5" t="n">
        <f aca="false">H120*K120</f>
        <v>4650</v>
      </c>
    </row>
    <row r="121" customFormat="false" ht="15" hidden="false" customHeight="false" outlineLevel="0" collapsed="false">
      <c r="A121" s="2" t="s">
        <v>403</v>
      </c>
      <c r="B121" s="8" t="n">
        <v>46034</v>
      </c>
      <c r="C121" s="2" t="s">
        <v>82</v>
      </c>
      <c r="D121" s="3" t="str">
        <f aca="false">INDEX(Vendedores!$C$2:$C$101,MATCH(C121,Vendedores!$A$2:$A$101,0))</f>
        <v>L02</v>
      </c>
      <c r="E121" s="3" t="str">
        <f aca="false">INDEX(Lojas!$E$2:$E$11,MATCH(D121,Lojas!$A$2:$A$11,0))</f>
        <v>Sudeste</v>
      </c>
      <c r="F121" s="2" t="s">
        <v>273</v>
      </c>
      <c r="G121" s="3" t="str">
        <f aca="false">INDEX(Produtos!$B$2:$B$11,MATCH(F121,Produtos!$A$2:$A$11,0))&amp;" "&amp;INDEX(Produtos!$C$2:$C$11,MATCH(F121,Produtos!$A$2:$A$11,0))</f>
        <v>Controle de Videogame PS4</v>
      </c>
      <c r="H121" s="2" t="n">
        <v>1</v>
      </c>
      <c r="I121" s="5" t="n">
        <f aca="false">INDEX(Produtos!$D$2:$D$11,MATCH(F121,Produtos!$A$2:$A$11,0))</f>
        <v>299.9</v>
      </c>
      <c r="J121" s="5" t="n">
        <f aca="false">H121*I121</f>
        <v>299.9</v>
      </c>
      <c r="K121" s="5" t="n">
        <f aca="false">INDEX(Produtos!$E$2:$E$11,MATCH(F121,Produtos!$A$2:$A$11,0))</f>
        <v>175</v>
      </c>
      <c r="L121" s="5" t="n">
        <f aca="false">H121*K121</f>
        <v>175</v>
      </c>
    </row>
    <row r="122" customFormat="false" ht="15" hidden="false" customHeight="false" outlineLevel="0" collapsed="false">
      <c r="A122" s="2" t="s">
        <v>404</v>
      </c>
      <c r="B122" s="8" t="n">
        <v>46034</v>
      </c>
      <c r="C122" s="2" t="s">
        <v>162</v>
      </c>
      <c r="D122" s="3" t="str">
        <f aca="false">INDEX(Vendedores!$C$2:$C$101,MATCH(C122,Vendedores!$A$2:$A$101,0))</f>
        <v>L06</v>
      </c>
      <c r="E122" s="3" t="str">
        <f aca="false">INDEX(Lojas!$E$2:$E$11,MATCH(D122,Lojas!$A$2:$A$11,0))</f>
        <v>Sul</v>
      </c>
      <c r="F122" s="2" t="s">
        <v>275</v>
      </c>
      <c r="G122" s="3" t="str">
        <f aca="false">INDEX(Produtos!$B$2:$B$11,MATCH(F122,Produtos!$A$2:$A$11,0))&amp;" "&amp;INDEX(Produtos!$C$2:$C$11,MATCH(F122,Produtos!$A$2:$A$11,0))</f>
        <v>Controle de Videogame PS5</v>
      </c>
      <c r="H122" s="2" t="n">
        <v>3</v>
      </c>
      <c r="I122" s="5" t="n">
        <f aca="false">INDEX(Produtos!$D$2:$D$11,MATCH(F122,Produtos!$A$2:$A$11,0))</f>
        <v>379.9</v>
      </c>
      <c r="J122" s="5" t="n">
        <f aca="false">H122*I122</f>
        <v>1139.7</v>
      </c>
      <c r="K122" s="5" t="n">
        <f aca="false">INDEX(Produtos!$E$2:$E$11,MATCH(F122,Produtos!$A$2:$A$11,0))</f>
        <v>235</v>
      </c>
      <c r="L122" s="5" t="n">
        <f aca="false">H122*K122</f>
        <v>705</v>
      </c>
    </row>
    <row r="123" customFormat="false" ht="15" hidden="false" customHeight="false" outlineLevel="0" collapsed="false">
      <c r="A123" s="2" t="s">
        <v>405</v>
      </c>
      <c r="B123" s="8" t="n">
        <v>46034</v>
      </c>
      <c r="C123" s="2" t="s">
        <v>203</v>
      </c>
      <c r="D123" s="3" t="str">
        <f aca="false">INDEX(Vendedores!$C$2:$C$101,MATCH(C123,Vendedores!$A$2:$A$101,0))</f>
        <v>L08</v>
      </c>
      <c r="E123" s="3" t="str">
        <f aca="false">INDEX(Lojas!$E$2:$E$11,MATCH(D123,Lojas!$A$2:$A$11,0))</f>
        <v>Nordeste</v>
      </c>
      <c r="F123" s="2" t="s">
        <v>275</v>
      </c>
      <c r="G123" s="3" t="str">
        <f aca="false">INDEX(Produtos!$B$2:$B$11,MATCH(F123,Produtos!$A$2:$A$11,0))&amp;" "&amp;INDEX(Produtos!$C$2:$C$11,MATCH(F123,Produtos!$A$2:$A$11,0))</f>
        <v>Controle de Videogame PS5</v>
      </c>
      <c r="H123" s="2" t="n">
        <v>1</v>
      </c>
      <c r="I123" s="5" t="n">
        <f aca="false">INDEX(Produtos!$D$2:$D$11,MATCH(F123,Produtos!$A$2:$A$11,0))</f>
        <v>379.9</v>
      </c>
      <c r="J123" s="5" t="n">
        <f aca="false">H123*I123</f>
        <v>379.9</v>
      </c>
      <c r="K123" s="5" t="n">
        <f aca="false">INDEX(Produtos!$E$2:$E$11,MATCH(F123,Produtos!$A$2:$A$11,0))</f>
        <v>235</v>
      </c>
      <c r="L123" s="5" t="n">
        <f aca="false">H123*K123</f>
        <v>235</v>
      </c>
    </row>
    <row r="124" customFormat="false" ht="15" hidden="false" customHeight="false" outlineLevel="0" collapsed="false">
      <c r="A124" s="2" t="s">
        <v>406</v>
      </c>
      <c r="B124" s="8" t="n">
        <v>46034</v>
      </c>
      <c r="C124" s="2" t="s">
        <v>199</v>
      </c>
      <c r="D124" s="3" t="str">
        <f aca="false">INDEX(Vendedores!$C$2:$C$101,MATCH(C124,Vendedores!$A$2:$A$101,0))</f>
        <v>L08</v>
      </c>
      <c r="E124" s="3" t="str">
        <f aca="false">INDEX(Lojas!$E$2:$E$11,MATCH(D124,Lojas!$A$2:$A$11,0))</f>
        <v>Nordeste</v>
      </c>
      <c r="F124" s="2" t="s">
        <v>262</v>
      </c>
      <c r="G124" s="3" t="str">
        <f aca="false">INDEX(Produtos!$B$2:$B$11,MATCH(F124,Produtos!$A$2:$A$11,0))&amp;" "&amp;INDEX(Produtos!$C$2:$C$11,MATCH(F124,Produtos!$A$2:$A$11,0))</f>
        <v>Fone de Ouvido De Celular</v>
      </c>
      <c r="H124" s="2" t="n">
        <v>1</v>
      </c>
      <c r="I124" s="5" t="n">
        <f aca="false">INDEX(Produtos!$D$2:$D$11,MATCH(F124,Produtos!$A$2:$A$11,0))</f>
        <v>59.9</v>
      </c>
      <c r="J124" s="5" t="n">
        <f aca="false">H124*I124</f>
        <v>59.9</v>
      </c>
      <c r="K124" s="5" t="n">
        <f aca="false">INDEX(Produtos!$E$2:$E$11,MATCH(F124,Produtos!$A$2:$A$11,0))</f>
        <v>28</v>
      </c>
      <c r="L124" s="5" t="n">
        <f aca="false">H124*K124</f>
        <v>28</v>
      </c>
    </row>
    <row r="125" customFormat="false" ht="15" hidden="false" customHeight="false" outlineLevel="0" collapsed="false">
      <c r="A125" s="2" t="s">
        <v>407</v>
      </c>
      <c r="B125" s="8" t="n">
        <v>46034</v>
      </c>
      <c r="C125" s="2" t="s">
        <v>96</v>
      </c>
      <c r="D125" s="3" t="str">
        <f aca="false">INDEX(Vendedores!$C$2:$C$101,MATCH(C125,Vendedores!$A$2:$A$101,0))</f>
        <v>L03</v>
      </c>
      <c r="E125" s="3" t="str">
        <f aca="false">INDEX(Lojas!$E$2:$E$11,MATCH(D125,Lojas!$A$2:$A$11,0))</f>
        <v>Sudeste</v>
      </c>
      <c r="F125" s="2" t="s">
        <v>265</v>
      </c>
      <c r="G125" s="3" t="str">
        <f aca="false">INDEX(Produtos!$B$2:$B$11,MATCH(F125,Produtos!$A$2:$A$11,0))&amp;" "&amp;INDEX(Produtos!$C$2:$C$11,MATCH(F125,Produtos!$A$2:$A$11,0))</f>
        <v>Fone de Ouvido Headset</v>
      </c>
      <c r="H125" s="2" t="n">
        <v>1</v>
      </c>
      <c r="I125" s="5" t="n">
        <f aca="false">INDEX(Produtos!$D$2:$D$11,MATCH(F125,Produtos!$A$2:$A$11,0))</f>
        <v>249.9</v>
      </c>
      <c r="J125" s="5" t="n">
        <f aca="false">H125*I125</f>
        <v>249.9</v>
      </c>
      <c r="K125" s="5" t="n">
        <f aca="false">INDEX(Produtos!$E$2:$E$11,MATCH(F125,Produtos!$A$2:$A$11,0))</f>
        <v>145</v>
      </c>
      <c r="L125" s="5" t="n">
        <f aca="false">H125*K125</f>
        <v>145</v>
      </c>
    </row>
    <row r="126" customFormat="false" ht="15" hidden="false" customHeight="false" outlineLevel="0" collapsed="false">
      <c r="A126" s="2" t="s">
        <v>408</v>
      </c>
      <c r="B126" s="8" t="n">
        <v>46035</v>
      </c>
      <c r="C126" s="2" t="s">
        <v>180</v>
      </c>
      <c r="D126" s="3" t="str">
        <f aca="false">INDEX(Vendedores!$C$2:$C$101,MATCH(C126,Vendedores!$A$2:$A$101,0))</f>
        <v>L07</v>
      </c>
      <c r="E126" s="3" t="str">
        <f aca="false">INDEX(Lojas!$E$2:$E$11,MATCH(D126,Lojas!$A$2:$A$11,0))</f>
        <v>Sul</v>
      </c>
      <c r="F126" s="2" t="s">
        <v>257</v>
      </c>
      <c r="G126" s="3" t="str">
        <f aca="false">INDEX(Produtos!$B$2:$B$11,MATCH(F126,Produtos!$A$2:$A$11,0))&amp;" "&amp;INDEX(Produtos!$C$2:$C$11,MATCH(F126,Produtos!$A$2:$A$11,0))</f>
        <v>Celular Samsung</v>
      </c>
      <c r="H126" s="2" t="n">
        <v>1</v>
      </c>
      <c r="I126" s="5" t="n">
        <f aca="false">INDEX(Produtos!$D$2:$D$11,MATCH(F126,Produtos!$A$2:$A$11,0))</f>
        <v>2499</v>
      </c>
      <c r="J126" s="5" t="n">
        <f aca="false">H126*I126</f>
        <v>2499</v>
      </c>
      <c r="K126" s="5" t="n">
        <f aca="false">INDEX(Produtos!$E$2:$E$11,MATCH(F126,Produtos!$A$2:$A$11,0))</f>
        <v>1800</v>
      </c>
      <c r="L126" s="5" t="n">
        <f aca="false">H126*K126</f>
        <v>1800</v>
      </c>
    </row>
    <row r="127" customFormat="false" ht="15" hidden="false" customHeight="false" outlineLevel="0" collapsed="false">
      <c r="A127" s="2" t="s">
        <v>409</v>
      </c>
      <c r="B127" s="8" t="n">
        <v>46035</v>
      </c>
      <c r="C127" s="2" t="s">
        <v>50</v>
      </c>
      <c r="D127" s="3" t="str">
        <f aca="false">INDEX(Vendedores!$C$2:$C$101,MATCH(C127,Vendedores!$A$2:$A$101,0))</f>
        <v>L01</v>
      </c>
      <c r="E127" s="3" t="str">
        <f aca="false">INDEX(Lojas!$E$2:$E$11,MATCH(D127,Lojas!$A$2:$A$11,0))</f>
        <v>Sudeste</v>
      </c>
      <c r="F127" s="2" t="s">
        <v>262</v>
      </c>
      <c r="G127" s="3" t="str">
        <f aca="false">INDEX(Produtos!$B$2:$B$11,MATCH(F127,Produtos!$A$2:$A$11,0))&amp;" "&amp;INDEX(Produtos!$C$2:$C$11,MATCH(F127,Produtos!$A$2:$A$11,0))</f>
        <v>Fone de Ouvido De Celular</v>
      </c>
      <c r="H127" s="2" t="n">
        <v>1</v>
      </c>
      <c r="I127" s="5" t="n">
        <f aca="false">INDEX(Produtos!$D$2:$D$11,MATCH(F127,Produtos!$A$2:$A$11,0))</f>
        <v>59.9</v>
      </c>
      <c r="J127" s="5" t="n">
        <f aca="false">H127*I127</f>
        <v>59.9</v>
      </c>
      <c r="K127" s="5" t="n">
        <f aca="false">INDEX(Produtos!$E$2:$E$11,MATCH(F127,Produtos!$A$2:$A$11,0))</f>
        <v>28</v>
      </c>
      <c r="L127" s="5" t="n">
        <f aca="false">H127*K127</f>
        <v>28</v>
      </c>
    </row>
    <row r="128" customFormat="false" ht="15" hidden="false" customHeight="false" outlineLevel="0" collapsed="false">
      <c r="A128" s="2" t="s">
        <v>410</v>
      </c>
      <c r="B128" s="8" t="n">
        <v>46035</v>
      </c>
      <c r="C128" s="2" t="s">
        <v>191</v>
      </c>
      <c r="D128" s="3" t="str">
        <f aca="false">INDEX(Vendedores!$C$2:$C$101,MATCH(C128,Vendedores!$A$2:$A$101,0))</f>
        <v>L08</v>
      </c>
      <c r="E128" s="3" t="str">
        <f aca="false">INDEX(Lojas!$E$2:$E$11,MATCH(D128,Lojas!$A$2:$A$11,0))</f>
        <v>Nordeste</v>
      </c>
      <c r="F128" s="2" t="s">
        <v>252</v>
      </c>
      <c r="G128" s="3" t="str">
        <f aca="false">INDEX(Produtos!$B$2:$B$11,MATCH(F128,Produtos!$A$2:$A$11,0))&amp;" "&amp;INDEX(Produtos!$C$2:$C$11,MATCH(F128,Produtos!$A$2:$A$11,0))</f>
        <v>Notebook Lenovo</v>
      </c>
      <c r="H128" s="2" t="n">
        <v>1</v>
      </c>
      <c r="I128" s="5" t="n">
        <f aca="false">INDEX(Produtos!$D$2:$D$11,MATCH(F128,Produtos!$A$2:$A$11,0))</f>
        <v>3199</v>
      </c>
      <c r="J128" s="5" t="n">
        <f aca="false">H128*I128</f>
        <v>3199</v>
      </c>
      <c r="K128" s="5" t="n">
        <f aca="false">INDEX(Produtos!$E$2:$E$11,MATCH(F128,Produtos!$A$2:$A$11,0))</f>
        <v>2350</v>
      </c>
      <c r="L128" s="5" t="n">
        <f aca="false">H128*K128</f>
        <v>2350</v>
      </c>
    </row>
    <row r="129" customFormat="false" ht="15" hidden="false" customHeight="false" outlineLevel="0" collapsed="false">
      <c r="A129" s="2" t="s">
        <v>411</v>
      </c>
      <c r="B129" s="8" t="n">
        <v>46035</v>
      </c>
      <c r="C129" s="2" t="s">
        <v>156</v>
      </c>
      <c r="D129" s="3" t="str">
        <f aca="false">INDEX(Vendedores!$C$2:$C$101,MATCH(C129,Vendedores!$A$2:$A$101,0))</f>
        <v>L06</v>
      </c>
      <c r="E129" s="3" t="str">
        <f aca="false">INDEX(Lojas!$E$2:$E$11,MATCH(D129,Lojas!$A$2:$A$11,0))</f>
        <v>Sul</v>
      </c>
      <c r="F129" s="2" t="s">
        <v>262</v>
      </c>
      <c r="G129" s="3" t="str">
        <f aca="false">INDEX(Produtos!$B$2:$B$11,MATCH(F129,Produtos!$A$2:$A$11,0))&amp;" "&amp;INDEX(Produtos!$C$2:$C$11,MATCH(F129,Produtos!$A$2:$A$11,0))</f>
        <v>Fone de Ouvido De Celular</v>
      </c>
      <c r="H129" s="2" t="n">
        <v>2</v>
      </c>
      <c r="I129" s="5" t="n">
        <f aca="false">INDEX(Produtos!$D$2:$D$11,MATCH(F129,Produtos!$A$2:$A$11,0))</f>
        <v>59.9</v>
      </c>
      <c r="J129" s="5" t="n">
        <f aca="false">H129*I129</f>
        <v>119.8</v>
      </c>
      <c r="K129" s="5" t="n">
        <f aca="false">INDEX(Produtos!$E$2:$E$11,MATCH(F129,Produtos!$A$2:$A$11,0))</f>
        <v>28</v>
      </c>
      <c r="L129" s="5" t="n">
        <f aca="false">H129*K129</f>
        <v>56</v>
      </c>
    </row>
    <row r="130" customFormat="false" ht="15" hidden="false" customHeight="false" outlineLevel="0" collapsed="false">
      <c r="A130" s="2" t="s">
        <v>412</v>
      </c>
      <c r="B130" s="8" t="n">
        <v>46035</v>
      </c>
      <c r="C130" s="2" t="s">
        <v>233</v>
      </c>
      <c r="D130" s="3" t="str">
        <f aca="false">INDEX(Vendedores!$C$2:$C$101,MATCH(C130,Vendedores!$A$2:$A$101,0))</f>
        <v>L10</v>
      </c>
      <c r="E130" s="3" t="str">
        <f aca="false">INDEX(Lojas!$E$2:$E$11,MATCH(D130,Lojas!$A$2:$A$11,0))</f>
        <v>Nordeste</v>
      </c>
      <c r="F130" s="2" t="s">
        <v>255</v>
      </c>
      <c r="G130" s="3" t="str">
        <f aca="false">INDEX(Produtos!$B$2:$B$11,MATCH(F130,Produtos!$A$2:$A$11,0))&amp;" "&amp;INDEX(Produtos!$C$2:$C$11,MATCH(F130,Produtos!$A$2:$A$11,0))</f>
        <v>Notebook Positivo</v>
      </c>
      <c r="H130" s="2" t="n">
        <v>2</v>
      </c>
      <c r="I130" s="5" t="n">
        <f aca="false">INDEX(Produtos!$D$2:$D$11,MATCH(F130,Produtos!$A$2:$A$11,0))</f>
        <v>2199</v>
      </c>
      <c r="J130" s="5" t="n">
        <f aca="false">H130*I130</f>
        <v>4398</v>
      </c>
      <c r="K130" s="5" t="n">
        <f aca="false">INDEX(Produtos!$E$2:$E$11,MATCH(F130,Produtos!$A$2:$A$11,0))</f>
        <v>1550</v>
      </c>
      <c r="L130" s="5" t="n">
        <f aca="false">H130*K130</f>
        <v>3100</v>
      </c>
    </row>
    <row r="131" customFormat="false" ht="15" hidden="false" customHeight="false" outlineLevel="0" collapsed="false">
      <c r="A131" s="2" t="s">
        <v>413</v>
      </c>
      <c r="B131" s="8" t="n">
        <v>46035</v>
      </c>
      <c r="C131" s="2" t="s">
        <v>64</v>
      </c>
      <c r="D131" s="3" t="str">
        <f aca="false">INDEX(Vendedores!$C$2:$C$101,MATCH(C131,Vendedores!$A$2:$A$101,0))</f>
        <v>L01</v>
      </c>
      <c r="E131" s="3" t="str">
        <f aca="false">INDEX(Lojas!$E$2:$E$11,MATCH(D131,Lojas!$A$2:$A$11,0))</f>
        <v>Sudeste</v>
      </c>
      <c r="F131" s="2" t="s">
        <v>257</v>
      </c>
      <c r="G131" s="3" t="str">
        <f aca="false">INDEX(Produtos!$B$2:$B$11,MATCH(F131,Produtos!$A$2:$A$11,0))&amp;" "&amp;INDEX(Produtos!$C$2:$C$11,MATCH(F131,Produtos!$A$2:$A$11,0))</f>
        <v>Celular Samsung</v>
      </c>
      <c r="H131" s="2" t="n">
        <v>1</v>
      </c>
      <c r="I131" s="5" t="n">
        <f aca="false">INDEX(Produtos!$D$2:$D$11,MATCH(F131,Produtos!$A$2:$A$11,0))</f>
        <v>2499</v>
      </c>
      <c r="J131" s="5" t="n">
        <f aca="false">H131*I131</f>
        <v>2499</v>
      </c>
      <c r="K131" s="5" t="n">
        <f aca="false">INDEX(Produtos!$E$2:$E$11,MATCH(F131,Produtos!$A$2:$A$11,0))</f>
        <v>1800</v>
      </c>
      <c r="L131" s="5" t="n">
        <f aca="false">H131*K131</f>
        <v>1800</v>
      </c>
    </row>
    <row r="132" customFormat="false" ht="15" hidden="false" customHeight="false" outlineLevel="0" collapsed="false">
      <c r="A132" s="2" t="s">
        <v>414</v>
      </c>
      <c r="B132" s="8" t="n">
        <v>46035</v>
      </c>
      <c r="C132" s="2" t="s">
        <v>70</v>
      </c>
      <c r="D132" s="3" t="str">
        <f aca="false">INDEX(Vendedores!$C$2:$C$101,MATCH(C132,Vendedores!$A$2:$A$101,0))</f>
        <v>L02</v>
      </c>
      <c r="E132" s="3" t="str">
        <f aca="false">INDEX(Lojas!$E$2:$E$11,MATCH(D132,Lojas!$A$2:$A$11,0))</f>
        <v>Sudeste</v>
      </c>
      <c r="F132" s="2" t="s">
        <v>273</v>
      </c>
      <c r="G132" s="3" t="str">
        <f aca="false">INDEX(Produtos!$B$2:$B$11,MATCH(F132,Produtos!$A$2:$A$11,0))&amp;" "&amp;INDEX(Produtos!$C$2:$C$11,MATCH(F132,Produtos!$A$2:$A$11,0))</f>
        <v>Controle de Videogame PS4</v>
      </c>
      <c r="H132" s="2" t="n">
        <v>1</v>
      </c>
      <c r="I132" s="5" t="n">
        <f aca="false">INDEX(Produtos!$D$2:$D$11,MATCH(F132,Produtos!$A$2:$A$11,0))</f>
        <v>299.9</v>
      </c>
      <c r="J132" s="5" t="n">
        <f aca="false">H132*I132</f>
        <v>299.9</v>
      </c>
      <c r="K132" s="5" t="n">
        <f aca="false">INDEX(Produtos!$E$2:$E$11,MATCH(F132,Produtos!$A$2:$A$11,0))</f>
        <v>175</v>
      </c>
      <c r="L132" s="5" t="n">
        <f aca="false">H132*K132</f>
        <v>175</v>
      </c>
    </row>
    <row r="133" customFormat="false" ht="15" hidden="false" customHeight="false" outlineLevel="0" collapsed="false">
      <c r="A133" s="2" t="s">
        <v>415</v>
      </c>
      <c r="B133" s="8" t="n">
        <v>46035</v>
      </c>
      <c r="C133" s="2" t="s">
        <v>231</v>
      </c>
      <c r="D133" s="3" t="str">
        <f aca="false">INDEX(Vendedores!$C$2:$C$101,MATCH(C133,Vendedores!$A$2:$A$101,0))</f>
        <v>L10</v>
      </c>
      <c r="E133" s="3" t="str">
        <f aca="false">INDEX(Lojas!$E$2:$E$11,MATCH(D133,Lojas!$A$2:$A$11,0))</f>
        <v>Nordeste</v>
      </c>
      <c r="F133" s="2" t="s">
        <v>267</v>
      </c>
      <c r="G133" s="3" t="str">
        <f aca="false">INDEX(Produtos!$B$2:$B$11,MATCH(F133,Produtos!$A$2:$A$11,0))&amp;" "&amp;INDEX(Produtos!$C$2:$C$11,MATCH(F133,Produtos!$A$2:$A$11,0))</f>
        <v>Carregador de Celular Tipo C</v>
      </c>
      <c r="H133" s="2" t="n">
        <v>1</v>
      </c>
      <c r="I133" s="5" t="n">
        <f aca="false">INDEX(Produtos!$D$2:$D$11,MATCH(F133,Produtos!$A$2:$A$11,0))</f>
        <v>44.9</v>
      </c>
      <c r="J133" s="5" t="n">
        <f aca="false">H133*I133</f>
        <v>44.9</v>
      </c>
      <c r="K133" s="5" t="n">
        <f aca="false">INDEX(Produtos!$E$2:$E$11,MATCH(F133,Produtos!$A$2:$A$11,0))</f>
        <v>18</v>
      </c>
      <c r="L133" s="5" t="n">
        <f aca="false">H133*K133</f>
        <v>18</v>
      </c>
    </row>
    <row r="134" customFormat="false" ht="15" hidden="false" customHeight="false" outlineLevel="0" collapsed="false">
      <c r="A134" s="2" t="s">
        <v>416</v>
      </c>
      <c r="B134" s="8" t="n">
        <v>46035</v>
      </c>
      <c r="C134" s="2" t="s">
        <v>135</v>
      </c>
      <c r="D134" s="3" t="str">
        <f aca="false">INDEX(Vendedores!$C$2:$C$101,MATCH(C134,Vendedores!$A$2:$A$101,0))</f>
        <v>L05</v>
      </c>
      <c r="E134" s="3" t="str">
        <f aca="false">INDEX(Lojas!$E$2:$E$11,MATCH(D134,Lojas!$A$2:$A$11,0))</f>
        <v>Sul</v>
      </c>
      <c r="F134" s="2" t="s">
        <v>275</v>
      </c>
      <c r="G134" s="3" t="str">
        <f aca="false">INDEX(Produtos!$B$2:$B$11,MATCH(F134,Produtos!$A$2:$A$11,0))&amp;" "&amp;INDEX(Produtos!$C$2:$C$11,MATCH(F134,Produtos!$A$2:$A$11,0))</f>
        <v>Controle de Videogame PS5</v>
      </c>
      <c r="H134" s="2" t="n">
        <v>2</v>
      </c>
      <c r="I134" s="5" t="n">
        <f aca="false">INDEX(Produtos!$D$2:$D$11,MATCH(F134,Produtos!$A$2:$A$11,0))</f>
        <v>379.9</v>
      </c>
      <c r="J134" s="5" t="n">
        <f aca="false">H134*I134</f>
        <v>759.8</v>
      </c>
      <c r="K134" s="5" t="n">
        <f aca="false">INDEX(Produtos!$E$2:$E$11,MATCH(F134,Produtos!$A$2:$A$11,0))</f>
        <v>235</v>
      </c>
      <c r="L134" s="5" t="n">
        <f aca="false">H134*K134</f>
        <v>470</v>
      </c>
    </row>
    <row r="135" customFormat="false" ht="15" hidden="false" customHeight="false" outlineLevel="0" collapsed="false">
      <c r="A135" s="2" t="s">
        <v>417</v>
      </c>
      <c r="B135" s="8" t="n">
        <v>46035</v>
      </c>
      <c r="C135" s="2" t="s">
        <v>62</v>
      </c>
      <c r="D135" s="3" t="str">
        <f aca="false">INDEX(Vendedores!$C$2:$C$101,MATCH(C135,Vendedores!$A$2:$A$101,0))</f>
        <v>L01</v>
      </c>
      <c r="E135" s="3" t="str">
        <f aca="false">INDEX(Lojas!$E$2:$E$11,MATCH(D135,Lojas!$A$2:$A$11,0))</f>
        <v>Sudeste</v>
      </c>
      <c r="F135" s="2" t="s">
        <v>257</v>
      </c>
      <c r="G135" s="3" t="str">
        <f aca="false">INDEX(Produtos!$B$2:$B$11,MATCH(F135,Produtos!$A$2:$A$11,0))&amp;" "&amp;INDEX(Produtos!$C$2:$C$11,MATCH(F135,Produtos!$A$2:$A$11,0))</f>
        <v>Celular Samsung</v>
      </c>
      <c r="H135" s="2" t="n">
        <v>1</v>
      </c>
      <c r="I135" s="5" t="n">
        <f aca="false">INDEX(Produtos!$D$2:$D$11,MATCH(F135,Produtos!$A$2:$A$11,0))</f>
        <v>2499</v>
      </c>
      <c r="J135" s="5" t="n">
        <f aca="false">H135*I135</f>
        <v>2499</v>
      </c>
      <c r="K135" s="5" t="n">
        <f aca="false">INDEX(Produtos!$E$2:$E$11,MATCH(F135,Produtos!$A$2:$A$11,0))</f>
        <v>1800</v>
      </c>
      <c r="L135" s="5" t="n">
        <f aca="false">H135*K135</f>
        <v>1800</v>
      </c>
    </row>
    <row r="136" customFormat="false" ht="15" hidden="false" customHeight="false" outlineLevel="0" collapsed="false">
      <c r="A136" s="2" t="s">
        <v>418</v>
      </c>
      <c r="B136" s="8" t="n">
        <v>46036</v>
      </c>
      <c r="C136" s="2" t="s">
        <v>223</v>
      </c>
      <c r="D136" s="3" t="str">
        <f aca="false">INDEX(Vendedores!$C$2:$C$101,MATCH(C136,Vendedores!$A$2:$A$101,0))</f>
        <v>L09</v>
      </c>
      <c r="E136" s="3" t="str">
        <f aca="false">INDEX(Lojas!$E$2:$E$11,MATCH(D136,Lojas!$A$2:$A$11,0))</f>
        <v>Nordeste</v>
      </c>
      <c r="F136" s="2" t="s">
        <v>267</v>
      </c>
      <c r="G136" s="3" t="str">
        <f aca="false">INDEX(Produtos!$B$2:$B$11,MATCH(F136,Produtos!$A$2:$A$11,0))&amp;" "&amp;INDEX(Produtos!$C$2:$C$11,MATCH(F136,Produtos!$A$2:$A$11,0))</f>
        <v>Carregador de Celular Tipo C</v>
      </c>
      <c r="H136" s="2" t="n">
        <v>1</v>
      </c>
      <c r="I136" s="5" t="n">
        <f aca="false">INDEX(Produtos!$D$2:$D$11,MATCH(F136,Produtos!$A$2:$A$11,0))</f>
        <v>44.9</v>
      </c>
      <c r="J136" s="5" t="n">
        <f aca="false">H136*I136</f>
        <v>44.9</v>
      </c>
      <c r="K136" s="5" t="n">
        <f aca="false">INDEX(Produtos!$E$2:$E$11,MATCH(F136,Produtos!$A$2:$A$11,0))</f>
        <v>18</v>
      </c>
      <c r="L136" s="5" t="n">
        <f aca="false">H136*K136</f>
        <v>18</v>
      </c>
    </row>
    <row r="137" customFormat="false" ht="15" hidden="false" customHeight="false" outlineLevel="0" collapsed="false">
      <c r="A137" s="2" t="s">
        <v>419</v>
      </c>
      <c r="B137" s="8" t="n">
        <v>46036</v>
      </c>
      <c r="C137" s="2" t="s">
        <v>207</v>
      </c>
      <c r="D137" s="3" t="str">
        <f aca="false">INDEX(Vendedores!$C$2:$C$101,MATCH(C137,Vendedores!$A$2:$A$101,0))</f>
        <v>L09</v>
      </c>
      <c r="E137" s="3" t="str">
        <f aca="false">INDEX(Lojas!$E$2:$E$11,MATCH(D137,Lojas!$A$2:$A$11,0))</f>
        <v>Nordeste</v>
      </c>
      <c r="F137" s="2" t="s">
        <v>262</v>
      </c>
      <c r="G137" s="3" t="str">
        <f aca="false">INDEX(Produtos!$B$2:$B$11,MATCH(F137,Produtos!$A$2:$A$11,0))&amp;" "&amp;INDEX(Produtos!$C$2:$C$11,MATCH(F137,Produtos!$A$2:$A$11,0))</f>
        <v>Fone de Ouvido De Celular</v>
      </c>
      <c r="H137" s="2" t="n">
        <v>2</v>
      </c>
      <c r="I137" s="5" t="n">
        <f aca="false">INDEX(Produtos!$D$2:$D$11,MATCH(F137,Produtos!$A$2:$A$11,0))</f>
        <v>59.9</v>
      </c>
      <c r="J137" s="5" t="n">
        <f aca="false">H137*I137</f>
        <v>119.8</v>
      </c>
      <c r="K137" s="5" t="n">
        <f aca="false">INDEX(Produtos!$E$2:$E$11,MATCH(F137,Produtos!$A$2:$A$11,0))</f>
        <v>28</v>
      </c>
      <c r="L137" s="5" t="n">
        <f aca="false">H137*K137</f>
        <v>56</v>
      </c>
    </row>
    <row r="138" customFormat="false" ht="15" hidden="false" customHeight="false" outlineLevel="0" collapsed="false">
      <c r="A138" s="2" t="s">
        <v>420</v>
      </c>
      <c r="B138" s="8" t="n">
        <v>46036</v>
      </c>
      <c r="C138" s="2" t="s">
        <v>122</v>
      </c>
      <c r="D138" s="3" t="str">
        <f aca="false">INDEX(Vendedores!$C$2:$C$101,MATCH(C138,Vendedores!$A$2:$A$101,0))</f>
        <v>L04</v>
      </c>
      <c r="E138" s="3" t="str">
        <f aca="false">INDEX(Lojas!$E$2:$E$11,MATCH(D138,Lojas!$A$2:$A$11,0))</f>
        <v>Sudeste</v>
      </c>
      <c r="F138" s="2" t="s">
        <v>265</v>
      </c>
      <c r="G138" s="3" t="str">
        <f aca="false">INDEX(Produtos!$B$2:$B$11,MATCH(F138,Produtos!$A$2:$A$11,0))&amp;" "&amp;INDEX(Produtos!$C$2:$C$11,MATCH(F138,Produtos!$A$2:$A$11,0))</f>
        <v>Fone de Ouvido Headset</v>
      </c>
      <c r="H138" s="2" t="n">
        <v>2</v>
      </c>
      <c r="I138" s="5" t="n">
        <f aca="false">INDEX(Produtos!$D$2:$D$11,MATCH(F138,Produtos!$A$2:$A$11,0))</f>
        <v>249.9</v>
      </c>
      <c r="J138" s="5" t="n">
        <f aca="false">H138*I138</f>
        <v>499.8</v>
      </c>
      <c r="K138" s="5" t="n">
        <f aca="false">INDEX(Produtos!$E$2:$E$11,MATCH(F138,Produtos!$A$2:$A$11,0))</f>
        <v>145</v>
      </c>
      <c r="L138" s="5" t="n">
        <f aca="false">H138*K138</f>
        <v>290</v>
      </c>
    </row>
    <row r="139" customFormat="false" ht="15" hidden="false" customHeight="false" outlineLevel="0" collapsed="false">
      <c r="A139" s="2" t="s">
        <v>421</v>
      </c>
      <c r="B139" s="8" t="n">
        <v>46036</v>
      </c>
      <c r="C139" s="2" t="s">
        <v>189</v>
      </c>
      <c r="D139" s="3" t="str">
        <f aca="false">INDEX(Vendedores!$C$2:$C$101,MATCH(C139,Vendedores!$A$2:$A$101,0))</f>
        <v>L08</v>
      </c>
      <c r="E139" s="3" t="str">
        <f aca="false">INDEX(Lojas!$E$2:$E$11,MATCH(D139,Lojas!$A$2:$A$11,0))</f>
        <v>Nordeste</v>
      </c>
      <c r="F139" s="2" t="s">
        <v>255</v>
      </c>
      <c r="G139" s="3" t="str">
        <f aca="false">INDEX(Produtos!$B$2:$B$11,MATCH(F139,Produtos!$A$2:$A$11,0))&amp;" "&amp;INDEX(Produtos!$C$2:$C$11,MATCH(F139,Produtos!$A$2:$A$11,0))</f>
        <v>Notebook Positivo</v>
      </c>
      <c r="H139" s="2" t="n">
        <v>1</v>
      </c>
      <c r="I139" s="5" t="n">
        <f aca="false">INDEX(Produtos!$D$2:$D$11,MATCH(F139,Produtos!$A$2:$A$11,0))</f>
        <v>2199</v>
      </c>
      <c r="J139" s="5" t="n">
        <f aca="false">H139*I139</f>
        <v>2199</v>
      </c>
      <c r="K139" s="5" t="n">
        <f aca="false">INDEX(Produtos!$E$2:$E$11,MATCH(F139,Produtos!$A$2:$A$11,0))</f>
        <v>1550</v>
      </c>
      <c r="L139" s="5" t="n">
        <f aca="false">H139*K139</f>
        <v>1550</v>
      </c>
    </row>
    <row r="140" customFormat="false" ht="15" hidden="false" customHeight="false" outlineLevel="0" collapsed="false">
      <c r="A140" s="2" t="s">
        <v>422</v>
      </c>
      <c r="B140" s="8" t="n">
        <v>46036</v>
      </c>
      <c r="C140" s="2" t="s">
        <v>62</v>
      </c>
      <c r="D140" s="3" t="str">
        <f aca="false">INDEX(Vendedores!$C$2:$C$101,MATCH(C140,Vendedores!$A$2:$A$101,0))</f>
        <v>L01</v>
      </c>
      <c r="E140" s="3" t="str">
        <f aca="false">INDEX(Lojas!$E$2:$E$11,MATCH(D140,Lojas!$A$2:$A$11,0))</f>
        <v>Sudeste</v>
      </c>
      <c r="F140" s="2" t="s">
        <v>273</v>
      </c>
      <c r="G140" s="3" t="str">
        <f aca="false">INDEX(Produtos!$B$2:$B$11,MATCH(F140,Produtos!$A$2:$A$11,0))&amp;" "&amp;INDEX(Produtos!$C$2:$C$11,MATCH(F140,Produtos!$A$2:$A$11,0))</f>
        <v>Controle de Videogame PS4</v>
      </c>
      <c r="H140" s="2" t="n">
        <v>2</v>
      </c>
      <c r="I140" s="5" t="n">
        <f aca="false">INDEX(Produtos!$D$2:$D$11,MATCH(F140,Produtos!$A$2:$A$11,0))</f>
        <v>299.9</v>
      </c>
      <c r="J140" s="5" t="n">
        <f aca="false">H140*I140</f>
        <v>599.8</v>
      </c>
      <c r="K140" s="5" t="n">
        <f aca="false">INDEX(Produtos!$E$2:$E$11,MATCH(F140,Produtos!$A$2:$A$11,0))</f>
        <v>175</v>
      </c>
      <c r="L140" s="5" t="n">
        <f aca="false">H140*K140</f>
        <v>350</v>
      </c>
    </row>
    <row r="141" customFormat="false" ht="15" hidden="false" customHeight="false" outlineLevel="0" collapsed="false">
      <c r="A141" s="2" t="s">
        <v>423</v>
      </c>
      <c r="B141" s="8" t="n">
        <v>46036</v>
      </c>
      <c r="C141" s="2" t="s">
        <v>209</v>
      </c>
      <c r="D141" s="3" t="str">
        <f aca="false">INDEX(Vendedores!$C$2:$C$101,MATCH(C141,Vendedores!$A$2:$A$101,0))</f>
        <v>L09</v>
      </c>
      <c r="E141" s="3" t="str">
        <f aca="false">INDEX(Lojas!$E$2:$E$11,MATCH(D141,Lojas!$A$2:$A$11,0))</f>
        <v>Nordeste</v>
      </c>
      <c r="F141" s="2" t="s">
        <v>275</v>
      </c>
      <c r="G141" s="3" t="str">
        <f aca="false">INDEX(Produtos!$B$2:$B$11,MATCH(F141,Produtos!$A$2:$A$11,0))&amp;" "&amp;INDEX(Produtos!$C$2:$C$11,MATCH(F141,Produtos!$A$2:$A$11,0))</f>
        <v>Controle de Videogame PS5</v>
      </c>
      <c r="H141" s="2" t="n">
        <v>1</v>
      </c>
      <c r="I141" s="5" t="n">
        <f aca="false">INDEX(Produtos!$D$2:$D$11,MATCH(F141,Produtos!$A$2:$A$11,0))</f>
        <v>379.9</v>
      </c>
      <c r="J141" s="5" t="n">
        <f aca="false">H141*I141</f>
        <v>379.9</v>
      </c>
      <c r="K141" s="5" t="n">
        <f aca="false">INDEX(Produtos!$E$2:$E$11,MATCH(F141,Produtos!$A$2:$A$11,0))</f>
        <v>235</v>
      </c>
      <c r="L141" s="5" t="n">
        <f aca="false">H141*K141</f>
        <v>235</v>
      </c>
    </row>
    <row r="142" customFormat="false" ht="15" hidden="false" customHeight="false" outlineLevel="0" collapsed="false">
      <c r="A142" s="2" t="s">
        <v>424</v>
      </c>
      <c r="B142" s="8" t="n">
        <v>46036</v>
      </c>
      <c r="C142" s="2" t="s">
        <v>207</v>
      </c>
      <c r="D142" s="3" t="str">
        <f aca="false">INDEX(Vendedores!$C$2:$C$101,MATCH(C142,Vendedores!$A$2:$A$101,0))</f>
        <v>L09</v>
      </c>
      <c r="E142" s="3" t="str">
        <f aca="false">INDEX(Lojas!$E$2:$E$11,MATCH(D142,Lojas!$A$2:$A$11,0))</f>
        <v>Nordeste</v>
      </c>
      <c r="F142" s="2" t="s">
        <v>260</v>
      </c>
      <c r="G142" s="3" t="str">
        <f aca="false">INDEX(Produtos!$B$2:$B$11,MATCH(F142,Produtos!$A$2:$A$11,0))&amp;" "&amp;INDEX(Produtos!$C$2:$C$11,MATCH(F142,Produtos!$A$2:$A$11,0))</f>
        <v>Celular Motorola</v>
      </c>
      <c r="H142" s="2" t="n">
        <v>1</v>
      </c>
      <c r="I142" s="5" t="n">
        <f aca="false">INDEX(Produtos!$D$2:$D$11,MATCH(F142,Produtos!$A$2:$A$11,0))</f>
        <v>1799</v>
      </c>
      <c r="J142" s="5" t="n">
        <f aca="false">H142*I142</f>
        <v>1799</v>
      </c>
      <c r="K142" s="5" t="n">
        <f aca="false">INDEX(Produtos!$E$2:$E$11,MATCH(F142,Produtos!$A$2:$A$11,0))</f>
        <v>1250</v>
      </c>
      <c r="L142" s="5" t="n">
        <f aca="false">H142*K142</f>
        <v>1250</v>
      </c>
    </row>
    <row r="143" customFormat="false" ht="15" hidden="false" customHeight="false" outlineLevel="0" collapsed="false">
      <c r="A143" s="2" t="s">
        <v>425</v>
      </c>
      <c r="B143" s="8" t="n">
        <v>46036</v>
      </c>
      <c r="C143" s="2" t="s">
        <v>148</v>
      </c>
      <c r="D143" s="3" t="str">
        <f aca="false">INDEX(Vendedores!$C$2:$C$101,MATCH(C143,Vendedores!$A$2:$A$101,0))</f>
        <v>L06</v>
      </c>
      <c r="E143" s="3" t="str">
        <f aca="false">INDEX(Lojas!$E$2:$E$11,MATCH(D143,Lojas!$A$2:$A$11,0))</f>
        <v>Sul</v>
      </c>
      <c r="F143" s="2" t="s">
        <v>275</v>
      </c>
      <c r="G143" s="3" t="str">
        <f aca="false">INDEX(Produtos!$B$2:$B$11,MATCH(F143,Produtos!$A$2:$A$11,0))&amp;" "&amp;INDEX(Produtos!$C$2:$C$11,MATCH(F143,Produtos!$A$2:$A$11,0))</f>
        <v>Controle de Videogame PS5</v>
      </c>
      <c r="H143" s="2" t="n">
        <v>2</v>
      </c>
      <c r="I143" s="5" t="n">
        <f aca="false">INDEX(Produtos!$D$2:$D$11,MATCH(F143,Produtos!$A$2:$A$11,0))</f>
        <v>379.9</v>
      </c>
      <c r="J143" s="5" t="n">
        <f aca="false">H143*I143</f>
        <v>759.8</v>
      </c>
      <c r="K143" s="5" t="n">
        <f aca="false">INDEX(Produtos!$E$2:$E$11,MATCH(F143,Produtos!$A$2:$A$11,0))</f>
        <v>235</v>
      </c>
      <c r="L143" s="5" t="n">
        <f aca="false">H143*K143</f>
        <v>470</v>
      </c>
    </row>
    <row r="144" customFormat="false" ht="15" hidden="false" customHeight="false" outlineLevel="0" collapsed="false">
      <c r="A144" s="2" t="s">
        <v>426</v>
      </c>
      <c r="B144" s="8" t="n">
        <v>46036</v>
      </c>
      <c r="C144" s="2" t="s">
        <v>223</v>
      </c>
      <c r="D144" s="3" t="str">
        <f aca="false">INDEX(Vendedores!$C$2:$C$101,MATCH(C144,Vendedores!$A$2:$A$101,0))</f>
        <v>L09</v>
      </c>
      <c r="E144" s="3" t="str">
        <f aca="false">INDEX(Lojas!$E$2:$E$11,MATCH(D144,Lojas!$A$2:$A$11,0))</f>
        <v>Nordeste</v>
      </c>
      <c r="F144" s="2" t="s">
        <v>265</v>
      </c>
      <c r="G144" s="3" t="str">
        <f aca="false">INDEX(Produtos!$B$2:$B$11,MATCH(F144,Produtos!$A$2:$A$11,0))&amp;" "&amp;INDEX(Produtos!$C$2:$C$11,MATCH(F144,Produtos!$A$2:$A$11,0))</f>
        <v>Fone de Ouvido Headset</v>
      </c>
      <c r="H144" s="2" t="n">
        <v>2</v>
      </c>
      <c r="I144" s="5" t="n">
        <f aca="false">INDEX(Produtos!$D$2:$D$11,MATCH(F144,Produtos!$A$2:$A$11,0))</f>
        <v>249.9</v>
      </c>
      <c r="J144" s="5" t="n">
        <f aca="false">H144*I144</f>
        <v>499.8</v>
      </c>
      <c r="K144" s="5" t="n">
        <f aca="false">INDEX(Produtos!$E$2:$E$11,MATCH(F144,Produtos!$A$2:$A$11,0))</f>
        <v>145</v>
      </c>
      <c r="L144" s="5" t="n">
        <f aca="false">H144*K144</f>
        <v>290</v>
      </c>
    </row>
    <row r="145" customFormat="false" ht="15" hidden="false" customHeight="false" outlineLevel="0" collapsed="false">
      <c r="A145" s="2" t="s">
        <v>427</v>
      </c>
      <c r="B145" s="8" t="n">
        <v>46036</v>
      </c>
      <c r="C145" s="2" t="s">
        <v>211</v>
      </c>
      <c r="D145" s="3" t="str">
        <f aca="false">INDEX(Vendedores!$C$2:$C$101,MATCH(C145,Vendedores!$A$2:$A$101,0))</f>
        <v>L09</v>
      </c>
      <c r="E145" s="3" t="str">
        <f aca="false">INDEX(Lojas!$E$2:$E$11,MATCH(D145,Lojas!$A$2:$A$11,0))</f>
        <v>Nordeste</v>
      </c>
      <c r="F145" s="2" t="s">
        <v>257</v>
      </c>
      <c r="G145" s="3" t="str">
        <f aca="false">INDEX(Produtos!$B$2:$B$11,MATCH(F145,Produtos!$A$2:$A$11,0))&amp;" "&amp;INDEX(Produtos!$C$2:$C$11,MATCH(F145,Produtos!$A$2:$A$11,0))</f>
        <v>Celular Samsung</v>
      </c>
      <c r="H145" s="2" t="n">
        <v>1</v>
      </c>
      <c r="I145" s="5" t="n">
        <f aca="false">INDEX(Produtos!$D$2:$D$11,MATCH(F145,Produtos!$A$2:$A$11,0))</f>
        <v>2499</v>
      </c>
      <c r="J145" s="5" t="n">
        <f aca="false">H145*I145</f>
        <v>2499</v>
      </c>
      <c r="K145" s="5" t="n">
        <f aca="false">INDEX(Produtos!$E$2:$E$11,MATCH(F145,Produtos!$A$2:$A$11,0))</f>
        <v>1800</v>
      </c>
      <c r="L145" s="5" t="n">
        <f aca="false">H145*K145</f>
        <v>1800</v>
      </c>
    </row>
    <row r="146" customFormat="false" ht="15" hidden="false" customHeight="false" outlineLevel="0" collapsed="false">
      <c r="A146" s="2" t="s">
        <v>428</v>
      </c>
      <c r="B146" s="8" t="n">
        <v>46036</v>
      </c>
      <c r="C146" s="2" t="s">
        <v>54</v>
      </c>
      <c r="D146" s="3" t="str">
        <f aca="false">INDEX(Vendedores!$C$2:$C$101,MATCH(C146,Vendedores!$A$2:$A$101,0))</f>
        <v>L01</v>
      </c>
      <c r="E146" s="3" t="str">
        <f aca="false">INDEX(Lojas!$E$2:$E$11,MATCH(D146,Lojas!$A$2:$A$11,0))</f>
        <v>Sudeste</v>
      </c>
      <c r="F146" s="2" t="s">
        <v>252</v>
      </c>
      <c r="G146" s="3" t="str">
        <f aca="false">INDEX(Produtos!$B$2:$B$11,MATCH(F146,Produtos!$A$2:$A$11,0))&amp;" "&amp;INDEX(Produtos!$C$2:$C$11,MATCH(F146,Produtos!$A$2:$A$11,0))</f>
        <v>Notebook Lenovo</v>
      </c>
      <c r="H146" s="2" t="n">
        <v>1</v>
      </c>
      <c r="I146" s="5" t="n">
        <f aca="false">INDEX(Produtos!$D$2:$D$11,MATCH(F146,Produtos!$A$2:$A$11,0))</f>
        <v>3199</v>
      </c>
      <c r="J146" s="5" t="n">
        <f aca="false">H146*I146</f>
        <v>3199</v>
      </c>
      <c r="K146" s="5" t="n">
        <f aca="false">INDEX(Produtos!$E$2:$E$11,MATCH(F146,Produtos!$A$2:$A$11,0))</f>
        <v>2350</v>
      </c>
      <c r="L146" s="5" t="n">
        <f aca="false">H146*K146</f>
        <v>2350</v>
      </c>
    </row>
    <row r="147" customFormat="false" ht="15" hidden="false" customHeight="false" outlineLevel="0" collapsed="false">
      <c r="A147" s="2" t="s">
        <v>429</v>
      </c>
      <c r="B147" s="8" t="n">
        <v>46036</v>
      </c>
      <c r="C147" s="2" t="s">
        <v>164</v>
      </c>
      <c r="D147" s="3" t="str">
        <f aca="false">INDEX(Vendedores!$C$2:$C$101,MATCH(C147,Vendedores!$A$2:$A$101,0))</f>
        <v>L06</v>
      </c>
      <c r="E147" s="3" t="str">
        <f aca="false">INDEX(Lojas!$E$2:$E$11,MATCH(D147,Lojas!$A$2:$A$11,0))</f>
        <v>Sul</v>
      </c>
      <c r="F147" s="2" t="s">
        <v>275</v>
      </c>
      <c r="G147" s="3" t="str">
        <f aca="false">INDEX(Produtos!$B$2:$B$11,MATCH(F147,Produtos!$A$2:$A$11,0))&amp;" "&amp;INDEX(Produtos!$C$2:$C$11,MATCH(F147,Produtos!$A$2:$A$11,0))</f>
        <v>Controle de Videogame PS5</v>
      </c>
      <c r="H147" s="2" t="n">
        <v>3</v>
      </c>
      <c r="I147" s="5" t="n">
        <f aca="false">INDEX(Produtos!$D$2:$D$11,MATCH(F147,Produtos!$A$2:$A$11,0))</f>
        <v>379.9</v>
      </c>
      <c r="J147" s="5" t="n">
        <f aca="false">H147*I147</f>
        <v>1139.7</v>
      </c>
      <c r="K147" s="5" t="n">
        <f aca="false">INDEX(Produtos!$E$2:$E$11,MATCH(F147,Produtos!$A$2:$A$11,0))</f>
        <v>235</v>
      </c>
      <c r="L147" s="5" t="n">
        <f aca="false">H147*K147</f>
        <v>705</v>
      </c>
    </row>
    <row r="148" customFormat="false" ht="15" hidden="false" customHeight="false" outlineLevel="0" collapsed="false">
      <c r="A148" s="2" t="s">
        <v>430</v>
      </c>
      <c r="B148" s="8" t="n">
        <v>46036</v>
      </c>
      <c r="C148" s="2" t="s">
        <v>197</v>
      </c>
      <c r="D148" s="3" t="str">
        <f aca="false">INDEX(Vendedores!$C$2:$C$101,MATCH(C148,Vendedores!$A$2:$A$101,0))</f>
        <v>L08</v>
      </c>
      <c r="E148" s="3" t="str">
        <f aca="false">INDEX(Lojas!$E$2:$E$11,MATCH(D148,Lojas!$A$2:$A$11,0))</f>
        <v>Nordeste</v>
      </c>
      <c r="F148" s="2" t="s">
        <v>260</v>
      </c>
      <c r="G148" s="3" t="str">
        <f aca="false">INDEX(Produtos!$B$2:$B$11,MATCH(F148,Produtos!$A$2:$A$11,0))&amp;" "&amp;INDEX(Produtos!$C$2:$C$11,MATCH(F148,Produtos!$A$2:$A$11,0))</f>
        <v>Celular Motorola</v>
      </c>
      <c r="H148" s="2" t="n">
        <v>1</v>
      </c>
      <c r="I148" s="5" t="n">
        <f aca="false">INDEX(Produtos!$D$2:$D$11,MATCH(F148,Produtos!$A$2:$A$11,0))</f>
        <v>1799</v>
      </c>
      <c r="J148" s="5" t="n">
        <f aca="false">H148*I148</f>
        <v>1799</v>
      </c>
      <c r="K148" s="5" t="n">
        <f aca="false">INDEX(Produtos!$E$2:$E$11,MATCH(F148,Produtos!$A$2:$A$11,0))</f>
        <v>1250</v>
      </c>
      <c r="L148" s="5" t="n">
        <f aca="false">H148*K148</f>
        <v>1250</v>
      </c>
    </row>
    <row r="149" customFormat="false" ht="15" hidden="false" customHeight="false" outlineLevel="0" collapsed="false">
      <c r="A149" s="2" t="s">
        <v>431</v>
      </c>
      <c r="B149" s="8" t="n">
        <v>46036</v>
      </c>
      <c r="C149" s="2" t="s">
        <v>100</v>
      </c>
      <c r="D149" s="3" t="str">
        <f aca="false">INDEX(Vendedores!$C$2:$C$101,MATCH(C149,Vendedores!$A$2:$A$101,0))</f>
        <v>L03</v>
      </c>
      <c r="E149" s="3" t="str">
        <f aca="false">INDEX(Lojas!$E$2:$E$11,MATCH(D149,Lojas!$A$2:$A$11,0))</f>
        <v>Sudeste</v>
      </c>
      <c r="F149" s="2" t="s">
        <v>257</v>
      </c>
      <c r="G149" s="3" t="str">
        <f aca="false">INDEX(Produtos!$B$2:$B$11,MATCH(F149,Produtos!$A$2:$A$11,0))&amp;" "&amp;INDEX(Produtos!$C$2:$C$11,MATCH(F149,Produtos!$A$2:$A$11,0))</f>
        <v>Celular Samsung</v>
      </c>
      <c r="H149" s="2" t="n">
        <v>1</v>
      </c>
      <c r="I149" s="5" t="n">
        <f aca="false">INDEX(Produtos!$D$2:$D$11,MATCH(F149,Produtos!$A$2:$A$11,0))</f>
        <v>2499</v>
      </c>
      <c r="J149" s="5" t="n">
        <f aca="false">H149*I149</f>
        <v>2499</v>
      </c>
      <c r="K149" s="5" t="n">
        <f aca="false">INDEX(Produtos!$E$2:$E$11,MATCH(F149,Produtos!$A$2:$A$11,0))</f>
        <v>1800</v>
      </c>
      <c r="L149" s="5" t="n">
        <f aca="false">H149*K149</f>
        <v>1800</v>
      </c>
    </row>
    <row r="150" customFormat="false" ht="15" hidden="false" customHeight="false" outlineLevel="0" collapsed="false">
      <c r="A150" s="2" t="s">
        <v>432</v>
      </c>
      <c r="B150" s="8" t="n">
        <v>46036</v>
      </c>
      <c r="C150" s="2" t="s">
        <v>168</v>
      </c>
      <c r="D150" s="3" t="str">
        <f aca="false">INDEX(Vendedores!$C$2:$C$101,MATCH(C150,Vendedores!$A$2:$A$101,0))</f>
        <v>L07</v>
      </c>
      <c r="E150" s="3" t="str">
        <f aca="false">INDEX(Lojas!$E$2:$E$11,MATCH(D150,Lojas!$A$2:$A$11,0))</f>
        <v>Sul</v>
      </c>
      <c r="F150" s="2" t="s">
        <v>260</v>
      </c>
      <c r="G150" s="3" t="str">
        <f aca="false">INDEX(Produtos!$B$2:$B$11,MATCH(F150,Produtos!$A$2:$A$11,0))&amp;" "&amp;INDEX(Produtos!$C$2:$C$11,MATCH(F150,Produtos!$A$2:$A$11,0))</f>
        <v>Celular Motorola</v>
      </c>
      <c r="H150" s="2" t="n">
        <v>2</v>
      </c>
      <c r="I150" s="5" t="n">
        <f aca="false">INDEX(Produtos!$D$2:$D$11,MATCH(F150,Produtos!$A$2:$A$11,0))</f>
        <v>1799</v>
      </c>
      <c r="J150" s="5" t="n">
        <f aca="false">H150*I150</f>
        <v>3598</v>
      </c>
      <c r="K150" s="5" t="n">
        <f aca="false">INDEX(Produtos!$E$2:$E$11,MATCH(F150,Produtos!$A$2:$A$11,0))</f>
        <v>1250</v>
      </c>
      <c r="L150" s="5" t="n">
        <f aca="false">H150*K150</f>
        <v>2500</v>
      </c>
    </row>
    <row r="151" customFormat="false" ht="15" hidden="false" customHeight="false" outlineLevel="0" collapsed="false">
      <c r="A151" s="2" t="s">
        <v>433</v>
      </c>
      <c r="B151" s="8" t="n">
        <v>46036</v>
      </c>
      <c r="C151" s="2" t="s">
        <v>201</v>
      </c>
      <c r="D151" s="3" t="str">
        <f aca="false">INDEX(Vendedores!$C$2:$C$101,MATCH(C151,Vendedores!$A$2:$A$101,0))</f>
        <v>L08</v>
      </c>
      <c r="E151" s="3" t="str">
        <f aca="false">INDEX(Lojas!$E$2:$E$11,MATCH(D151,Lojas!$A$2:$A$11,0))</f>
        <v>Nordeste</v>
      </c>
      <c r="F151" s="2" t="s">
        <v>267</v>
      </c>
      <c r="G151" s="3" t="str">
        <f aca="false">INDEX(Produtos!$B$2:$B$11,MATCH(F151,Produtos!$A$2:$A$11,0))&amp;" "&amp;INDEX(Produtos!$C$2:$C$11,MATCH(F151,Produtos!$A$2:$A$11,0))</f>
        <v>Carregador de Celular Tipo C</v>
      </c>
      <c r="H151" s="2" t="n">
        <v>1</v>
      </c>
      <c r="I151" s="5" t="n">
        <f aca="false">INDEX(Produtos!$D$2:$D$11,MATCH(F151,Produtos!$A$2:$A$11,0))</f>
        <v>44.9</v>
      </c>
      <c r="J151" s="5" t="n">
        <f aca="false">H151*I151</f>
        <v>44.9</v>
      </c>
      <c r="K151" s="5" t="n">
        <f aca="false">INDEX(Produtos!$E$2:$E$11,MATCH(F151,Produtos!$A$2:$A$11,0))</f>
        <v>18</v>
      </c>
      <c r="L151" s="5" t="n">
        <f aca="false">H151*K151</f>
        <v>18</v>
      </c>
    </row>
    <row r="152" customFormat="false" ht="15" hidden="false" customHeight="false" outlineLevel="0" collapsed="false">
      <c r="A152" s="2" t="s">
        <v>434</v>
      </c>
      <c r="B152" s="8" t="n">
        <v>46036</v>
      </c>
      <c r="C152" s="2" t="s">
        <v>243</v>
      </c>
      <c r="D152" s="3" t="str">
        <f aca="false">INDEX(Vendedores!$C$2:$C$101,MATCH(C152,Vendedores!$A$2:$A$101,0))</f>
        <v>L10</v>
      </c>
      <c r="E152" s="3" t="str">
        <f aca="false">INDEX(Lojas!$E$2:$E$11,MATCH(D152,Lojas!$A$2:$A$11,0))</f>
        <v>Nordeste</v>
      </c>
      <c r="F152" s="2" t="s">
        <v>255</v>
      </c>
      <c r="G152" s="3" t="str">
        <f aca="false">INDEX(Produtos!$B$2:$B$11,MATCH(F152,Produtos!$A$2:$A$11,0))&amp;" "&amp;INDEX(Produtos!$C$2:$C$11,MATCH(F152,Produtos!$A$2:$A$11,0))</f>
        <v>Notebook Positivo</v>
      </c>
      <c r="H152" s="2" t="n">
        <v>3</v>
      </c>
      <c r="I152" s="5" t="n">
        <f aca="false">INDEX(Produtos!$D$2:$D$11,MATCH(F152,Produtos!$A$2:$A$11,0))</f>
        <v>2199</v>
      </c>
      <c r="J152" s="5" t="n">
        <f aca="false">H152*I152</f>
        <v>6597</v>
      </c>
      <c r="K152" s="5" t="n">
        <f aca="false">INDEX(Produtos!$E$2:$E$11,MATCH(F152,Produtos!$A$2:$A$11,0))</f>
        <v>1550</v>
      </c>
      <c r="L152" s="5" t="n">
        <f aca="false">H152*K152</f>
        <v>4650</v>
      </c>
    </row>
    <row r="153" customFormat="false" ht="15" hidden="false" customHeight="false" outlineLevel="0" collapsed="false">
      <c r="A153" s="2" t="s">
        <v>435</v>
      </c>
      <c r="B153" s="8" t="n">
        <v>46036</v>
      </c>
      <c r="C153" s="2" t="s">
        <v>191</v>
      </c>
      <c r="D153" s="3" t="str">
        <f aca="false">INDEX(Vendedores!$C$2:$C$101,MATCH(C153,Vendedores!$A$2:$A$101,0))</f>
        <v>L08</v>
      </c>
      <c r="E153" s="3" t="str">
        <f aca="false">INDEX(Lojas!$E$2:$E$11,MATCH(D153,Lojas!$A$2:$A$11,0))</f>
        <v>Nordeste</v>
      </c>
      <c r="F153" s="2" t="s">
        <v>275</v>
      </c>
      <c r="G153" s="3" t="str">
        <f aca="false">INDEX(Produtos!$B$2:$B$11,MATCH(F153,Produtos!$A$2:$A$11,0))&amp;" "&amp;INDEX(Produtos!$C$2:$C$11,MATCH(F153,Produtos!$A$2:$A$11,0))</f>
        <v>Controle de Videogame PS5</v>
      </c>
      <c r="H153" s="2" t="n">
        <v>1</v>
      </c>
      <c r="I153" s="5" t="n">
        <f aca="false">INDEX(Produtos!$D$2:$D$11,MATCH(F153,Produtos!$A$2:$A$11,0))</f>
        <v>379.9</v>
      </c>
      <c r="J153" s="5" t="n">
        <f aca="false">H153*I153</f>
        <v>379.9</v>
      </c>
      <c r="K153" s="5" t="n">
        <f aca="false">INDEX(Produtos!$E$2:$E$11,MATCH(F153,Produtos!$A$2:$A$11,0))</f>
        <v>235</v>
      </c>
      <c r="L153" s="5" t="n">
        <f aca="false">H153*K153</f>
        <v>235</v>
      </c>
    </row>
    <row r="154" customFormat="false" ht="15" hidden="false" customHeight="false" outlineLevel="0" collapsed="false">
      <c r="A154" s="2" t="s">
        <v>436</v>
      </c>
      <c r="B154" s="8" t="n">
        <v>46036</v>
      </c>
      <c r="C154" s="2" t="s">
        <v>82</v>
      </c>
      <c r="D154" s="3" t="str">
        <f aca="false">INDEX(Vendedores!$C$2:$C$101,MATCH(C154,Vendedores!$A$2:$A$101,0))</f>
        <v>L02</v>
      </c>
      <c r="E154" s="3" t="str">
        <f aca="false">INDEX(Lojas!$E$2:$E$11,MATCH(D154,Lojas!$A$2:$A$11,0))</f>
        <v>Sudeste</v>
      </c>
      <c r="F154" s="2" t="s">
        <v>255</v>
      </c>
      <c r="G154" s="3" t="str">
        <f aca="false">INDEX(Produtos!$B$2:$B$11,MATCH(F154,Produtos!$A$2:$A$11,0))&amp;" "&amp;INDEX(Produtos!$C$2:$C$11,MATCH(F154,Produtos!$A$2:$A$11,0))</f>
        <v>Notebook Positivo</v>
      </c>
      <c r="H154" s="2" t="n">
        <v>1</v>
      </c>
      <c r="I154" s="5" t="n">
        <f aca="false">INDEX(Produtos!$D$2:$D$11,MATCH(F154,Produtos!$A$2:$A$11,0))</f>
        <v>2199</v>
      </c>
      <c r="J154" s="5" t="n">
        <f aca="false">H154*I154</f>
        <v>2199</v>
      </c>
      <c r="K154" s="5" t="n">
        <f aca="false">INDEX(Produtos!$E$2:$E$11,MATCH(F154,Produtos!$A$2:$A$11,0))</f>
        <v>1550</v>
      </c>
      <c r="L154" s="5" t="n">
        <f aca="false">H154*K154</f>
        <v>1550</v>
      </c>
    </row>
    <row r="155" customFormat="false" ht="15" hidden="false" customHeight="false" outlineLevel="0" collapsed="false">
      <c r="A155" s="2" t="s">
        <v>437</v>
      </c>
      <c r="B155" s="8" t="n">
        <v>46036</v>
      </c>
      <c r="C155" s="2" t="s">
        <v>207</v>
      </c>
      <c r="D155" s="3" t="str">
        <f aca="false">INDEX(Vendedores!$C$2:$C$101,MATCH(C155,Vendedores!$A$2:$A$101,0))</f>
        <v>L09</v>
      </c>
      <c r="E155" s="3" t="str">
        <f aca="false">INDEX(Lojas!$E$2:$E$11,MATCH(D155,Lojas!$A$2:$A$11,0))</f>
        <v>Nordeste</v>
      </c>
      <c r="F155" s="2" t="s">
        <v>270</v>
      </c>
      <c r="G155" s="3" t="str">
        <f aca="false">INDEX(Produtos!$B$2:$B$11,MATCH(F155,Produtos!$A$2:$A$11,0))&amp;" "&amp;INDEX(Produtos!$C$2:$C$11,MATCH(F155,Produtos!$A$2:$A$11,0))</f>
        <v>Controle de Videogame Xbox</v>
      </c>
      <c r="H155" s="2" t="n">
        <v>1</v>
      </c>
      <c r="I155" s="5" t="n">
        <f aca="false">INDEX(Produtos!$D$2:$D$11,MATCH(F155,Produtos!$A$2:$A$11,0))</f>
        <v>349.9</v>
      </c>
      <c r="J155" s="5" t="n">
        <f aca="false">H155*I155</f>
        <v>349.9</v>
      </c>
      <c r="K155" s="5" t="n">
        <f aca="false">INDEX(Produtos!$E$2:$E$11,MATCH(F155,Produtos!$A$2:$A$11,0))</f>
        <v>215</v>
      </c>
      <c r="L155" s="5" t="n">
        <f aca="false">H155*K155</f>
        <v>215</v>
      </c>
    </row>
    <row r="156" customFormat="false" ht="15" hidden="false" customHeight="false" outlineLevel="0" collapsed="false">
      <c r="A156" s="2" t="s">
        <v>438</v>
      </c>
      <c r="B156" s="8" t="n">
        <v>46037</v>
      </c>
      <c r="C156" s="2" t="s">
        <v>176</v>
      </c>
      <c r="D156" s="3" t="str">
        <f aca="false">INDEX(Vendedores!$C$2:$C$101,MATCH(C156,Vendedores!$A$2:$A$101,0))</f>
        <v>L07</v>
      </c>
      <c r="E156" s="3" t="str">
        <f aca="false">INDEX(Lojas!$E$2:$E$11,MATCH(D156,Lojas!$A$2:$A$11,0))</f>
        <v>Sul</v>
      </c>
      <c r="F156" s="2" t="s">
        <v>257</v>
      </c>
      <c r="G156" s="3" t="str">
        <f aca="false">INDEX(Produtos!$B$2:$B$11,MATCH(F156,Produtos!$A$2:$A$11,0))&amp;" "&amp;INDEX(Produtos!$C$2:$C$11,MATCH(F156,Produtos!$A$2:$A$11,0))</f>
        <v>Celular Samsung</v>
      </c>
      <c r="H156" s="2" t="n">
        <v>1</v>
      </c>
      <c r="I156" s="5" t="n">
        <f aca="false">INDEX(Produtos!$D$2:$D$11,MATCH(F156,Produtos!$A$2:$A$11,0))</f>
        <v>2499</v>
      </c>
      <c r="J156" s="5" t="n">
        <f aca="false">H156*I156</f>
        <v>2499</v>
      </c>
      <c r="K156" s="5" t="n">
        <f aca="false">INDEX(Produtos!$E$2:$E$11,MATCH(F156,Produtos!$A$2:$A$11,0))</f>
        <v>1800</v>
      </c>
      <c r="L156" s="5" t="n">
        <f aca="false">H156*K156</f>
        <v>1800</v>
      </c>
    </row>
    <row r="157" customFormat="false" ht="15" hidden="false" customHeight="false" outlineLevel="0" collapsed="false">
      <c r="A157" s="2" t="s">
        <v>439</v>
      </c>
      <c r="B157" s="8" t="n">
        <v>46037</v>
      </c>
      <c r="C157" s="2" t="s">
        <v>60</v>
      </c>
      <c r="D157" s="3" t="str">
        <f aca="false">INDEX(Vendedores!$C$2:$C$101,MATCH(C157,Vendedores!$A$2:$A$101,0))</f>
        <v>L01</v>
      </c>
      <c r="E157" s="3" t="str">
        <f aca="false">INDEX(Lojas!$E$2:$E$11,MATCH(D157,Lojas!$A$2:$A$11,0))</f>
        <v>Sudeste</v>
      </c>
      <c r="F157" s="2" t="s">
        <v>270</v>
      </c>
      <c r="G157" s="3" t="str">
        <f aca="false">INDEX(Produtos!$B$2:$B$11,MATCH(F157,Produtos!$A$2:$A$11,0))&amp;" "&amp;INDEX(Produtos!$C$2:$C$11,MATCH(F157,Produtos!$A$2:$A$11,0))</f>
        <v>Controle de Videogame Xbox</v>
      </c>
      <c r="H157" s="2" t="n">
        <v>2</v>
      </c>
      <c r="I157" s="5" t="n">
        <f aca="false">INDEX(Produtos!$D$2:$D$11,MATCH(F157,Produtos!$A$2:$A$11,0))</f>
        <v>349.9</v>
      </c>
      <c r="J157" s="5" t="n">
        <f aca="false">H157*I157</f>
        <v>699.8</v>
      </c>
      <c r="K157" s="5" t="n">
        <f aca="false">INDEX(Produtos!$E$2:$E$11,MATCH(F157,Produtos!$A$2:$A$11,0))</f>
        <v>215</v>
      </c>
      <c r="L157" s="5" t="n">
        <f aca="false">H157*K157</f>
        <v>430</v>
      </c>
    </row>
    <row r="158" customFormat="false" ht="15" hidden="false" customHeight="false" outlineLevel="0" collapsed="false">
      <c r="A158" s="2" t="s">
        <v>440</v>
      </c>
      <c r="B158" s="8" t="n">
        <v>46037</v>
      </c>
      <c r="C158" s="2" t="s">
        <v>166</v>
      </c>
      <c r="D158" s="3" t="str">
        <f aca="false">INDEX(Vendedores!$C$2:$C$101,MATCH(C158,Vendedores!$A$2:$A$101,0))</f>
        <v>L06</v>
      </c>
      <c r="E158" s="3" t="str">
        <f aca="false">INDEX(Lojas!$E$2:$E$11,MATCH(D158,Lojas!$A$2:$A$11,0))</f>
        <v>Sul</v>
      </c>
      <c r="F158" s="2" t="s">
        <v>255</v>
      </c>
      <c r="G158" s="3" t="str">
        <f aca="false">INDEX(Produtos!$B$2:$B$11,MATCH(F158,Produtos!$A$2:$A$11,0))&amp;" "&amp;INDEX(Produtos!$C$2:$C$11,MATCH(F158,Produtos!$A$2:$A$11,0))</f>
        <v>Notebook Positivo</v>
      </c>
      <c r="H158" s="2" t="n">
        <v>1</v>
      </c>
      <c r="I158" s="5" t="n">
        <f aca="false">INDEX(Produtos!$D$2:$D$11,MATCH(F158,Produtos!$A$2:$A$11,0))</f>
        <v>2199</v>
      </c>
      <c r="J158" s="5" t="n">
        <f aca="false">H158*I158</f>
        <v>2199</v>
      </c>
      <c r="K158" s="5" t="n">
        <f aca="false">INDEX(Produtos!$E$2:$E$11,MATCH(F158,Produtos!$A$2:$A$11,0))</f>
        <v>1550</v>
      </c>
      <c r="L158" s="5" t="n">
        <f aca="false">H158*K158</f>
        <v>1550</v>
      </c>
    </row>
    <row r="159" customFormat="false" ht="15" hidden="false" customHeight="false" outlineLevel="0" collapsed="false">
      <c r="A159" s="2" t="s">
        <v>441</v>
      </c>
      <c r="B159" s="8" t="n">
        <v>46037</v>
      </c>
      <c r="C159" s="2" t="s">
        <v>182</v>
      </c>
      <c r="D159" s="3" t="str">
        <f aca="false">INDEX(Vendedores!$C$2:$C$101,MATCH(C159,Vendedores!$A$2:$A$101,0))</f>
        <v>L07</v>
      </c>
      <c r="E159" s="3" t="str">
        <f aca="false">INDEX(Lojas!$E$2:$E$11,MATCH(D159,Lojas!$A$2:$A$11,0))</f>
        <v>Sul</v>
      </c>
      <c r="F159" s="2" t="s">
        <v>262</v>
      </c>
      <c r="G159" s="3" t="str">
        <f aca="false">INDEX(Produtos!$B$2:$B$11,MATCH(F159,Produtos!$A$2:$A$11,0))&amp;" "&amp;INDEX(Produtos!$C$2:$C$11,MATCH(F159,Produtos!$A$2:$A$11,0))</f>
        <v>Fone de Ouvido De Celular</v>
      </c>
      <c r="H159" s="2" t="n">
        <v>2</v>
      </c>
      <c r="I159" s="5" t="n">
        <f aca="false">INDEX(Produtos!$D$2:$D$11,MATCH(F159,Produtos!$A$2:$A$11,0))</f>
        <v>59.9</v>
      </c>
      <c r="J159" s="5" t="n">
        <f aca="false">H159*I159</f>
        <v>119.8</v>
      </c>
      <c r="K159" s="5" t="n">
        <f aca="false">INDEX(Produtos!$E$2:$E$11,MATCH(F159,Produtos!$A$2:$A$11,0))</f>
        <v>28</v>
      </c>
      <c r="L159" s="5" t="n">
        <f aca="false">H159*K159</f>
        <v>56</v>
      </c>
    </row>
    <row r="160" customFormat="false" ht="15" hidden="false" customHeight="false" outlineLevel="0" collapsed="false">
      <c r="A160" s="2" t="s">
        <v>442</v>
      </c>
      <c r="B160" s="8" t="n">
        <v>46037</v>
      </c>
      <c r="C160" s="2" t="s">
        <v>158</v>
      </c>
      <c r="D160" s="3" t="str">
        <f aca="false">INDEX(Vendedores!$C$2:$C$101,MATCH(C160,Vendedores!$A$2:$A$101,0))</f>
        <v>L06</v>
      </c>
      <c r="E160" s="3" t="str">
        <f aca="false">INDEX(Lojas!$E$2:$E$11,MATCH(D160,Lojas!$A$2:$A$11,0))</f>
        <v>Sul</v>
      </c>
      <c r="F160" s="2" t="s">
        <v>260</v>
      </c>
      <c r="G160" s="3" t="str">
        <f aca="false">INDEX(Produtos!$B$2:$B$11,MATCH(F160,Produtos!$A$2:$A$11,0))&amp;" "&amp;INDEX(Produtos!$C$2:$C$11,MATCH(F160,Produtos!$A$2:$A$11,0))</f>
        <v>Celular Motorola</v>
      </c>
      <c r="H160" s="2" t="n">
        <v>1</v>
      </c>
      <c r="I160" s="5" t="n">
        <f aca="false">INDEX(Produtos!$D$2:$D$11,MATCH(F160,Produtos!$A$2:$A$11,0))</f>
        <v>1799</v>
      </c>
      <c r="J160" s="5" t="n">
        <f aca="false">H160*I160</f>
        <v>1799</v>
      </c>
      <c r="K160" s="5" t="n">
        <f aca="false">INDEX(Produtos!$E$2:$E$11,MATCH(F160,Produtos!$A$2:$A$11,0))</f>
        <v>1250</v>
      </c>
      <c r="L160" s="5" t="n">
        <f aca="false">H160*K160</f>
        <v>1250</v>
      </c>
    </row>
    <row r="161" customFormat="false" ht="15" hidden="false" customHeight="false" outlineLevel="0" collapsed="false">
      <c r="A161" s="2" t="s">
        <v>443</v>
      </c>
      <c r="B161" s="8" t="n">
        <v>46037</v>
      </c>
      <c r="C161" s="2" t="s">
        <v>92</v>
      </c>
      <c r="D161" s="3" t="str">
        <f aca="false">INDEX(Vendedores!$C$2:$C$101,MATCH(C161,Vendedores!$A$2:$A$101,0))</f>
        <v>L03</v>
      </c>
      <c r="E161" s="3" t="str">
        <f aca="false">INDEX(Lojas!$E$2:$E$11,MATCH(D161,Lojas!$A$2:$A$11,0))</f>
        <v>Sudeste</v>
      </c>
      <c r="F161" s="2" t="s">
        <v>270</v>
      </c>
      <c r="G161" s="3" t="str">
        <f aca="false">INDEX(Produtos!$B$2:$B$11,MATCH(F161,Produtos!$A$2:$A$11,0))&amp;" "&amp;INDEX(Produtos!$C$2:$C$11,MATCH(F161,Produtos!$A$2:$A$11,0))</f>
        <v>Controle de Videogame Xbox</v>
      </c>
      <c r="H161" s="2" t="n">
        <v>1</v>
      </c>
      <c r="I161" s="5" t="n">
        <f aca="false">INDEX(Produtos!$D$2:$D$11,MATCH(F161,Produtos!$A$2:$A$11,0))</f>
        <v>349.9</v>
      </c>
      <c r="J161" s="5" t="n">
        <f aca="false">H161*I161</f>
        <v>349.9</v>
      </c>
      <c r="K161" s="5" t="n">
        <f aca="false">INDEX(Produtos!$E$2:$E$11,MATCH(F161,Produtos!$A$2:$A$11,0))</f>
        <v>215</v>
      </c>
      <c r="L161" s="5" t="n">
        <f aca="false">H161*K161</f>
        <v>215</v>
      </c>
    </row>
    <row r="162" customFormat="false" ht="15" hidden="false" customHeight="false" outlineLevel="0" collapsed="false">
      <c r="A162" s="2" t="s">
        <v>444</v>
      </c>
      <c r="B162" s="8" t="n">
        <v>46037</v>
      </c>
      <c r="C162" s="2" t="s">
        <v>187</v>
      </c>
      <c r="D162" s="3" t="str">
        <f aca="false">INDEX(Vendedores!$C$2:$C$101,MATCH(C162,Vendedores!$A$2:$A$101,0))</f>
        <v>L08</v>
      </c>
      <c r="E162" s="3" t="str">
        <f aca="false">INDEX(Lojas!$E$2:$E$11,MATCH(D162,Lojas!$A$2:$A$11,0))</f>
        <v>Nordeste</v>
      </c>
      <c r="F162" s="2" t="s">
        <v>255</v>
      </c>
      <c r="G162" s="3" t="str">
        <f aca="false">INDEX(Produtos!$B$2:$B$11,MATCH(F162,Produtos!$A$2:$A$11,0))&amp;" "&amp;INDEX(Produtos!$C$2:$C$11,MATCH(F162,Produtos!$A$2:$A$11,0))</f>
        <v>Notebook Positivo</v>
      </c>
      <c r="H162" s="2" t="n">
        <v>1</v>
      </c>
      <c r="I162" s="5" t="n">
        <f aca="false">INDEX(Produtos!$D$2:$D$11,MATCH(F162,Produtos!$A$2:$A$11,0))</f>
        <v>2199</v>
      </c>
      <c r="J162" s="5" t="n">
        <f aca="false">H162*I162</f>
        <v>2199</v>
      </c>
      <c r="K162" s="5" t="n">
        <f aca="false">INDEX(Produtos!$E$2:$E$11,MATCH(F162,Produtos!$A$2:$A$11,0))</f>
        <v>1550</v>
      </c>
      <c r="L162" s="5" t="n">
        <f aca="false">H162*K162</f>
        <v>1550</v>
      </c>
    </row>
    <row r="163" customFormat="false" ht="15" hidden="false" customHeight="false" outlineLevel="0" collapsed="false">
      <c r="A163" s="2" t="s">
        <v>445</v>
      </c>
      <c r="B163" s="8" t="n">
        <v>46037</v>
      </c>
      <c r="C163" s="2" t="s">
        <v>90</v>
      </c>
      <c r="D163" s="3" t="str">
        <f aca="false">INDEX(Vendedores!$C$2:$C$101,MATCH(C163,Vendedores!$A$2:$A$101,0))</f>
        <v>L03</v>
      </c>
      <c r="E163" s="3" t="str">
        <f aca="false">INDEX(Lojas!$E$2:$E$11,MATCH(D163,Lojas!$A$2:$A$11,0))</f>
        <v>Sudeste</v>
      </c>
      <c r="F163" s="2" t="s">
        <v>255</v>
      </c>
      <c r="G163" s="3" t="str">
        <f aca="false">INDEX(Produtos!$B$2:$B$11,MATCH(F163,Produtos!$A$2:$A$11,0))&amp;" "&amp;INDEX(Produtos!$C$2:$C$11,MATCH(F163,Produtos!$A$2:$A$11,0))</f>
        <v>Notebook Positivo</v>
      </c>
      <c r="H163" s="2" t="n">
        <v>1</v>
      </c>
      <c r="I163" s="5" t="n">
        <f aca="false">INDEX(Produtos!$D$2:$D$11,MATCH(F163,Produtos!$A$2:$A$11,0))</f>
        <v>2199</v>
      </c>
      <c r="J163" s="5" t="n">
        <f aca="false">H163*I163</f>
        <v>2199</v>
      </c>
      <c r="K163" s="5" t="n">
        <f aca="false">INDEX(Produtos!$E$2:$E$11,MATCH(F163,Produtos!$A$2:$A$11,0))</f>
        <v>1550</v>
      </c>
      <c r="L163" s="5" t="n">
        <f aca="false">H163*K163</f>
        <v>1550</v>
      </c>
    </row>
    <row r="164" customFormat="false" ht="15" hidden="false" customHeight="false" outlineLevel="0" collapsed="false">
      <c r="A164" s="2" t="s">
        <v>446</v>
      </c>
      <c r="B164" s="8" t="n">
        <v>46037</v>
      </c>
      <c r="C164" s="2" t="s">
        <v>162</v>
      </c>
      <c r="D164" s="3" t="str">
        <f aca="false">INDEX(Vendedores!$C$2:$C$101,MATCH(C164,Vendedores!$A$2:$A$101,0))</f>
        <v>L06</v>
      </c>
      <c r="E164" s="3" t="str">
        <f aca="false">INDEX(Lojas!$E$2:$E$11,MATCH(D164,Lojas!$A$2:$A$11,0))</f>
        <v>Sul</v>
      </c>
      <c r="F164" s="2" t="s">
        <v>262</v>
      </c>
      <c r="G164" s="3" t="str">
        <f aca="false">INDEX(Produtos!$B$2:$B$11,MATCH(F164,Produtos!$A$2:$A$11,0))&amp;" "&amp;INDEX(Produtos!$C$2:$C$11,MATCH(F164,Produtos!$A$2:$A$11,0))</f>
        <v>Fone de Ouvido De Celular</v>
      </c>
      <c r="H164" s="2" t="n">
        <v>2</v>
      </c>
      <c r="I164" s="5" t="n">
        <f aca="false">INDEX(Produtos!$D$2:$D$11,MATCH(F164,Produtos!$A$2:$A$11,0))</f>
        <v>59.9</v>
      </c>
      <c r="J164" s="5" t="n">
        <f aca="false">H164*I164</f>
        <v>119.8</v>
      </c>
      <c r="K164" s="5" t="n">
        <f aca="false">INDEX(Produtos!$E$2:$E$11,MATCH(F164,Produtos!$A$2:$A$11,0))</f>
        <v>28</v>
      </c>
      <c r="L164" s="5" t="n">
        <f aca="false">H164*K164</f>
        <v>56</v>
      </c>
    </row>
    <row r="165" customFormat="false" ht="15" hidden="false" customHeight="false" outlineLevel="0" collapsed="false">
      <c r="A165" s="2" t="s">
        <v>447</v>
      </c>
      <c r="B165" s="8" t="n">
        <v>46037</v>
      </c>
      <c r="C165" s="2" t="s">
        <v>92</v>
      </c>
      <c r="D165" s="3" t="str">
        <f aca="false">INDEX(Vendedores!$C$2:$C$101,MATCH(C165,Vendedores!$A$2:$A$101,0))</f>
        <v>L03</v>
      </c>
      <c r="E165" s="3" t="str">
        <f aca="false">INDEX(Lojas!$E$2:$E$11,MATCH(D165,Lojas!$A$2:$A$11,0))</f>
        <v>Sudeste</v>
      </c>
      <c r="F165" s="2" t="s">
        <v>270</v>
      </c>
      <c r="G165" s="3" t="str">
        <f aca="false">INDEX(Produtos!$B$2:$B$11,MATCH(F165,Produtos!$A$2:$A$11,0))&amp;" "&amp;INDEX(Produtos!$C$2:$C$11,MATCH(F165,Produtos!$A$2:$A$11,0))</f>
        <v>Controle de Videogame Xbox</v>
      </c>
      <c r="H165" s="2" t="n">
        <v>1</v>
      </c>
      <c r="I165" s="5" t="n">
        <f aca="false">INDEX(Produtos!$D$2:$D$11,MATCH(F165,Produtos!$A$2:$A$11,0))</f>
        <v>349.9</v>
      </c>
      <c r="J165" s="5" t="n">
        <f aca="false">H165*I165</f>
        <v>349.9</v>
      </c>
      <c r="K165" s="5" t="n">
        <f aca="false">INDEX(Produtos!$E$2:$E$11,MATCH(F165,Produtos!$A$2:$A$11,0))</f>
        <v>215</v>
      </c>
      <c r="L165" s="5" t="n">
        <f aca="false">H165*K165</f>
        <v>215</v>
      </c>
    </row>
    <row r="166" customFormat="false" ht="15" hidden="false" customHeight="false" outlineLevel="0" collapsed="false">
      <c r="A166" s="2" t="s">
        <v>448</v>
      </c>
      <c r="B166" s="8" t="n">
        <v>46037</v>
      </c>
      <c r="C166" s="2" t="s">
        <v>122</v>
      </c>
      <c r="D166" s="3" t="str">
        <f aca="false">INDEX(Vendedores!$C$2:$C$101,MATCH(C166,Vendedores!$A$2:$A$101,0))</f>
        <v>L04</v>
      </c>
      <c r="E166" s="3" t="str">
        <f aca="false">INDEX(Lojas!$E$2:$E$11,MATCH(D166,Lojas!$A$2:$A$11,0))</f>
        <v>Sudeste</v>
      </c>
      <c r="F166" s="2" t="s">
        <v>275</v>
      </c>
      <c r="G166" s="3" t="str">
        <f aca="false">INDEX(Produtos!$B$2:$B$11,MATCH(F166,Produtos!$A$2:$A$11,0))&amp;" "&amp;INDEX(Produtos!$C$2:$C$11,MATCH(F166,Produtos!$A$2:$A$11,0))</f>
        <v>Controle de Videogame PS5</v>
      </c>
      <c r="H166" s="2" t="n">
        <v>3</v>
      </c>
      <c r="I166" s="5" t="n">
        <f aca="false">INDEX(Produtos!$D$2:$D$11,MATCH(F166,Produtos!$A$2:$A$11,0))</f>
        <v>379.9</v>
      </c>
      <c r="J166" s="5" t="n">
        <f aca="false">H166*I166</f>
        <v>1139.7</v>
      </c>
      <c r="K166" s="5" t="n">
        <f aca="false">INDEX(Produtos!$E$2:$E$11,MATCH(F166,Produtos!$A$2:$A$11,0))</f>
        <v>235</v>
      </c>
      <c r="L166" s="5" t="n">
        <f aca="false">H166*K166</f>
        <v>705</v>
      </c>
    </row>
    <row r="167" customFormat="false" ht="15" hidden="false" customHeight="false" outlineLevel="0" collapsed="false">
      <c r="A167" s="2" t="s">
        <v>449</v>
      </c>
      <c r="B167" s="8" t="n">
        <v>46037</v>
      </c>
      <c r="C167" s="2" t="s">
        <v>106</v>
      </c>
      <c r="D167" s="3" t="str">
        <f aca="false">INDEX(Vendedores!$C$2:$C$101,MATCH(C167,Vendedores!$A$2:$A$101,0))</f>
        <v>L03</v>
      </c>
      <c r="E167" s="3" t="str">
        <f aca="false">INDEX(Lojas!$E$2:$E$11,MATCH(D167,Lojas!$A$2:$A$11,0))</f>
        <v>Sudeste</v>
      </c>
      <c r="F167" s="2" t="s">
        <v>275</v>
      </c>
      <c r="G167" s="3" t="str">
        <f aca="false">INDEX(Produtos!$B$2:$B$11,MATCH(F167,Produtos!$A$2:$A$11,0))&amp;" "&amp;INDEX(Produtos!$C$2:$C$11,MATCH(F167,Produtos!$A$2:$A$11,0))</f>
        <v>Controle de Videogame PS5</v>
      </c>
      <c r="H167" s="2" t="n">
        <v>1</v>
      </c>
      <c r="I167" s="5" t="n">
        <f aca="false">INDEX(Produtos!$D$2:$D$11,MATCH(F167,Produtos!$A$2:$A$11,0))</f>
        <v>379.9</v>
      </c>
      <c r="J167" s="5" t="n">
        <f aca="false">H167*I167</f>
        <v>379.9</v>
      </c>
      <c r="K167" s="5" t="n">
        <f aca="false">INDEX(Produtos!$E$2:$E$11,MATCH(F167,Produtos!$A$2:$A$11,0))</f>
        <v>235</v>
      </c>
      <c r="L167" s="5" t="n">
        <f aca="false">H167*K167</f>
        <v>235</v>
      </c>
    </row>
    <row r="168" customFormat="false" ht="15" hidden="false" customHeight="false" outlineLevel="0" collapsed="false">
      <c r="A168" s="2" t="s">
        <v>450</v>
      </c>
      <c r="B168" s="8" t="n">
        <v>46037</v>
      </c>
      <c r="C168" s="2" t="s">
        <v>195</v>
      </c>
      <c r="D168" s="3" t="str">
        <f aca="false">INDEX(Vendedores!$C$2:$C$101,MATCH(C168,Vendedores!$A$2:$A$101,0))</f>
        <v>L08</v>
      </c>
      <c r="E168" s="3" t="str">
        <f aca="false">INDEX(Lojas!$E$2:$E$11,MATCH(D168,Lojas!$A$2:$A$11,0))</f>
        <v>Nordeste</v>
      </c>
      <c r="F168" s="2" t="s">
        <v>252</v>
      </c>
      <c r="G168" s="3" t="str">
        <f aca="false">INDEX(Produtos!$B$2:$B$11,MATCH(F168,Produtos!$A$2:$A$11,0))&amp;" "&amp;INDEX(Produtos!$C$2:$C$11,MATCH(F168,Produtos!$A$2:$A$11,0))</f>
        <v>Notebook Lenovo</v>
      </c>
      <c r="H168" s="2" t="n">
        <v>3</v>
      </c>
      <c r="I168" s="5" t="n">
        <f aca="false">INDEX(Produtos!$D$2:$D$11,MATCH(F168,Produtos!$A$2:$A$11,0))</f>
        <v>3199</v>
      </c>
      <c r="J168" s="5" t="n">
        <f aca="false">H168*I168</f>
        <v>9597</v>
      </c>
      <c r="K168" s="5" t="n">
        <f aca="false">INDEX(Produtos!$E$2:$E$11,MATCH(F168,Produtos!$A$2:$A$11,0))</f>
        <v>2350</v>
      </c>
      <c r="L168" s="5" t="n">
        <f aca="false">H168*K168</f>
        <v>7050</v>
      </c>
    </row>
    <row r="169" customFormat="false" ht="15" hidden="false" customHeight="false" outlineLevel="0" collapsed="false">
      <c r="A169" s="2" t="s">
        <v>451</v>
      </c>
      <c r="B169" s="8" t="n">
        <v>46037</v>
      </c>
      <c r="C169" s="2" t="s">
        <v>150</v>
      </c>
      <c r="D169" s="3" t="str">
        <f aca="false">INDEX(Vendedores!$C$2:$C$101,MATCH(C169,Vendedores!$A$2:$A$101,0))</f>
        <v>L06</v>
      </c>
      <c r="E169" s="3" t="str">
        <f aca="false">INDEX(Lojas!$E$2:$E$11,MATCH(D169,Lojas!$A$2:$A$11,0))</f>
        <v>Sul</v>
      </c>
      <c r="F169" s="2" t="s">
        <v>262</v>
      </c>
      <c r="G169" s="3" t="str">
        <f aca="false">INDEX(Produtos!$B$2:$B$11,MATCH(F169,Produtos!$A$2:$A$11,0))&amp;" "&amp;INDEX(Produtos!$C$2:$C$11,MATCH(F169,Produtos!$A$2:$A$11,0))</f>
        <v>Fone de Ouvido De Celular</v>
      </c>
      <c r="H169" s="2" t="n">
        <v>1</v>
      </c>
      <c r="I169" s="5" t="n">
        <f aca="false">INDEX(Produtos!$D$2:$D$11,MATCH(F169,Produtos!$A$2:$A$11,0))</f>
        <v>59.9</v>
      </c>
      <c r="J169" s="5" t="n">
        <f aca="false">H169*I169</f>
        <v>59.9</v>
      </c>
      <c r="K169" s="5" t="n">
        <f aca="false">INDEX(Produtos!$E$2:$E$11,MATCH(F169,Produtos!$A$2:$A$11,0))</f>
        <v>28</v>
      </c>
      <c r="L169" s="5" t="n">
        <f aca="false">H169*K169</f>
        <v>28</v>
      </c>
    </row>
    <row r="170" customFormat="false" ht="15" hidden="false" customHeight="false" outlineLevel="0" collapsed="false">
      <c r="A170" s="2" t="s">
        <v>452</v>
      </c>
      <c r="B170" s="8" t="n">
        <v>46037</v>
      </c>
      <c r="C170" s="2" t="s">
        <v>213</v>
      </c>
      <c r="D170" s="3" t="str">
        <f aca="false">INDEX(Vendedores!$C$2:$C$101,MATCH(C170,Vendedores!$A$2:$A$101,0))</f>
        <v>L09</v>
      </c>
      <c r="E170" s="3" t="str">
        <f aca="false">INDEX(Lojas!$E$2:$E$11,MATCH(D170,Lojas!$A$2:$A$11,0))</f>
        <v>Nordeste</v>
      </c>
      <c r="F170" s="2" t="s">
        <v>257</v>
      </c>
      <c r="G170" s="3" t="str">
        <f aca="false">INDEX(Produtos!$B$2:$B$11,MATCH(F170,Produtos!$A$2:$A$11,0))&amp;" "&amp;INDEX(Produtos!$C$2:$C$11,MATCH(F170,Produtos!$A$2:$A$11,0))</f>
        <v>Celular Samsung</v>
      </c>
      <c r="H170" s="2" t="n">
        <v>1</v>
      </c>
      <c r="I170" s="5" t="n">
        <f aca="false">INDEX(Produtos!$D$2:$D$11,MATCH(F170,Produtos!$A$2:$A$11,0))</f>
        <v>2499</v>
      </c>
      <c r="J170" s="5" t="n">
        <f aca="false">H170*I170</f>
        <v>2499</v>
      </c>
      <c r="K170" s="5" t="n">
        <f aca="false">INDEX(Produtos!$E$2:$E$11,MATCH(F170,Produtos!$A$2:$A$11,0))</f>
        <v>1800</v>
      </c>
      <c r="L170" s="5" t="n">
        <f aca="false">H170*K170</f>
        <v>1800</v>
      </c>
    </row>
    <row r="171" customFormat="false" ht="15" hidden="false" customHeight="false" outlineLevel="0" collapsed="false">
      <c r="A171" s="2" t="s">
        <v>453</v>
      </c>
      <c r="B171" s="8" t="n">
        <v>46037</v>
      </c>
      <c r="C171" s="2" t="s">
        <v>126</v>
      </c>
      <c r="D171" s="3" t="str">
        <f aca="false">INDEX(Vendedores!$C$2:$C$101,MATCH(C171,Vendedores!$A$2:$A$101,0))</f>
        <v>L04</v>
      </c>
      <c r="E171" s="3" t="str">
        <f aca="false">INDEX(Lojas!$E$2:$E$11,MATCH(D171,Lojas!$A$2:$A$11,0))</f>
        <v>Sudeste</v>
      </c>
      <c r="F171" s="2" t="s">
        <v>265</v>
      </c>
      <c r="G171" s="3" t="str">
        <f aca="false">INDEX(Produtos!$B$2:$B$11,MATCH(F171,Produtos!$A$2:$A$11,0))&amp;" "&amp;INDEX(Produtos!$C$2:$C$11,MATCH(F171,Produtos!$A$2:$A$11,0))</f>
        <v>Fone de Ouvido Headset</v>
      </c>
      <c r="H171" s="2" t="n">
        <v>3</v>
      </c>
      <c r="I171" s="5" t="n">
        <f aca="false">INDEX(Produtos!$D$2:$D$11,MATCH(F171,Produtos!$A$2:$A$11,0))</f>
        <v>249.9</v>
      </c>
      <c r="J171" s="5" t="n">
        <f aca="false">H171*I171</f>
        <v>749.7</v>
      </c>
      <c r="K171" s="5" t="n">
        <f aca="false">INDEX(Produtos!$E$2:$E$11,MATCH(F171,Produtos!$A$2:$A$11,0))</f>
        <v>145</v>
      </c>
      <c r="L171" s="5" t="n">
        <f aca="false">H171*K171</f>
        <v>435</v>
      </c>
    </row>
    <row r="172" customFormat="false" ht="15" hidden="false" customHeight="false" outlineLevel="0" collapsed="false">
      <c r="A172" s="2" t="s">
        <v>454</v>
      </c>
      <c r="B172" s="8" t="n">
        <v>46038</v>
      </c>
      <c r="C172" s="2" t="s">
        <v>86</v>
      </c>
      <c r="D172" s="3" t="str">
        <f aca="false">INDEX(Vendedores!$C$2:$C$101,MATCH(C172,Vendedores!$A$2:$A$101,0))</f>
        <v>L02</v>
      </c>
      <c r="E172" s="3" t="str">
        <f aca="false">INDEX(Lojas!$E$2:$E$11,MATCH(D172,Lojas!$A$2:$A$11,0))</f>
        <v>Sudeste</v>
      </c>
      <c r="F172" s="2" t="s">
        <v>270</v>
      </c>
      <c r="G172" s="3" t="str">
        <f aca="false">INDEX(Produtos!$B$2:$B$11,MATCH(F172,Produtos!$A$2:$A$11,0))&amp;" "&amp;INDEX(Produtos!$C$2:$C$11,MATCH(F172,Produtos!$A$2:$A$11,0))</f>
        <v>Controle de Videogame Xbox</v>
      </c>
      <c r="H172" s="2" t="n">
        <v>1</v>
      </c>
      <c r="I172" s="5" t="n">
        <f aca="false">INDEX(Produtos!$D$2:$D$11,MATCH(F172,Produtos!$A$2:$A$11,0))</f>
        <v>349.9</v>
      </c>
      <c r="J172" s="5" t="n">
        <f aca="false">H172*I172</f>
        <v>349.9</v>
      </c>
      <c r="K172" s="5" t="n">
        <f aca="false">INDEX(Produtos!$E$2:$E$11,MATCH(F172,Produtos!$A$2:$A$11,0))</f>
        <v>215</v>
      </c>
      <c r="L172" s="5" t="n">
        <f aca="false">H172*K172</f>
        <v>215</v>
      </c>
    </row>
    <row r="173" customFormat="false" ht="15" hidden="false" customHeight="false" outlineLevel="0" collapsed="false">
      <c r="A173" s="2" t="s">
        <v>455</v>
      </c>
      <c r="B173" s="8" t="n">
        <v>46038</v>
      </c>
      <c r="C173" s="2" t="s">
        <v>185</v>
      </c>
      <c r="D173" s="3" t="str">
        <f aca="false">INDEX(Vendedores!$C$2:$C$101,MATCH(C173,Vendedores!$A$2:$A$101,0))</f>
        <v>L08</v>
      </c>
      <c r="E173" s="3" t="str">
        <f aca="false">INDEX(Lojas!$E$2:$E$11,MATCH(D173,Lojas!$A$2:$A$11,0))</f>
        <v>Nordeste</v>
      </c>
      <c r="F173" s="2" t="s">
        <v>255</v>
      </c>
      <c r="G173" s="3" t="str">
        <f aca="false">INDEX(Produtos!$B$2:$B$11,MATCH(F173,Produtos!$A$2:$A$11,0))&amp;" "&amp;INDEX(Produtos!$C$2:$C$11,MATCH(F173,Produtos!$A$2:$A$11,0))</f>
        <v>Notebook Positivo</v>
      </c>
      <c r="H173" s="2" t="n">
        <v>3</v>
      </c>
      <c r="I173" s="5" t="n">
        <f aca="false">INDEX(Produtos!$D$2:$D$11,MATCH(F173,Produtos!$A$2:$A$11,0))</f>
        <v>2199</v>
      </c>
      <c r="J173" s="5" t="n">
        <f aca="false">H173*I173</f>
        <v>6597</v>
      </c>
      <c r="K173" s="5" t="n">
        <f aca="false">INDEX(Produtos!$E$2:$E$11,MATCH(F173,Produtos!$A$2:$A$11,0))</f>
        <v>1550</v>
      </c>
      <c r="L173" s="5" t="n">
        <f aca="false">H173*K173</f>
        <v>4650</v>
      </c>
    </row>
    <row r="174" customFormat="false" ht="15" hidden="false" customHeight="false" outlineLevel="0" collapsed="false">
      <c r="A174" s="2" t="s">
        <v>456</v>
      </c>
      <c r="B174" s="8" t="n">
        <v>46038</v>
      </c>
      <c r="C174" s="2" t="s">
        <v>225</v>
      </c>
      <c r="D174" s="3" t="str">
        <f aca="false">INDEX(Vendedores!$C$2:$C$101,MATCH(C174,Vendedores!$A$2:$A$101,0))</f>
        <v>L10</v>
      </c>
      <c r="E174" s="3" t="str">
        <f aca="false">INDEX(Lojas!$E$2:$E$11,MATCH(D174,Lojas!$A$2:$A$11,0))</f>
        <v>Nordeste</v>
      </c>
      <c r="F174" s="2" t="s">
        <v>260</v>
      </c>
      <c r="G174" s="3" t="str">
        <f aca="false">INDEX(Produtos!$B$2:$B$11,MATCH(F174,Produtos!$A$2:$A$11,0))&amp;" "&amp;INDEX(Produtos!$C$2:$C$11,MATCH(F174,Produtos!$A$2:$A$11,0))</f>
        <v>Celular Motorola</v>
      </c>
      <c r="H174" s="2" t="n">
        <v>1</v>
      </c>
      <c r="I174" s="5" t="n">
        <f aca="false">INDEX(Produtos!$D$2:$D$11,MATCH(F174,Produtos!$A$2:$A$11,0))</f>
        <v>1799</v>
      </c>
      <c r="J174" s="5" t="n">
        <f aca="false">H174*I174</f>
        <v>1799</v>
      </c>
      <c r="K174" s="5" t="n">
        <f aca="false">INDEX(Produtos!$E$2:$E$11,MATCH(F174,Produtos!$A$2:$A$11,0))</f>
        <v>1250</v>
      </c>
      <c r="L174" s="5" t="n">
        <f aca="false">H174*K174</f>
        <v>1250</v>
      </c>
    </row>
    <row r="175" customFormat="false" ht="15" hidden="false" customHeight="false" outlineLevel="0" collapsed="false">
      <c r="A175" s="2" t="s">
        <v>457</v>
      </c>
      <c r="B175" s="8" t="n">
        <v>46038</v>
      </c>
      <c r="C175" s="2" t="s">
        <v>185</v>
      </c>
      <c r="D175" s="3" t="str">
        <f aca="false">INDEX(Vendedores!$C$2:$C$101,MATCH(C175,Vendedores!$A$2:$A$101,0))</f>
        <v>L08</v>
      </c>
      <c r="E175" s="3" t="str">
        <f aca="false">INDEX(Lojas!$E$2:$E$11,MATCH(D175,Lojas!$A$2:$A$11,0))</f>
        <v>Nordeste</v>
      </c>
      <c r="F175" s="2" t="s">
        <v>275</v>
      </c>
      <c r="G175" s="3" t="str">
        <f aca="false">INDEX(Produtos!$B$2:$B$11,MATCH(F175,Produtos!$A$2:$A$11,0))&amp;" "&amp;INDEX(Produtos!$C$2:$C$11,MATCH(F175,Produtos!$A$2:$A$11,0))</f>
        <v>Controle de Videogame PS5</v>
      </c>
      <c r="H175" s="2" t="n">
        <v>2</v>
      </c>
      <c r="I175" s="5" t="n">
        <f aca="false">INDEX(Produtos!$D$2:$D$11,MATCH(F175,Produtos!$A$2:$A$11,0))</f>
        <v>379.9</v>
      </c>
      <c r="J175" s="5" t="n">
        <f aca="false">H175*I175</f>
        <v>759.8</v>
      </c>
      <c r="K175" s="5" t="n">
        <f aca="false">INDEX(Produtos!$E$2:$E$11,MATCH(F175,Produtos!$A$2:$A$11,0))</f>
        <v>235</v>
      </c>
      <c r="L175" s="5" t="n">
        <f aca="false">H175*K175</f>
        <v>470</v>
      </c>
    </row>
    <row r="176" customFormat="false" ht="15" hidden="false" customHeight="false" outlineLevel="0" collapsed="false">
      <c r="A176" s="2" t="s">
        <v>458</v>
      </c>
      <c r="B176" s="8" t="n">
        <v>46038</v>
      </c>
      <c r="C176" s="2" t="s">
        <v>50</v>
      </c>
      <c r="D176" s="3" t="str">
        <f aca="false">INDEX(Vendedores!$C$2:$C$101,MATCH(C176,Vendedores!$A$2:$A$101,0))</f>
        <v>L01</v>
      </c>
      <c r="E176" s="3" t="str">
        <f aca="false">INDEX(Lojas!$E$2:$E$11,MATCH(D176,Lojas!$A$2:$A$11,0))</f>
        <v>Sudeste</v>
      </c>
      <c r="F176" s="2" t="s">
        <v>262</v>
      </c>
      <c r="G176" s="3" t="str">
        <f aca="false">INDEX(Produtos!$B$2:$B$11,MATCH(F176,Produtos!$A$2:$A$11,0))&amp;" "&amp;INDEX(Produtos!$C$2:$C$11,MATCH(F176,Produtos!$A$2:$A$11,0))</f>
        <v>Fone de Ouvido De Celular</v>
      </c>
      <c r="H176" s="2" t="n">
        <v>2</v>
      </c>
      <c r="I176" s="5" t="n">
        <f aca="false">INDEX(Produtos!$D$2:$D$11,MATCH(F176,Produtos!$A$2:$A$11,0))</f>
        <v>59.9</v>
      </c>
      <c r="J176" s="5" t="n">
        <f aca="false">H176*I176</f>
        <v>119.8</v>
      </c>
      <c r="K176" s="5" t="n">
        <f aca="false">INDEX(Produtos!$E$2:$E$11,MATCH(F176,Produtos!$A$2:$A$11,0))</f>
        <v>28</v>
      </c>
      <c r="L176" s="5" t="n">
        <f aca="false">H176*K176</f>
        <v>56</v>
      </c>
    </row>
    <row r="177" customFormat="false" ht="15" hidden="false" customHeight="false" outlineLevel="0" collapsed="false">
      <c r="A177" s="2" t="s">
        <v>459</v>
      </c>
      <c r="B177" s="8" t="n">
        <v>46038</v>
      </c>
      <c r="C177" s="2" t="s">
        <v>158</v>
      </c>
      <c r="D177" s="3" t="str">
        <f aca="false">INDEX(Vendedores!$C$2:$C$101,MATCH(C177,Vendedores!$A$2:$A$101,0))</f>
        <v>L06</v>
      </c>
      <c r="E177" s="3" t="str">
        <f aca="false">INDEX(Lojas!$E$2:$E$11,MATCH(D177,Lojas!$A$2:$A$11,0))</f>
        <v>Sul</v>
      </c>
      <c r="F177" s="2" t="s">
        <v>257</v>
      </c>
      <c r="G177" s="3" t="str">
        <f aca="false">INDEX(Produtos!$B$2:$B$11,MATCH(F177,Produtos!$A$2:$A$11,0))&amp;" "&amp;INDEX(Produtos!$C$2:$C$11,MATCH(F177,Produtos!$A$2:$A$11,0))</f>
        <v>Celular Samsung</v>
      </c>
      <c r="H177" s="2" t="n">
        <v>1</v>
      </c>
      <c r="I177" s="5" t="n">
        <f aca="false">INDEX(Produtos!$D$2:$D$11,MATCH(F177,Produtos!$A$2:$A$11,0))</f>
        <v>2499</v>
      </c>
      <c r="J177" s="5" t="n">
        <f aca="false">H177*I177</f>
        <v>2499</v>
      </c>
      <c r="K177" s="5" t="n">
        <f aca="false">INDEX(Produtos!$E$2:$E$11,MATCH(F177,Produtos!$A$2:$A$11,0))</f>
        <v>1800</v>
      </c>
      <c r="L177" s="5" t="n">
        <f aca="false">H177*K177</f>
        <v>1800</v>
      </c>
    </row>
    <row r="178" customFormat="false" ht="15" hidden="false" customHeight="false" outlineLevel="0" collapsed="false">
      <c r="A178" s="2" t="s">
        <v>460</v>
      </c>
      <c r="B178" s="8" t="n">
        <v>46038</v>
      </c>
      <c r="C178" s="2" t="s">
        <v>102</v>
      </c>
      <c r="D178" s="3" t="str">
        <f aca="false">INDEX(Vendedores!$C$2:$C$101,MATCH(C178,Vendedores!$A$2:$A$101,0))</f>
        <v>L03</v>
      </c>
      <c r="E178" s="3" t="str">
        <f aca="false">INDEX(Lojas!$E$2:$E$11,MATCH(D178,Lojas!$A$2:$A$11,0))</f>
        <v>Sudeste</v>
      </c>
      <c r="F178" s="2" t="s">
        <v>260</v>
      </c>
      <c r="G178" s="3" t="str">
        <f aca="false">INDEX(Produtos!$B$2:$B$11,MATCH(F178,Produtos!$A$2:$A$11,0))&amp;" "&amp;INDEX(Produtos!$C$2:$C$11,MATCH(F178,Produtos!$A$2:$A$11,0))</f>
        <v>Celular Motorola</v>
      </c>
      <c r="H178" s="2" t="n">
        <v>3</v>
      </c>
      <c r="I178" s="5" t="n">
        <f aca="false">INDEX(Produtos!$D$2:$D$11,MATCH(F178,Produtos!$A$2:$A$11,0))</f>
        <v>1799</v>
      </c>
      <c r="J178" s="5" t="n">
        <f aca="false">H178*I178</f>
        <v>5397</v>
      </c>
      <c r="K178" s="5" t="n">
        <f aca="false">INDEX(Produtos!$E$2:$E$11,MATCH(F178,Produtos!$A$2:$A$11,0))</f>
        <v>1250</v>
      </c>
      <c r="L178" s="5" t="n">
        <f aca="false">H178*K178</f>
        <v>3750</v>
      </c>
    </row>
    <row r="179" customFormat="false" ht="15" hidden="false" customHeight="false" outlineLevel="0" collapsed="false">
      <c r="A179" s="2" t="s">
        <v>461</v>
      </c>
      <c r="B179" s="8" t="n">
        <v>46038</v>
      </c>
      <c r="C179" s="2" t="s">
        <v>118</v>
      </c>
      <c r="D179" s="3" t="str">
        <f aca="false">INDEX(Vendedores!$C$2:$C$101,MATCH(C179,Vendedores!$A$2:$A$101,0))</f>
        <v>L04</v>
      </c>
      <c r="E179" s="3" t="str">
        <f aca="false">INDEX(Lojas!$E$2:$E$11,MATCH(D179,Lojas!$A$2:$A$11,0))</f>
        <v>Sudeste</v>
      </c>
      <c r="F179" s="2" t="s">
        <v>252</v>
      </c>
      <c r="G179" s="3" t="str">
        <f aca="false">INDEX(Produtos!$B$2:$B$11,MATCH(F179,Produtos!$A$2:$A$11,0))&amp;" "&amp;INDEX(Produtos!$C$2:$C$11,MATCH(F179,Produtos!$A$2:$A$11,0))</f>
        <v>Notebook Lenovo</v>
      </c>
      <c r="H179" s="2" t="n">
        <v>2</v>
      </c>
      <c r="I179" s="5" t="n">
        <f aca="false">INDEX(Produtos!$D$2:$D$11,MATCH(F179,Produtos!$A$2:$A$11,0))</f>
        <v>3199</v>
      </c>
      <c r="J179" s="5" t="n">
        <f aca="false">H179*I179</f>
        <v>6398</v>
      </c>
      <c r="K179" s="5" t="n">
        <f aca="false">INDEX(Produtos!$E$2:$E$11,MATCH(F179,Produtos!$A$2:$A$11,0))</f>
        <v>2350</v>
      </c>
      <c r="L179" s="5" t="n">
        <f aca="false">H179*K179</f>
        <v>4700</v>
      </c>
    </row>
    <row r="180" customFormat="false" ht="15" hidden="false" customHeight="false" outlineLevel="0" collapsed="false">
      <c r="A180" s="2" t="s">
        <v>462</v>
      </c>
      <c r="B180" s="8" t="n">
        <v>46038</v>
      </c>
      <c r="C180" s="2" t="s">
        <v>199</v>
      </c>
      <c r="D180" s="3" t="str">
        <f aca="false">INDEX(Vendedores!$C$2:$C$101,MATCH(C180,Vendedores!$A$2:$A$101,0))</f>
        <v>L08</v>
      </c>
      <c r="E180" s="3" t="str">
        <f aca="false">INDEX(Lojas!$E$2:$E$11,MATCH(D180,Lojas!$A$2:$A$11,0))</f>
        <v>Nordeste</v>
      </c>
      <c r="F180" s="2" t="s">
        <v>275</v>
      </c>
      <c r="G180" s="3" t="str">
        <f aca="false">INDEX(Produtos!$B$2:$B$11,MATCH(F180,Produtos!$A$2:$A$11,0))&amp;" "&amp;INDEX(Produtos!$C$2:$C$11,MATCH(F180,Produtos!$A$2:$A$11,0))</f>
        <v>Controle de Videogame PS5</v>
      </c>
      <c r="H180" s="2" t="n">
        <v>1</v>
      </c>
      <c r="I180" s="5" t="n">
        <f aca="false">INDEX(Produtos!$D$2:$D$11,MATCH(F180,Produtos!$A$2:$A$11,0))</f>
        <v>379.9</v>
      </c>
      <c r="J180" s="5" t="n">
        <f aca="false">H180*I180</f>
        <v>379.9</v>
      </c>
      <c r="K180" s="5" t="n">
        <f aca="false">INDEX(Produtos!$E$2:$E$11,MATCH(F180,Produtos!$A$2:$A$11,0))</f>
        <v>235</v>
      </c>
      <c r="L180" s="5" t="n">
        <f aca="false">H180*K180</f>
        <v>235</v>
      </c>
    </row>
    <row r="181" customFormat="false" ht="15" hidden="false" customHeight="false" outlineLevel="0" collapsed="false">
      <c r="A181" s="2" t="s">
        <v>463</v>
      </c>
      <c r="B181" s="8" t="n">
        <v>46038</v>
      </c>
      <c r="C181" s="2" t="s">
        <v>193</v>
      </c>
      <c r="D181" s="3" t="str">
        <f aca="false">INDEX(Vendedores!$C$2:$C$101,MATCH(C181,Vendedores!$A$2:$A$101,0))</f>
        <v>L08</v>
      </c>
      <c r="E181" s="3" t="str">
        <f aca="false">INDEX(Lojas!$E$2:$E$11,MATCH(D181,Lojas!$A$2:$A$11,0))</f>
        <v>Nordeste</v>
      </c>
      <c r="F181" s="2" t="s">
        <v>255</v>
      </c>
      <c r="G181" s="3" t="str">
        <f aca="false">INDEX(Produtos!$B$2:$B$11,MATCH(F181,Produtos!$A$2:$A$11,0))&amp;" "&amp;INDEX(Produtos!$C$2:$C$11,MATCH(F181,Produtos!$A$2:$A$11,0))</f>
        <v>Notebook Positivo</v>
      </c>
      <c r="H181" s="2" t="n">
        <v>1</v>
      </c>
      <c r="I181" s="5" t="n">
        <f aca="false">INDEX(Produtos!$D$2:$D$11,MATCH(F181,Produtos!$A$2:$A$11,0))</f>
        <v>2199</v>
      </c>
      <c r="J181" s="5" t="n">
        <f aca="false">H181*I181</f>
        <v>2199</v>
      </c>
      <c r="K181" s="5" t="n">
        <f aca="false">INDEX(Produtos!$E$2:$E$11,MATCH(F181,Produtos!$A$2:$A$11,0))</f>
        <v>1550</v>
      </c>
      <c r="L181" s="5" t="n">
        <f aca="false">H181*K181</f>
        <v>1550</v>
      </c>
    </row>
    <row r="182" customFormat="false" ht="15" hidden="false" customHeight="false" outlineLevel="0" collapsed="false">
      <c r="A182" s="2" t="s">
        <v>464</v>
      </c>
      <c r="B182" s="8" t="n">
        <v>46038</v>
      </c>
      <c r="C182" s="2" t="s">
        <v>133</v>
      </c>
      <c r="D182" s="3" t="str">
        <f aca="false">INDEX(Vendedores!$C$2:$C$101,MATCH(C182,Vendedores!$A$2:$A$101,0))</f>
        <v>L05</v>
      </c>
      <c r="E182" s="3" t="str">
        <f aca="false">INDEX(Lojas!$E$2:$E$11,MATCH(D182,Lojas!$A$2:$A$11,0))</f>
        <v>Sul</v>
      </c>
      <c r="F182" s="2" t="s">
        <v>275</v>
      </c>
      <c r="G182" s="3" t="str">
        <f aca="false">INDEX(Produtos!$B$2:$B$11,MATCH(F182,Produtos!$A$2:$A$11,0))&amp;" "&amp;INDEX(Produtos!$C$2:$C$11,MATCH(F182,Produtos!$A$2:$A$11,0))</f>
        <v>Controle de Videogame PS5</v>
      </c>
      <c r="H182" s="2" t="n">
        <v>2</v>
      </c>
      <c r="I182" s="5" t="n">
        <f aca="false">INDEX(Produtos!$D$2:$D$11,MATCH(F182,Produtos!$A$2:$A$11,0))</f>
        <v>379.9</v>
      </c>
      <c r="J182" s="5" t="n">
        <f aca="false">H182*I182</f>
        <v>759.8</v>
      </c>
      <c r="K182" s="5" t="n">
        <f aca="false">INDEX(Produtos!$E$2:$E$11,MATCH(F182,Produtos!$A$2:$A$11,0))</f>
        <v>235</v>
      </c>
      <c r="L182" s="5" t="n">
        <f aca="false">H182*K182</f>
        <v>470</v>
      </c>
    </row>
    <row r="183" customFormat="false" ht="15" hidden="false" customHeight="false" outlineLevel="0" collapsed="false">
      <c r="A183" s="2" t="s">
        <v>465</v>
      </c>
      <c r="B183" s="8" t="n">
        <v>46038</v>
      </c>
      <c r="C183" s="2" t="s">
        <v>100</v>
      </c>
      <c r="D183" s="3" t="str">
        <f aca="false">INDEX(Vendedores!$C$2:$C$101,MATCH(C183,Vendedores!$A$2:$A$101,0))</f>
        <v>L03</v>
      </c>
      <c r="E183" s="3" t="str">
        <f aca="false">INDEX(Lojas!$E$2:$E$11,MATCH(D183,Lojas!$A$2:$A$11,0))</f>
        <v>Sudeste</v>
      </c>
      <c r="F183" s="2" t="s">
        <v>252</v>
      </c>
      <c r="G183" s="3" t="str">
        <f aca="false">INDEX(Produtos!$B$2:$B$11,MATCH(F183,Produtos!$A$2:$A$11,0))&amp;" "&amp;INDEX(Produtos!$C$2:$C$11,MATCH(F183,Produtos!$A$2:$A$11,0))</f>
        <v>Notebook Lenovo</v>
      </c>
      <c r="H183" s="2" t="n">
        <v>1</v>
      </c>
      <c r="I183" s="5" t="n">
        <f aca="false">INDEX(Produtos!$D$2:$D$11,MATCH(F183,Produtos!$A$2:$A$11,0))</f>
        <v>3199</v>
      </c>
      <c r="J183" s="5" t="n">
        <f aca="false">H183*I183</f>
        <v>3199</v>
      </c>
      <c r="K183" s="5" t="n">
        <f aca="false">INDEX(Produtos!$E$2:$E$11,MATCH(F183,Produtos!$A$2:$A$11,0))</f>
        <v>2350</v>
      </c>
      <c r="L183" s="5" t="n">
        <f aca="false">H183*K183</f>
        <v>2350</v>
      </c>
    </row>
    <row r="184" customFormat="false" ht="15" hidden="false" customHeight="false" outlineLevel="0" collapsed="false">
      <c r="A184" s="2" t="s">
        <v>466</v>
      </c>
      <c r="B184" s="8" t="n">
        <v>46038</v>
      </c>
      <c r="C184" s="2" t="s">
        <v>225</v>
      </c>
      <c r="D184" s="3" t="str">
        <f aca="false">INDEX(Vendedores!$C$2:$C$101,MATCH(C184,Vendedores!$A$2:$A$101,0))</f>
        <v>L10</v>
      </c>
      <c r="E184" s="3" t="str">
        <f aca="false">INDEX(Lojas!$E$2:$E$11,MATCH(D184,Lojas!$A$2:$A$11,0))</f>
        <v>Nordeste</v>
      </c>
      <c r="F184" s="2" t="s">
        <v>267</v>
      </c>
      <c r="G184" s="3" t="str">
        <f aca="false">INDEX(Produtos!$B$2:$B$11,MATCH(F184,Produtos!$A$2:$A$11,0))&amp;" "&amp;INDEX(Produtos!$C$2:$C$11,MATCH(F184,Produtos!$A$2:$A$11,0))</f>
        <v>Carregador de Celular Tipo C</v>
      </c>
      <c r="H184" s="2" t="n">
        <v>1</v>
      </c>
      <c r="I184" s="5" t="n">
        <f aca="false">INDEX(Produtos!$D$2:$D$11,MATCH(F184,Produtos!$A$2:$A$11,0))</f>
        <v>44.9</v>
      </c>
      <c r="J184" s="5" t="n">
        <f aca="false">H184*I184</f>
        <v>44.9</v>
      </c>
      <c r="K184" s="5" t="n">
        <f aca="false">INDEX(Produtos!$E$2:$E$11,MATCH(F184,Produtos!$A$2:$A$11,0))</f>
        <v>18</v>
      </c>
      <c r="L184" s="5" t="n">
        <f aca="false">H184*K184</f>
        <v>18</v>
      </c>
    </row>
    <row r="185" customFormat="false" ht="15" hidden="false" customHeight="false" outlineLevel="0" collapsed="false">
      <c r="A185" s="2" t="s">
        <v>467</v>
      </c>
      <c r="B185" s="8" t="n">
        <v>46039</v>
      </c>
      <c r="C185" s="2" t="s">
        <v>142</v>
      </c>
      <c r="D185" s="3" t="str">
        <f aca="false">INDEX(Vendedores!$C$2:$C$101,MATCH(C185,Vendedores!$A$2:$A$101,0))</f>
        <v>L05</v>
      </c>
      <c r="E185" s="3" t="str">
        <f aca="false">INDEX(Lojas!$E$2:$E$11,MATCH(D185,Lojas!$A$2:$A$11,0))</f>
        <v>Sul</v>
      </c>
      <c r="F185" s="2" t="s">
        <v>270</v>
      </c>
      <c r="G185" s="3" t="str">
        <f aca="false">INDEX(Produtos!$B$2:$B$11,MATCH(F185,Produtos!$A$2:$A$11,0))&amp;" "&amp;INDEX(Produtos!$C$2:$C$11,MATCH(F185,Produtos!$A$2:$A$11,0))</f>
        <v>Controle de Videogame Xbox</v>
      </c>
      <c r="H185" s="2" t="n">
        <v>2</v>
      </c>
      <c r="I185" s="5" t="n">
        <f aca="false">INDEX(Produtos!$D$2:$D$11,MATCH(F185,Produtos!$A$2:$A$11,0))</f>
        <v>349.9</v>
      </c>
      <c r="J185" s="5" t="n">
        <f aca="false">H185*I185</f>
        <v>699.8</v>
      </c>
      <c r="K185" s="5" t="n">
        <f aca="false">INDEX(Produtos!$E$2:$E$11,MATCH(F185,Produtos!$A$2:$A$11,0))</f>
        <v>215</v>
      </c>
      <c r="L185" s="5" t="n">
        <f aca="false">H185*K185</f>
        <v>430</v>
      </c>
    </row>
    <row r="186" customFormat="false" ht="15" hidden="false" customHeight="false" outlineLevel="0" collapsed="false">
      <c r="A186" s="2" t="s">
        <v>468</v>
      </c>
      <c r="B186" s="8" t="n">
        <v>46039</v>
      </c>
      <c r="C186" s="2" t="s">
        <v>135</v>
      </c>
      <c r="D186" s="3" t="str">
        <f aca="false">INDEX(Vendedores!$C$2:$C$101,MATCH(C186,Vendedores!$A$2:$A$101,0))</f>
        <v>L05</v>
      </c>
      <c r="E186" s="3" t="str">
        <f aca="false">INDEX(Lojas!$E$2:$E$11,MATCH(D186,Lojas!$A$2:$A$11,0))</f>
        <v>Sul</v>
      </c>
      <c r="F186" s="2" t="s">
        <v>267</v>
      </c>
      <c r="G186" s="3" t="str">
        <f aca="false">INDEX(Produtos!$B$2:$B$11,MATCH(F186,Produtos!$A$2:$A$11,0))&amp;" "&amp;INDEX(Produtos!$C$2:$C$11,MATCH(F186,Produtos!$A$2:$A$11,0))</f>
        <v>Carregador de Celular Tipo C</v>
      </c>
      <c r="H186" s="2" t="n">
        <v>2</v>
      </c>
      <c r="I186" s="5" t="n">
        <f aca="false">INDEX(Produtos!$D$2:$D$11,MATCH(F186,Produtos!$A$2:$A$11,0))</f>
        <v>44.9</v>
      </c>
      <c r="J186" s="5" t="n">
        <f aca="false">H186*I186</f>
        <v>89.8</v>
      </c>
      <c r="K186" s="5" t="n">
        <f aca="false">INDEX(Produtos!$E$2:$E$11,MATCH(F186,Produtos!$A$2:$A$11,0))</f>
        <v>18</v>
      </c>
      <c r="L186" s="5" t="n">
        <f aca="false">H186*K186</f>
        <v>36</v>
      </c>
    </row>
    <row r="187" customFormat="false" ht="15" hidden="false" customHeight="false" outlineLevel="0" collapsed="false">
      <c r="A187" s="2" t="s">
        <v>469</v>
      </c>
      <c r="B187" s="8" t="n">
        <v>46039</v>
      </c>
      <c r="C187" s="2" t="s">
        <v>239</v>
      </c>
      <c r="D187" s="3" t="str">
        <f aca="false">INDEX(Vendedores!$C$2:$C$101,MATCH(C187,Vendedores!$A$2:$A$101,0))</f>
        <v>L10</v>
      </c>
      <c r="E187" s="3" t="str">
        <f aca="false">INDEX(Lojas!$E$2:$E$11,MATCH(D187,Lojas!$A$2:$A$11,0))</f>
        <v>Nordeste</v>
      </c>
      <c r="F187" s="2" t="s">
        <v>260</v>
      </c>
      <c r="G187" s="3" t="str">
        <f aca="false">INDEX(Produtos!$B$2:$B$11,MATCH(F187,Produtos!$A$2:$A$11,0))&amp;" "&amp;INDEX(Produtos!$C$2:$C$11,MATCH(F187,Produtos!$A$2:$A$11,0))</f>
        <v>Celular Motorola</v>
      </c>
      <c r="H187" s="2" t="n">
        <v>2</v>
      </c>
      <c r="I187" s="5" t="n">
        <f aca="false">INDEX(Produtos!$D$2:$D$11,MATCH(F187,Produtos!$A$2:$A$11,0))</f>
        <v>1799</v>
      </c>
      <c r="J187" s="5" t="n">
        <f aca="false">H187*I187</f>
        <v>3598</v>
      </c>
      <c r="K187" s="5" t="n">
        <f aca="false">INDEX(Produtos!$E$2:$E$11,MATCH(F187,Produtos!$A$2:$A$11,0))</f>
        <v>1250</v>
      </c>
      <c r="L187" s="5" t="n">
        <f aca="false">H187*K187</f>
        <v>2500</v>
      </c>
    </row>
    <row r="188" customFormat="false" ht="15" hidden="false" customHeight="false" outlineLevel="0" collapsed="false">
      <c r="A188" s="2" t="s">
        <v>470</v>
      </c>
      <c r="B188" s="8" t="n">
        <v>46039</v>
      </c>
      <c r="C188" s="2" t="s">
        <v>148</v>
      </c>
      <c r="D188" s="3" t="str">
        <f aca="false">INDEX(Vendedores!$C$2:$C$101,MATCH(C188,Vendedores!$A$2:$A$101,0))</f>
        <v>L06</v>
      </c>
      <c r="E188" s="3" t="str">
        <f aca="false">INDEX(Lojas!$E$2:$E$11,MATCH(D188,Lojas!$A$2:$A$11,0))</f>
        <v>Sul</v>
      </c>
      <c r="F188" s="2" t="s">
        <v>270</v>
      </c>
      <c r="G188" s="3" t="str">
        <f aca="false">INDEX(Produtos!$B$2:$B$11,MATCH(F188,Produtos!$A$2:$A$11,0))&amp;" "&amp;INDEX(Produtos!$C$2:$C$11,MATCH(F188,Produtos!$A$2:$A$11,0))</f>
        <v>Controle de Videogame Xbox</v>
      </c>
      <c r="H188" s="2" t="n">
        <v>1</v>
      </c>
      <c r="I188" s="5" t="n">
        <f aca="false">INDEX(Produtos!$D$2:$D$11,MATCH(F188,Produtos!$A$2:$A$11,0))</f>
        <v>349.9</v>
      </c>
      <c r="J188" s="5" t="n">
        <f aca="false">H188*I188</f>
        <v>349.9</v>
      </c>
      <c r="K188" s="5" t="n">
        <f aca="false">INDEX(Produtos!$E$2:$E$11,MATCH(F188,Produtos!$A$2:$A$11,0))</f>
        <v>215</v>
      </c>
      <c r="L188" s="5" t="n">
        <f aca="false">H188*K188</f>
        <v>215</v>
      </c>
    </row>
    <row r="189" customFormat="false" ht="15" hidden="false" customHeight="false" outlineLevel="0" collapsed="false">
      <c r="A189" s="2" t="s">
        <v>471</v>
      </c>
      <c r="B189" s="8" t="n">
        <v>46039</v>
      </c>
      <c r="C189" s="2" t="s">
        <v>137</v>
      </c>
      <c r="D189" s="3" t="str">
        <f aca="false">INDEX(Vendedores!$C$2:$C$101,MATCH(C189,Vendedores!$A$2:$A$101,0))</f>
        <v>L05</v>
      </c>
      <c r="E189" s="3" t="str">
        <f aca="false">INDEX(Lojas!$E$2:$E$11,MATCH(D189,Lojas!$A$2:$A$11,0))</f>
        <v>Sul</v>
      </c>
      <c r="F189" s="2" t="s">
        <v>255</v>
      </c>
      <c r="G189" s="3" t="str">
        <f aca="false">INDEX(Produtos!$B$2:$B$11,MATCH(F189,Produtos!$A$2:$A$11,0))&amp;" "&amp;INDEX(Produtos!$C$2:$C$11,MATCH(F189,Produtos!$A$2:$A$11,0))</f>
        <v>Notebook Positivo</v>
      </c>
      <c r="H189" s="2" t="n">
        <v>1</v>
      </c>
      <c r="I189" s="5" t="n">
        <f aca="false">INDEX(Produtos!$D$2:$D$11,MATCH(F189,Produtos!$A$2:$A$11,0))</f>
        <v>2199</v>
      </c>
      <c r="J189" s="5" t="n">
        <f aca="false">H189*I189</f>
        <v>2199</v>
      </c>
      <c r="K189" s="5" t="n">
        <f aca="false">INDEX(Produtos!$E$2:$E$11,MATCH(F189,Produtos!$A$2:$A$11,0))</f>
        <v>1550</v>
      </c>
      <c r="L189" s="5" t="n">
        <f aca="false">H189*K189</f>
        <v>1550</v>
      </c>
    </row>
    <row r="190" customFormat="false" ht="15" hidden="false" customHeight="false" outlineLevel="0" collapsed="false">
      <c r="A190" s="2" t="s">
        <v>472</v>
      </c>
      <c r="B190" s="8" t="n">
        <v>46039</v>
      </c>
      <c r="C190" s="2" t="s">
        <v>142</v>
      </c>
      <c r="D190" s="3" t="str">
        <f aca="false">INDEX(Vendedores!$C$2:$C$101,MATCH(C190,Vendedores!$A$2:$A$101,0))</f>
        <v>L05</v>
      </c>
      <c r="E190" s="3" t="str">
        <f aca="false">INDEX(Lojas!$E$2:$E$11,MATCH(D190,Lojas!$A$2:$A$11,0))</f>
        <v>Sul</v>
      </c>
      <c r="F190" s="2" t="s">
        <v>265</v>
      </c>
      <c r="G190" s="3" t="str">
        <f aca="false">INDEX(Produtos!$B$2:$B$11,MATCH(F190,Produtos!$A$2:$A$11,0))&amp;" "&amp;INDEX(Produtos!$C$2:$C$11,MATCH(F190,Produtos!$A$2:$A$11,0))</f>
        <v>Fone de Ouvido Headset</v>
      </c>
      <c r="H190" s="2" t="n">
        <v>1</v>
      </c>
      <c r="I190" s="5" t="n">
        <f aca="false">INDEX(Produtos!$D$2:$D$11,MATCH(F190,Produtos!$A$2:$A$11,0))</f>
        <v>249.9</v>
      </c>
      <c r="J190" s="5" t="n">
        <f aca="false">H190*I190</f>
        <v>249.9</v>
      </c>
      <c r="K190" s="5" t="n">
        <f aca="false">INDEX(Produtos!$E$2:$E$11,MATCH(F190,Produtos!$A$2:$A$11,0))</f>
        <v>145</v>
      </c>
      <c r="L190" s="5" t="n">
        <f aca="false">H190*K190</f>
        <v>145</v>
      </c>
    </row>
    <row r="191" customFormat="false" ht="15" hidden="false" customHeight="false" outlineLevel="0" collapsed="false">
      <c r="A191" s="2" t="s">
        <v>473</v>
      </c>
      <c r="B191" s="8" t="n">
        <v>46039</v>
      </c>
      <c r="C191" s="2" t="s">
        <v>137</v>
      </c>
      <c r="D191" s="3" t="str">
        <f aca="false">INDEX(Vendedores!$C$2:$C$101,MATCH(C191,Vendedores!$A$2:$A$101,0))</f>
        <v>L05</v>
      </c>
      <c r="E191" s="3" t="str">
        <f aca="false">INDEX(Lojas!$E$2:$E$11,MATCH(D191,Lojas!$A$2:$A$11,0))</f>
        <v>Sul</v>
      </c>
      <c r="F191" s="2" t="s">
        <v>260</v>
      </c>
      <c r="G191" s="3" t="str">
        <f aca="false">INDEX(Produtos!$B$2:$B$11,MATCH(F191,Produtos!$A$2:$A$11,0))&amp;" "&amp;INDEX(Produtos!$C$2:$C$11,MATCH(F191,Produtos!$A$2:$A$11,0))</f>
        <v>Celular Motorola</v>
      </c>
      <c r="H191" s="2" t="n">
        <v>1</v>
      </c>
      <c r="I191" s="5" t="n">
        <f aca="false">INDEX(Produtos!$D$2:$D$11,MATCH(F191,Produtos!$A$2:$A$11,0))</f>
        <v>1799</v>
      </c>
      <c r="J191" s="5" t="n">
        <f aca="false">H191*I191</f>
        <v>1799</v>
      </c>
      <c r="K191" s="5" t="n">
        <f aca="false">INDEX(Produtos!$E$2:$E$11,MATCH(F191,Produtos!$A$2:$A$11,0))</f>
        <v>1250</v>
      </c>
      <c r="L191" s="5" t="n">
        <f aca="false">H191*K191</f>
        <v>1250</v>
      </c>
    </row>
    <row r="192" customFormat="false" ht="15" hidden="false" customHeight="false" outlineLevel="0" collapsed="false">
      <c r="A192" s="2" t="s">
        <v>474</v>
      </c>
      <c r="B192" s="8" t="n">
        <v>46039</v>
      </c>
      <c r="C192" s="2" t="s">
        <v>243</v>
      </c>
      <c r="D192" s="3" t="str">
        <f aca="false">INDEX(Vendedores!$C$2:$C$101,MATCH(C192,Vendedores!$A$2:$A$101,0))</f>
        <v>L10</v>
      </c>
      <c r="E192" s="3" t="str">
        <f aca="false">INDEX(Lojas!$E$2:$E$11,MATCH(D192,Lojas!$A$2:$A$11,0))</f>
        <v>Nordeste</v>
      </c>
      <c r="F192" s="2" t="s">
        <v>273</v>
      </c>
      <c r="G192" s="3" t="str">
        <f aca="false">INDEX(Produtos!$B$2:$B$11,MATCH(F192,Produtos!$A$2:$A$11,0))&amp;" "&amp;INDEX(Produtos!$C$2:$C$11,MATCH(F192,Produtos!$A$2:$A$11,0))</f>
        <v>Controle de Videogame PS4</v>
      </c>
      <c r="H192" s="2" t="n">
        <v>1</v>
      </c>
      <c r="I192" s="5" t="n">
        <f aca="false">INDEX(Produtos!$D$2:$D$11,MATCH(F192,Produtos!$A$2:$A$11,0))</f>
        <v>299.9</v>
      </c>
      <c r="J192" s="5" t="n">
        <f aca="false">H192*I192</f>
        <v>299.9</v>
      </c>
      <c r="K192" s="5" t="n">
        <f aca="false">INDEX(Produtos!$E$2:$E$11,MATCH(F192,Produtos!$A$2:$A$11,0))</f>
        <v>175</v>
      </c>
      <c r="L192" s="5" t="n">
        <f aca="false">H192*K192</f>
        <v>175</v>
      </c>
    </row>
    <row r="193" customFormat="false" ht="15" hidden="false" customHeight="false" outlineLevel="0" collapsed="false">
      <c r="A193" s="2" t="s">
        <v>475</v>
      </c>
      <c r="B193" s="8" t="n">
        <v>46039</v>
      </c>
      <c r="C193" s="2" t="s">
        <v>205</v>
      </c>
      <c r="D193" s="3" t="str">
        <f aca="false">INDEX(Vendedores!$C$2:$C$101,MATCH(C193,Vendedores!$A$2:$A$101,0))</f>
        <v>L09</v>
      </c>
      <c r="E193" s="3" t="str">
        <f aca="false">INDEX(Lojas!$E$2:$E$11,MATCH(D193,Lojas!$A$2:$A$11,0))</f>
        <v>Nordeste</v>
      </c>
      <c r="F193" s="2" t="s">
        <v>255</v>
      </c>
      <c r="G193" s="3" t="str">
        <f aca="false">INDEX(Produtos!$B$2:$B$11,MATCH(F193,Produtos!$A$2:$A$11,0))&amp;" "&amp;INDEX(Produtos!$C$2:$C$11,MATCH(F193,Produtos!$A$2:$A$11,0))</f>
        <v>Notebook Positivo</v>
      </c>
      <c r="H193" s="2" t="n">
        <v>1</v>
      </c>
      <c r="I193" s="5" t="n">
        <f aca="false">INDEX(Produtos!$D$2:$D$11,MATCH(F193,Produtos!$A$2:$A$11,0))</f>
        <v>2199</v>
      </c>
      <c r="J193" s="5" t="n">
        <f aca="false">H193*I193</f>
        <v>2199</v>
      </c>
      <c r="K193" s="5" t="n">
        <f aca="false">INDEX(Produtos!$E$2:$E$11,MATCH(F193,Produtos!$A$2:$A$11,0))</f>
        <v>1550</v>
      </c>
      <c r="L193" s="5" t="n">
        <f aca="false">H193*K193</f>
        <v>1550</v>
      </c>
    </row>
    <row r="194" customFormat="false" ht="15" hidden="false" customHeight="false" outlineLevel="0" collapsed="false">
      <c r="A194" s="2" t="s">
        <v>476</v>
      </c>
      <c r="B194" s="8" t="n">
        <v>46039</v>
      </c>
      <c r="C194" s="2" t="s">
        <v>138</v>
      </c>
      <c r="D194" s="3" t="str">
        <f aca="false">INDEX(Vendedores!$C$2:$C$101,MATCH(C194,Vendedores!$A$2:$A$101,0))</f>
        <v>L05</v>
      </c>
      <c r="E194" s="3" t="str">
        <f aca="false">INDEX(Lojas!$E$2:$E$11,MATCH(D194,Lojas!$A$2:$A$11,0))</f>
        <v>Sul</v>
      </c>
      <c r="F194" s="2" t="s">
        <v>262</v>
      </c>
      <c r="G194" s="3" t="str">
        <f aca="false">INDEX(Produtos!$B$2:$B$11,MATCH(F194,Produtos!$A$2:$A$11,0))&amp;" "&amp;INDEX(Produtos!$C$2:$C$11,MATCH(F194,Produtos!$A$2:$A$11,0))</f>
        <v>Fone de Ouvido De Celular</v>
      </c>
      <c r="H194" s="2" t="n">
        <v>1</v>
      </c>
      <c r="I194" s="5" t="n">
        <f aca="false">INDEX(Produtos!$D$2:$D$11,MATCH(F194,Produtos!$A$2:$A$11,0))</f>
        <v>59.9</v>
      </c>
      <c r="J194" s="5" t="n">
        <f aca="false">H194*I194</f>
        <v>59.9</v>
      </c>
      <c r="K194" s="5" t="n">
        <f aca="false">INDEX(Produtos!$E$2:$E$11,MATCH(F194,Produtos!$A$2:$A$11,0))</f>
        <v>28</v>
      </c>
      <c r="L194" s="5" t="n">
        <f aca="false">H194*K194</f>
        <v>28</v>
      </c>
    </row>
    <row r="195" customFormat="false" ht="15" hidden="false" customHeight="false" outlineLevel="0" collapsed="false">
      <c r="A195" s="2" t="s">
        <v>477</v>
      </c>
      <c r="B195" s="8" t="n">
        <v>46040</v>
      </c>
      <c r="C195" s="2" t="s">
        <v>215</v>
      </c>
      <c r="D195" s="3" t="str">
        <f aca="false">INDEX(Vendedores!$C$2:$C$101,MATCH(C195,Vendedores!$A$2:$A$101,0))</f>
        <v>L09</v>
      </c>
      <c r="E195" s="3" t="str">
        <f aca="false">INDEX(Lojas!$E$2:$E$11,MATCH(D195,Lojas!$A$2:$A$11,0))</f>
        <v>Nordeste</v>
      </c>
      <c r="F195" s="2" t="s">
        <v>255</v>
      </c>
      <c r="G195" s="3" t="str">
        <f aca="false">INDEX(Produtos!$B$2:$B$11,MATCH(F195,Produtos!$A$2:$A$11,0))&amp;" "&amp;INDEX(Produtos!$C$2:$C$11,MATCH(F195,Produtos!$A$2:$A$11,0))</f>
        <v>Notebook Positivo</v>
      </c>
      <c r="H195" s="2" t="n">
        <v>1</v>
      </c>
      <c r="I195" s="5" t="n">
        <f aca="false">INDEX(Produtos!$D$2:$D$11,MATCH(F195,Produtos!$A$2:$A$11,0))</f>
        <v>2199</v>
      </c>
      <c r="J195" s="5" t="n">
        <f aca="false">H195*I195</f>
        <v>2199</v>
      </c>
      <c r="K195" s="5" t="n">
        <f aca="false">INDEX(Produtos!$E$2:$E$11,MATCH(F195,Produtos!$A$2:$A$11,0))</f>
        <v>1550</v>
      </c>
      <c r="L195" s="5" t="n">
        <f aca="false">H195*K195</f>
        <v>1550</v>
      </c>
    </row>
    <row r="196" customFormat="false" ht="15" hidden="false" customHeight="false" outlineLevel="0" collapsed="false">
      <c r="A196" s="2" t="s">
        <v>478</v>
      </c>
      <c r="B196" s="8" t="n">
        <v>46040</v>
      </c>
      <c r="C196" s="2" t="s">
        <v>116</v>
      </c>
      <c r="D196" s="3" t="str">
        <f aca="false">INDEX(Vendedores!$C$2:$C$101,MATCH(C196,Vendedores!$A$2:$A$101,0))</f>
        <v>L04</v>
      </c>
      <c r="E196" s="3" t="str">
        <f aca="false">INDEX(Lojas!$E$2:$E$11,MATCH(D196,Lojas!$A$2:$A$11,0))</f>
        <v>Sudeste</v>
      </c>
      <c r="F196" s="2" t="s">
        <v>275</v>
      </c>
      <c r="G196" s="3" t="str">
        <f aca="false">INDEX(Produtos!$B$2:$B$11,MATCH(F196,Produtos!$A$2:$A$11,0))&amp;" "&amp;INDEX(Produtos!$C$2:$C$11,MATCH(F196,Produtos!$A$2:$A$11,0))</f>
        <v>Controle de Videogame PS5</v>
      </c>
      <c r="H196" s="2" t="n">
        <v>1</v>
      </c>
      <c r="I196" s="5" t="n">
        <f aca="false">INDEX(Produtos!$D$2:$D$11,MATCH(F196,Produtos!$A$2:$A$11,0))</f>
        <v>379.9</v>
      </c>
      <c r="J196" s="5" t="n">
        <f aca="false">H196*I196</f>
        <v>379.9</v>
      </c>
      <c r="K196" s="5" t="n">
        <f aca="false">INDEX(Produtos!$E$2:$E$11,MATCH(F196,Produtos!$A$2:$A$11,0))</f>
        <v>235</v>
      </c>
      <c r="L196" s="5" t="n">
        <f aca="false">H196*K196</f>
        <v>235</v>
      </c>
    </row>
    <row r="197" customFormat="false" ht="15" hidden="false" customHeight="false" outlineLevel="0" collapsed="false">
      <c r="A197" s="2" t="s">
        <v>479</v>
      </c>
      <c r="B197" s="8" t="n">
        <v>46040</v>
      </c>
      <c r="C197" s="2" t="s">
        <v>179</v>
      </c>
      <c r="D197" s="3" t="str">
        <f aca="false">INDEX(Vendedores!$C$2:$C$101,MATCH(C197,Vendedores!$A$2:$A$101,0))</f>
        <v>L07</v>
      </c>
      <c r="E197" s="3" t="str">
        <f aca="false">INDEX(Lojas!$E$2:$E$11,MATCH(D197,Lojas!$A$2:$A$11,0))</f>
        <v>Sul</v>
      </c>
      <c r="F197" s="2" t="s">
        <v>270</v>
      </c>
      <c r="G197" s="3" t="str">
        <f aca="false">INDEX(Produtos!$B$2:$B$11,MATCH(F197,Produtos!$A$2:$A$11,0))&amp;" "&amp;INDEX(Produtos!$C$2:$C$11,MATCH(F197,Produtos!$A$2:$A$11,0))</f>
        <v>Controle de Videogame Xbox</v>
      </c>
      <c r="H197" s="2" t="n">
        <v>1</v>
      </c>
      <c r="I197" s="5" t="n">
        <f aca="false">INDEX(Produtos!$D$2:$D$11,MATCH(F197,Produtos!$A$2:$A$11,0))</f>
        <v>349.9</v>
      </c>
      <c r="J197" s="5" t="n">
        <f aca="false">H197*I197</f>
        <v>349.9</v>
      </c>
      <c r="K197" s="5" t="n">
        <f aca="false">INDEX(Produtos!$E$2:$E$11,MATCH(F197,Produtos!$A$2:$A$11,0))</f>
        <v>215</v>
      </c>
      <c r="L197" s="5" t="n">
        <f aca="false">H197*K197</f>
        <v>215</v>
      </c>
    </row>
    <row r="198" customFormat="false" ht="15" hidden="false" customHeight="false" outlineLevel="0" collapsed="false">
      <c r="A198" s="2" t="s">
        <v>480</v>
      </c>
      <c r="B198" s="8" t="n">
        <v>46040</v>
      </c>
      <c r="C198" s="2" t="s">
        <v>72</v>
      </c>
      <c r="D198" s="3" t="str">
        <f aca="false">INDEX(Vendedores!$C$2:$C$101,MATCH(C198,Vendedores!$A$2:$A$101,0))</f>
        <v>L02</v>
      </c>
      <c r="E198" s="3" t="str">
        <f aca="false">INDEX(Lojas!$E$2:$E$11,MATCH(D198,Lojas!$A$2:$A$11,0))</f>
        <v>Sudeste</v>
      </c>
      <c r="F198" s="2" t="s">
        <v>252</v>
      </c>
      <c r="G198" s="3" t="str">
        <f aca="false">INDEX(Produtos!$B$2:$B$11,MATCH(F198,Produtos!$A$2:$A$11,0))&amp;" "&amp;INDEX(Produtos!$C$2:$C$11,MATCH(F198,Produtos!$A$2:$A$11,0))</f>
        <v>Notebook Lenovo</v>
      </c>
      <c r="H198" s="2" t="n">
        <v>1</v>
      </c>
      <c r="I198" s="5" t="n">
        <f aca="false">INDEX(Produtos!$D$2:$D$11,MATCH(F198,Produtos!$A$2:$A$11,0))</f>
        <v>3199</v>
      </c>
      <c r="J198" s="5" t="n">
        <f aca="false">H198*I198</f>
        <v>3199</v>
      </c>
      <c r="K198" s="5" t="n">
        <f aca="false">INDEX(Produtos!$E$2:$E$11,MATCH(F198,Produtos!$A$2:$A$11,0))</f>
        <v>2350</v>
      </c>
      <c r="L198" s="5" t="n">
        <f aca="false">H198*K198</f>
        <v>2350</v>
      </c>
    </row>
    <row r="199" customFormat="false" ht="15" hidden="false" customHeight="false" outlineLevel="0" collapsed="false">
      <c r="A199" s="2" t="s">
        <v>481</v>
      </c>
      <c r="B199" s="8" t="n">
        <v>46040</v>
      </c>
      <c r="C199" s="2" t="s">
        <v>239</v>
      </c>
      <c r="D199" s="3" t="str">
        <f aca="false">INDEX(Vendedores!$C$2:$C$101,MATCH(C199,Vendedores!$A$2:$A$101,0))</f>
        <v>L10</v>
      </c>
      <c r="E199" s="3" t="str">
        <f aca="false">INDEX(Lojas!$E$2:$E$11,MATCH(D199,Lojas!$A$2:$A$11,0))</f>
        <v>Nordeste</v>
      </c>
      <c r="F199" s="2" t="s">
        <v>267</v>
      </c>
      <c r="G199" s="3" t="str">
        <f aca="false">INDEX(Produtos!$B$2:$B$11,MATCH(F199,Produtos!$A$2:$A$11,0))&amp;" "&amp;INDEX(Produtos!$C$2:$C$11,MATCH(F199,Produtos!$A$2:$A$11,0))</f>
        <v>Carregador de Celular Tipo C</v>
      </c>
      <c r="H199" s="2" t="n">
        <v>1</v>
      </c>
      <c r="I199" s="5" t="n">
        <f aca="false">INDEX(Produtos!$D$2:$D$11,MATCH(F199,Produtos!$A$2:$A$11,0))</f>
        <v>44.9</v>
      </c>
      <c r="J199" s="5" t="n">
        <f aca="false">H199*I199</f>
        <v>44.9</v>
      </c>
      <c r="K199" s="5" t="n">
        <f aca="false">INDEX(Produtos!$E$2:$E$11,MATCH(F199,Produtos!$A$2:$A$11,0))</f>
        <v>18</v>
      </c>
      <c r="L199" s="5" t="n">
        <f aca="false">H199*K199</f>
        <v>18</v>
      </c>
    </row>
    <row r="200" customFormat="false" ht="15" hidden="false" customHeight="false" outlineLevel="0" collapsed="false">
      <c r="A200" s="2" t="s">
        <v>482</v>
      </c>
      <c r="B200" s="8" t="n">
        <v>46040</v>
      </c>
      <c r="C200" s="2" t="s">
        <v>243</v>
      </c>
      <c r="D200" s="3" t="str">
        <f aca="false">INDEX(Vendedores!$C$2:$C$101,MATCH(C200,Vendedores!$A$2:$A$101,0))</f>
        <v>L10</v>
      </c>
      <c r="E200" s="3" t="str">
        <f aca="false">INDEX(Lojas!$E$2:$E$11,MATCH(D200,Lojas!$A$2:$A$11,0))</f>
        <v>Nordeste</v>
      </c>
      <c r="F200" s="2" t="s">
        <v>257</v>
      </c>
      <c r="G200" s="3" t="str">
        <f aca="false">INDEX(Produtos!$B$2:$B$11,MATCH(F200,Produtos!$A$2:$A$11,0))&amp;" "&amp;INDEX(Produtos!$C$2:$C$11,MATCH(F200,Produtos!$A$2:$A$11,0))</f>
        <v>Celular Samsung</v>
      </c>
      <c r="H200" s="2" t="n">
        <v>3</v>
      </c>
      <c r="I200" s="5" t="n">
        <f aca="false">INDEX(Produtos!$D$2:$D$11,MATCH(F200,Produtos!$A$2:$A$11,0))</f>
        <v>2499</v>
      </c>
      <c r="J200" s="5" t="n">
        <f aca="false">H200*I200</f>
        <v>7497</v>
      </c>
      <c r="K200" s="5" t="n">
        <f aca="false">INDEX(Produtos!$E$2:$E$11,MATCH(F200,Produtos!$A$2:$A$11,0))</f>
        <v>1800</v>
      </c>
      <c r="L200" s="5" t="n">
        <f aca="false">H200*K200</f>
        <v>5400</v>
      </c>
    </row>
    <row r="201" customFormat="false" ht="15" hidden="false" customHeight="false" outlineLevel="0" collapsed="false">
      <c r="A201" s="2" t="s">
        <v>483</v>
      </c>
      <c r="B201" s="8" t="n">
        <v>46040</v>
      </c>
      <c r="C201" s="2" t="s">
        <v>243</v>
      </c>
      <c r="D201" s="3" t="str">
        <f aca="false">INDEX(Vendedores!$C$2:$C$101,MATCH(C201,Vendedores!$A$2:$A$101,0))</f>
        <v>L10</v>
      </c>
      <c r="E201" s="3" t="str">
        <f aca="false">INDEX(Lojas!$E$2:$E$11,MATCH(D201,Lojas!$A$2:$A$11,0))</f>
        <v>Nordeste</v>
      </c>
      <c r="F201" s="2" t="s">
        <v>262</v>
      </c>
      <c r="G201" s="3" t="str">
        <f aca="false">INDEX(Produtos!$B$2:$B$11,MATCH(F201,Produtos!$A$2:$A$11,0))&amp;" "&amp;INDEX(Produtos!$C$2:$C$11,MATCH(F201,Produtos!$A$2:$A$11,0))</f>
        <v>Fone de Ouvido De Celular</v>
      </c>
      <c r="H201" s="2" t="n">
        <v>1</v>
      </c>
      <c r="I201" s="5" t="n">
        <f aca="false">INDEX(Produtos!$D$2:$D$11,MATCH(F201,Produtos!$A$2:$A$11,0))</f>
        <v>59.9</v>
      </c>
      <c r="J201" s="5" t="n">
        <f aca="false">H201*I201</f>
        <v>59.9</v>
      </c>
      <c r="K201" s="5" t="n">
        <f aca="false">INDEX(Produtos!$E$2:$E$11,MATCH(F201,Produtos!$A$2:$A$11,0))</f>
        <v>28</v>
      </c>
      <c r="L201" s="5" t="n">
        <f aca="false">H201*K201</f>
        <v>28</v>
      </c>
    </row>
    <row r="202" customFormat="false" ht="15" hidden="false" customHeight="false" outlineLevel="0" collapsed="false">
      <c r="A202" s="2" t="s">
        <v>484</v>
      </c>
      <c r="B202" s="8" t="n">
        <v>46040</v>
      </c>
      <c r="C202" s="2" t="s">
        <v>174</v>
      </c>
      <c r="D202" s="3" t="str">
        <f aca="false">INDEX(Vendedores!$C$2:$C$101,MATCH(C202,Vendedores!$A$2:$A$101,0))</f>
        <v>L07</v>
      </c>
      <c r="E202" s="3" t="str">
        <f aca="false">INDEX(Lojas!$E$2:$E$11,MATCH(D202,Lojas!$A$2:$A$11,0))</f>
        <v>Sul</v>
      </c>
      <c r="F202" s="2" t="s">
        <v>270</v>
      </c>
      <c r="G202" s="3" t="str">
        <f aca="false">INDEX(Produtos!$B$2:$B$11,MATCH(F202,Produtos!$A$2:$A$11,0))&amp;" "&amp;INDEX(Produtos!$C$2:$C$11,MATCH(F202,Produtos!$A$2:$A$11,0))</f>
        <v>Controle de Videogame Xbox</v>
      </c>
      <c r="H202" s="2" t="n">
        <v>1</v>
      </c>
      <c r="I202" s="5" t="n">
        <f aca="false">INDEX(Produtos!$D$2:$D$11,MATCH(F202,Produtos!$A$2:$A$11,0))</f>
        <v>349.9</v>
      </c>
      <c r="J202" s="5" t="n">
        <f aca="false">H202*I202</f>
        <v>349.9</v>
      </c>
      <c r="K202" s="5" t="n">
        <f aca="false">INDEX(Produtos!$E$2:$E$11,MATCH(F202,Produtos!$A$2:$A$11,0))</f>
        <v>215</v>
      </c>
      <c r="L202" s="5" t="n">
        <f aca="false">H202*K202</f>
        <v>215</v>
      </c>
    </row>
    <row r="203" customFormat="false" ht="15" hidden="false" customHeight="false" outlineLevel="0" collapsed="false">
      <c r="A203" s="2" t="s">
        <v>485</v>
      </c>
      <c r="B203" s="8" t="n">
        <v>46040</v>
      </c>
      <c r="C203" s="2" t="s">
        <v>209</v>
      </c>
      <c r="D203" s="3" t="str">
        <f aca="false">INDEX(Vendedores!$C$2:$C$101,MATCH(C203,Vendedores!$A$2:$A$101,0))</f>
        <v>L09</v>
      </c>
      <c r="E203" s="3" t="str">
        <f aca="false">INDEX(Lojas!$E$2:$E$11,MATCH(D203,Lojas!$A$2:$A$11,0))</f>
        <v>Nordeste</v>
      </c>
      <c r="F203" s="2" t="s">
        <v>262</v>
      </c>
      <c r="G203" s="3" t="str">
        <f aca="false">INDEX(Produtos!$B$2:$B$11,MATCH(F203,Produtos!$A$2:$A$11,0))&amp;" "&amp;INDEX(Produtos!$C$2:$C$11,MATCH(F203,Produtos!$A$2:$A$11,0))</f>
        <v>Fone de Ouvido De Celular</v>
      </c>
      <c r="H203" s="2" t="n">
        <v>2</v>
      </c>
      <c r="I203" s="5" t="n">
        <f aca="false">INDEX(Produtos!$D$2:$D$11,MATCH(F203,Produtos!$A$2:$A$11,0))</f>
        <v>59.9</v>
      </c>
      <c r="J203" s="5" t="n">
        <f aca="false">H203*I203</f>
        <v>119.8</v>
      </c>
      <c r="K203" s="5" t="n">
        <f aca="false">INDEX(Produtos!$E$2:$E$11,MATCH(F203,Produtos!$A$2:$A$11,0))</f>
        <v>28</v>
      </c>
      <c r="L203" s="5" t="n">
        <f aca="false">H203*K203</f>
        <v>56</v>
      </c>
    </row>
    <row r="204" customFormat="false" ht="15" hidden="false" customHeight="false" outlineLevel="0" collapsed="false">
      <c r="A204" s="2" t="s">
        <v>486</v>
      </c>
      <c r="B204" s="8" t="n">
        <v>46040</v>
      </c>
      <c r="C204" s="2" t="s">
        <v>96</v>
      </c>
      <c r="D204" s="3" t="str">
        <f aca="false">INDEX(Vendedores!$C$2:$C$101,MATCH(C204,Vendedores!$A$2:$A$101,0))</f>
        <v>L03</v>
      </c>
      <c r="E204" s="3" t="str">
        <f aca="false">INDEX(Lojas!$E$2:$E$11,MATCH(D204,Lojas!$A$2:$A$11,0))</f>
        <v>Sudeste</v>
      </c>
      <c r="F204" s="2" t="s">
        <v>257</v>
      </c>
      <c r="G204" s="3" t="str">
        <f aca="false">INDEX(Produtos!$B$2:$B$11,MATCH(F204,Produtos!$A$2:$A$11,0))&amp;" "&amp;INDEX(Produtos!$C$2:$C$11,MATCH(F204,Produtos!$A$2:$A$11,0))</f>
        <v>Celular Samsung</v>
      </c>
      <c r="H204" s="2" t="n">
        <v>3</v>
      </c>
      <c r="I204" s="5" t="n">
        <f aca="false">INDEX(Produtos!$D$2:$D$11,MATCH(F204,Produtos!$A$2:$A$11,0))</f>
        <v>2499</v>
      </c>
      <c r="J204" s="5" t="n">
        <f aca="false">H204*I204</f>
        <v>7497</v>
      </c>
      <c r="K204" s="5" t="n">
        <f aca="false">INDEX(Produtos!$E$2:$E$11,MATCH(F204,Produtos!$A$2:$A$11,0))</f>
        <v>1800</v>
      </c>
      <c r="L204" s="5" t="n">
        <f aca="false">H204*K204</f>
        <v>5400</v>
      </c>
    </row>
    <row r="205" customFormat="false" ht="15" hidden="false" customHeight="false" outlineLevel="0" collapsed="false">
      <c r="A205" s="2" t="s">
        <v>487</v>
      </c>
      <c r="B205" s="8" t="n">
        <v>46040</v>
      </c>
      <c r="C205" s="2" t="s">
        <v>239</v>
      </c>
      <c r="D205" s="3" t="str">
        <f aca="false">INDEX(Vendedores!$C$2:$C$101,MATCH(C205,Vendedores!$A$2:$A$101,0))</f>
        <v>L10</v>
      </c>
      <c r="E205" s="3" t="str">
        <f aca="false">INDEX(Lojas!$E$2:$E$11,MATCH(D205,Lojas!$A$2:$A$11,0))</f>
        <v>Nordeste</v>
      </c>
      <c r="F205" s="2" t="s">
        <v>255</v>
      </c>
      <c r="G205" s="3" t="str">
        <f aca="false">INDEX(Produtos!$B$2:$B$11,MATCH(F205,Produtos!$A$2:$A$11,0))&amp;" "&amp;INDEX(Produtos!$C$2:$C$11,MATCH(F205,Produtos!$A$2:$A$11,0))</f>
        <v>Notebook Positivo</v>
      </c>
      <c r="H205" s="2" t="n">
        <v>1</v>
      </c>
      <c r="I205" s="5" t="n">
        <f aca="false">INDEX(Produtos!$D$2:$D$11,MATCH(F205,Produtos!$A$2:$A$11,0))</f>
        <v>2199</v>
      </c>
      <c r="J205" s="5" t="n">
        <f aca="false">H205*I205</f>
        <v>2199</v>
      </c>
      <c r="K205" s="5" t="n">
        <f aca="false">INDEX(Produtos!$E$2:$E$11,MATCH(F205,Produtos!$A$2:$A$11,0))</f>
        <v>1550</v>
      </c>
      <c r="L205" s="5" t="n">
        <f aca="false">H205*K205</f>
        <v>1550</v>
      </c>
    </row>
    <row r="206" customFormat="false" ht="15" hidden="false" customHeight="false" outlineLevel="0" collapsed="false">
      <c r="A206" s="2" t="s">
        <v>488</v>
      </c>
      <c r="B206" s="8" t="n">
        <v>46040</v>
      </c>
      <c r="C206" s="2" t="s">
        <v>197</v>
      </c>
      <c r="D206" s="3" t="str">
        <f aca="false">INDEX(Vendedores!$C$2:$C$101,MATCH(C206,Vendedores!$A$2:$A$101,0))</f>
        <v>L08</v>
      </c>
      <c r="E206" s="3" t="str">
        <f aca="false">INDEX(Lojas!$E$2:$E$11,MATCH(D206,Lojas!$A$2:$A$11,0))</f>
        <v>Nordeste</v>
      </c>
      <c r="F206" s="2" t="s">
        <v>255</v>
      </c>
      <c r="G206" s="3" t="str">
        <f aca="false">INDEX(Produtos!$B$2:$B$11,MATCH(F206,Produtos!$A$2:$A$11,0))&amp;" "&amp;INDEX(Produtos!$C$2:$C$11,MATCH(F206,Produtos!$A$2:$A$11,0))</f>
        <v>Notebook Positivo</v>
      </c>
      <c r="H206" s="2" t="n">
        <v>2</v>
      </c>
      <c r="I206" s="5" t="n">
        <f aca="false">INDEX(Produtos!$D$2:$D$11,MATCH(F206,Produtos!$A$2:$A$11,0))</f>
        <v>2199</v>
      </c>
      <c r="J206" s="5" t="n">
        <f aca="false">H206*I206</f>
        <v>4398</v>
      </c>
      <c r="K206" s="5" t="n">
        <f aca="false">INDEX(Produtos!$E$2:$E$11,MATCH(F206,Produtos!$A$2:$A$11,0))</f>
        <v>1550</v>
      </c>
      <c r="L206" s="5" t="n">
        <f aca="false">H206*K206</f>
        <v>3100</v>
      </c>
    </row>
    <row r="207" customFormat="false" ht="15" hidden="false" customHeight="false" outlineLevel="0" collapsed="false">
      <c r="A207" s="2" t="s">
        <v>489</v>
      </c>
      <c r="B207" s="8" t="n">
        <v>46040</v>
      </c>
      <c r="C207" s="2" t="s">
        <v>172</v>
      </c>
      <c r="D207" s="3" t="str">
        <f aca="false">INDEX(Vendedores!$C$2:$C$101,MATCH(C207,Vendedores!$A$2:$A$101,0))</f>
        <v>L07</v>
      </c>
      <c r="E207" s="3" t="str">
        <f aca="false">INDEX(Lojas!$E$2:$E$11,MATCH(D207,Lojas!$A$2:$A$11,0))</f>
        <v>Sul</v>
      </c>
      <c r="F207" s="2" t="s">
        <v>260</v>
      </c>
      <c r="G207" s="3" t="str">
        <f aca="false">INDEX(Produtos!$B$2:$B$11,MATCH(F207,Produtos!$A$2:$A$11,0))&amp;" "&amp;INDEX(Produtos!$C$2:$C$11,MATCH(F207,Produtos!$A$2:$A$11,0))</f>
        <v>Celular Motorola</v>
      </c>
      <c r="H207" s="2" t="n">
        <v>2</v>
      </c>
      <c r="I207" s="5" t="n">
        <f aca="false">INDEX(Produtos!$D$2:$D$11,MATCH(F207,Produtos!$A$2:$A$11,0))</f>
        <v>1799</v>
      </c>
      <c r="J207" s="5" t="n">
        <f aca="false">H207*I207</f>
        <v>3598</v>
      </c>
      <c r="K207" s="5" t="n">
        <f aca="false">INDEX(Produtos!$E$2:$E$11,MATCH(F207,Produtos!$A$2:$A$11,0))</f>
        <v>1250</v>
      </c>
      <c r="L207" s="5" t="n">
        <f aca="false">H207*K207</f>
        <v>2500</v>
      </c>
    </row>
    <row r="208" customFormat="false" ht="15" hidden="false" customHeight="false" outlineLevel="0" collapsed="false">
      <c r="A208" s="2" t="s">
        <v>490</v>
      </c>
      <c r="B208" s="8" t="n">
        <v>46041</v>
      </c>
      <c r="C208" s="2" t="s">
        <v>223</v>
      </c>
      <c r="D208" s="3" t="str">
        <f aca="false">INDEX(Vendedores!$C$2:$C$101,MATCH(C208,Vendedores!$A$2:$A$101,0))</f>
        <v>L09</v>
      </c>
      <c r="E208" s="3" t="str">
        <f aca="false">INDEX(Lojas!$E$2:$E$11,MATCH(D208,Lojas!$A$2:$A$11,0))</f>
        <v>Nordeste</v>
      </c>
      <c r="F208" s="2" t="s">
        <v>252</v>
      </c>
      <c r="G208" s="3" t="str">
        <f aca="false">INDEX(Produtos!$B$2:$B$11,MATCH(F208,Produtos!$A$2:$A$11,0))&amp;" "&amp;INDEX(Produtos!$C$2:$C$11,MATCH(F208,Produtos!$A$2:$A$11,0))</f>
        <v>Notebook Lenovo</v>
      </c>
      <c r="H208" s="2" t="n">
        <v>1</v>
      </c>
      <c r="I208" s="5" t="n">
        <f aca="false">INDEX(Produtos!$D$2:$D$11,MATCH(F208,Produtos!$A$2:$A$11,0))</f>
        <v>3199</v>
      </c>
      <c r="J208" s="5" t="n">
        <f aca="false">H208*I208</f>
        <v>3199</v>
      </c>
      <c r="K208" s="5" t="n">
        <f aca="false">INDEX(Produtos!$E$2:$E$11,MATCH(F208,Produtos!$A$2:$A$11,0))</f>
        <v>2350</v>
      </c>
      <c r="L208" s="5" t="n">
        <f aca="false">H208*K208</f>
        <v>2350</v>
      </c>
    </row>
    <row r="209" customFormat="false" ht="15" hidden="false" customHeight="false" outlineLevel="0" collapsed="false">
      <c r="A209" s="2" t="s">
        <v>491</v>
      </c>
      <c r="B209" s="8" t="n">
        <v>46041</v>
      </c>
      <c r="C209" s="2" t="s">
        <v>92</v>
      </c>
      <c r="D209" s="3" t="str">
        <f aca="false">INDEX(Vendedores!$C$2:$C$101,MATCH(C209,Vendedores!$A$2:$A$101,0))</f>
        <v>L03</v>
      </c>
      <c r="E209" s="3" t="str">
        <f aca="false">INDEX(Lojas!$E$2:$E$11,MATCH(D209,Lojas!$A$2:$A$11,0))</f>
        <v>Sudeste</v>
      </c>
      <c r="F209" s="2" t="s">
        <v>252</v>
      </c>
      <c r="G209" s="3" t="str">
        <f aca="false">INDEX(Produtos!$B$2:$B$11,MATCH(F209,Produtos!$A$2:$A$11,0))&amp;" "&amp;INDEX(Produtos!$C$2:$C$11,MATCH(F209,Produtos!$A$2:$A$11,0))</f>
        <v>Notebook Lenovo</v>
      </c>
      <c r="H209" s="2" t="n">
        <v>1</v>
      </c>
      <c r="I209" s="5" t="n">
        <f aca="false">INDEX(Produtos!$D$2:$D$11,MATCH(F209,Produtos!$A$2:$A$11,0))</f>
        <v>3199</v>
      </c>
      <c r="J209" s="5" t="n">
        <f aca="false">H209*I209</f>
        <v>3199</v>
      </c>
      <c r="K209" s="5" t="n">
        <f aca="false">INDEX(Produtos!$E$2:$E$11,MATCH(F209,Produtos!$A$2:$A$11,0))</f>
        <v>2350</v>
      </c>
      <c r="L209" s="5" t="n">
        <f aca="false">H209*K209</f>
        <v>2350</v>
      </c>
    </row>
    <row r="210" customFormat="false" ht="15" hidden="false" customHeight="false" outlineLevel="0" collapsed="false">
      <c r="A210" s="2" t="s">
        <v>492</v>
      </c>
      <c r="B210" s="8" t="n">
        <v>46041</v>
      </c>
      <c r="C210" s="2" t="s">
        <v>213</v>
      </c>
      <c r="D210" s="3" t="str">
        <f aca="false">INDEX(Vendedores!$C$2:$C$101,MATCH(C210,Vendedores!$A$2:$A$101,0))</f>
        <v>L09</v>
      </c>
      <c r="E210" s="3" t="str">
        <f aca="false">INDEX(Lojas!$E$2:$E$11,MATCH(D210,Lojas!$A$2:$A$11,0))</f>
        <v>Nordeste</v>
      </c>
      <c r="F210" s="2" t="s">
        <v>255</v>
      </c>
      <c r="G210" s="3" t="str">
        <f aca="false">INDEX(Produtos!$B$2:$B$11,MATCH(F210,Produtos!$A$2:$A$11,0))&amp;" "&amp;INDEX(Produtos!$C$2:$C$11,MATCH(F210,Produtos!$A$2:$A$11,0))</f>
        <v>Notebook Positivo</v>
      </c>
      <c r="H210" s="2" t="n">
        <v>2</v>
      </c>
      <c r="I210" s="5" t="n">
        <f aca="false">INDEX(Produtos!$D$2:$D$11,MATCH(F210,Produtos!$A$2:$A$11,0))</f>
        <v>2199</v>
      </c>
      <c r="J210" s="5" t="n">
        <f aca="false">H210*I210</f>
        <v>4398</v>
      </c>
      <c r="K210" s="5" t="n">
        <f aca="false">INDEX(Produtos!$E$2:$E$11,MATCH(F210,Produtos!$A$2:$A$11,0))</f>
        <v>1550</v>
      </c>
      <c r="L210" s="5" t="n">
        <f aca="false">H210*K210</f>
        <v>3100</v>
      </c>
    </row>
    <row r="211" customFormat="false" ht="15" hidden="false" customHeight="false" outlineLevel="0" collapsed="false">
      <c r="A211" s="2" t="s">
        <v>493</v>
      </c>
      <c r="B211" s="8" t="n">
        <v>46041</v>
      </c>
      <c r="C211" s="2" t="s">
        <v>162</v>
      </c>
      <c r="D211" s="3" t="str">
        <f aca="false">INDEX(Vendedores!$C$2:$C$101,MATCH(C211,Vendedores!$A$2:$A$101,0))</f>
        <v>L06</v>
      </c>
      <c r="E211" s="3" t="str">
        <f aca="false">INDEX(Lojas!$E$2:$E$11,MATCH(D211,Lojas!$A$2:$A$11,0))</f>
        <v>Sul</v>
      </c>
      <c r="F211" s="2" t="s">
        <v>265</v>
      </c>
      <c r="G211" s="3" t="str">
        <f aca="false">INDEX(Produtos!$B$2:$B$11,MATCH(F211,Produtos!$A$2:$A$11,0))&amp;" "&amp;INDEX(Produtos!$C$2:$C$11,MATCH(F211,Produtos!$A$2:$A$11,0))</f>
        <v>Fone de Ouvido Headset</v>
      </c>
      <c r="H211" s="2" t="n">
        <v>1</v>
      </c>
      <c r="I211" s="5" t="n">
        <f aca="false">INDEX(Produtos!$D$2:$D$11,MATCH(F211,Produtos!$A$2:$A$11,0))</f>
        <v>249.9</v>
      </c>
      <c r="J211" s="5" t="n">
        <f aca="false">H211*I211</f>
        <v>249.9</v>
      </c>
      <c r="K211" s="5" t="n">
        <f aca="false">INDEX(Produtos!$E$2:$E$11,MATCH(F211,Produtos!$A$2:$A$11,0))</f>
        <v>145</v>
      </c>
      <c r="L211" s="5" t="n">
        <f aca="false">H211*K211</f>
        <v>145</v>
      </c>
    </row>
    <row r="212" customFormat="false" ht="15" hidden="false" customHeight="false" outlineLevel="0" collapsed="false">
      <c r="A212" s="2" t="s">
        <v>494</v>
      </c>
      <c r="B212" s="8" t="n">
        <v>46041</v>
      </c>
      <c r="C212" s="2" t="s">
        <v>62</v>
      </c>
      <c r="D212" s="3" t="str">
        <f aca="false">INDEX(Vendedores!$C$2:$C$101,MATCH(C212,Vendedores!$A$2:$A$101,0))</f>
        <v>L01</v>
      </c>
      <c r="E212" s="3" t="str">
        <f aca="false">INDEX(Lojas!$E$2:$E$11,MATCH(D212,Lojas!$A$2:$A$11,0))</f>
        <v>Sudeste</v>
      </c>
      <c r="F212" s="2" t="s">
        <v>252</v>
      </c>
      <c r="G212" s="3" t="str">
        <f aca="false">INDEX(Produtos!$B$2:$B$11,MATCH(F212,Produtos!$A$2:$A$11,0))&amp;" "&amp;INDEX(Produtos!$C$2:$C$11,MATCH(F212,Produtos!$A$2:$A$11,0))</f>
        <v>Notebook Lenovo</v>
      </c>
      <c r="H212" s="2" t="n">
        <v>1</v>
      </c>
      <c r="I212" s="5" t="n">
        <f aca="false">INDEX(Produtos!$D$2:$D$11,MATCH(F212,Produtos!$A$2:$A$11,0))</f>
        <v>3199</v>
      </c>
      <c r="J212" s="5" t="n">
        <f aca="false">H212*I212</f>
        <v>3199</v>
      </c>
      <c r="K212" s="5" t="n">
        <f aca="false">INDEX(Produtos!$E$2:$E$11,MATCH(F212,Produtos!$A$2:$A$11,0))</f>
        <v>2350</v>
      </c>
      <c r="L212" s="5" t="n">
        <f aca="false">H212*K212</f>
        <v>2350</v>
      </c>
    </row>
    <row r="213" customFormat="false" ht="15" hidden="false" customHeight="false" outlineLevel="0" collapsed="false">
      <c r="A213" s="2" t="s">
        <v>495</v>
      </c>
      <c r="B213" s="8" t="n">
        <v>46041</v>
      </c>
      <c r="C213" s="2" t="s">
        <v>60</v>
      </c>
      <c r="D213" s="3" t="str">
        <f aca="false">INDEX(Vendedores!$C$2:$C$101,MATCH(C213,Vendedores!$A$2:$A$101,0))</f>
        <v>L01</v>
      </c>
      <c r="E213" s="3" t="str">
        <f aca="false">INDEX(Lojas!$E$2:$E$11,MATCH(D213,Lojas!$A$2:$A$11,0))</f>
        <v>Sudeste</v>
      </c>
      <c r="F213" s="2" t="s">
        <v>265</v>
      </c>
      <c r="G213" s="3" t="str">
        <f aca="false">INDEX(Produtos!$B$2:$B$11,MATCH(F213,Produtos!$A$2:$A$11,0))&amp;" "&amp;INDEX(Produtos!$C$2:$C$11,MATCH(F213,Produtos!$A$2:$A$11,0))</f>
        <v>Fone de Ouvido Headset</v>
      </c>
      <c r="H213" s="2" t="n">
        <v>1</v>
      </c>
      <c r="I213" s="5" t="n">
        <f aca="false">INDEX(Produtos!$D$2:$D$11,MATCH(F213,Produtos!$A$2:$A$11,0))</f>
        <v>249.9</v>
      </c>
      <c r="J213" s="5" t="n">
        <f aca="false">H213*I213</f>
        <v>249.9</v>
      </c>
      <c r="K213" s="5" t="n">
        <f aca="false">INDEX(Produtos!$E$2:$E$11,MATCH(F213,Produtos!$A$2:$A$11,0))</f>
        <v>145</v>
      </c>
      <c r="L213" s="5" t="n">
        <f aca="false">H213*K213</f>
        <v>145</v>
      </c>
    </row>
    <row r="214" customFormat="false" ht="15" hidden="false" customHeight="false" outlineLevel="0" collapsed="false">
      <c r="A214" s="2" t="s">
        <v>496</v>
      </c>
      <c r="B214" s="8" t="n">
        <v>46041</v>
      </c>
      <c r="C214" s="2" t="s">
        <v>142</v>
      </c>
      <c r="D214" s="3" t="str">
        <f aca="false">INDEX(Vendedores!$C$2:$C$101,MATCH(C214,Vendedores!$A$2:$A$101,0))</f>
        <v>L05</v>
      </c>
      <c r="E214" s="3" t="str">
        <f aca="false">INDEX(Lojas!$E$2:$E$11,MATCH(D214,Lojas!$A$2:$A$11,0))</f>
        <v>Sul</v>
      </c>
      <c r="F214" s="2" t="s">
        <v>275</v>
      </c>
      <c r="G214" s="3" t="str">
        <f aca="false">INDEX(Produtos!$B$2:$B$11,MATCH(F214,Produtos!$A$2:$A$11,0))&amp;" "&amp;INDEX(Produtos!$C$2:$C$11,MATCH(F214,Produtos!$A$2:$A$11,0))</f>
        <v>Controle de Videogame PS5</v>
      </c>
      <c r="H214" s="2" t="n">
        <v>2</v>
      </c>
      <c r="I214" s="5" t="n">
        <f aca="false">INDEX(Produtos!$D$2:$D$11,MATCH(F214,Produtos!$A$2:$A$11,0))</f>
        <v>379.9</v>
      </c>
      <c r="J214" s="5" t="n">
        <f aca="false">H214*I214</f>
        <v>759.8</v>
      </c>
      <c r="K214" s="5" t="n">
        <f aca="false">INDEX(Produtos!$E$2:$E$11,MATCH(F214,Produtos!$A$2:$A$11,0))</f>
        <v>235</v>
      </c>
      <c r="L214" s="5" t="n">
        <f aca="false">H214*K214</f>
        <v>470</v>
      </c>
    </row>
    <row r="215" customFormat="false" ht="15" hidden="false" customHeight="false" outlineLevel="0" collapsed="false">
      <c r="A215" s="2" t="s">
        <v>497</v>
      </c>
      <c r="B215" s="8" t="n">
        <v>46041</v>
      </c>
      <c r="C215" s="2" t="s">
        <v>174</v>
      </c>
      <c r="D215" s="3" t="str">
        <f aca="false">INDEX(Vendedores!$C$2:$C$101,MATCH(C215,Vendedores!$A$2:$A$101,0))</f>
        <v>L07</v>
      </c>
      <c r="E215" s="3" t="str">
        <f aca="false">INDEX(Lojas!$E$2:$E$11,MATCH(D215,Lojas!$A$2:$A$11,0))</f>
        <v>Sul</v>
      </c>
      <c r="F215" s="2" t="s">
        <v>275</v>
      </c>
      <c r="G215" s="3" t="str">
        <f aca="false">INDEX(Produtos!$B$2:$B$11,MATCH(F215,Produtos!$A$2:$A$11,0))&amp;" "&amp;INDEX(Produtos!$C$2:$C$11,MATCH(F215,Produtos!$A$2:$A$11,0))</f>
        <v>Controle de Videogame PS5</v>
      </c>
      <c r="H215" s="2" t="n">
        <v>1</v>
      </c>
      <c r="I215" s="5" t="n">
        <f aca="false">INDEX(Produtos!$D$2:$D$11,MATCH(F215,Produtos!$A$2:$A$11,0))</f>
        <v>379.9</v>
      </c>
      <c r="J215" s="5" t="n">
        <f aca="false">H215*I215</f>
        <v>379.9</v>
      </c>
      <c r="K215" s="5" t="n">
        <f aca="false">INDEX(Produtos!$E$2:$E$11,MATCH(F215,Produtos!$A$2:$A$11,0))</f>
        <v>235</v>
      </c>
      <c r="L215" s="5" t="n">
        <f aca="false">H215*K215</f>
        <v>235</v>
      </c>
    </row>
    <row r="216" customFormat="false" ht="15" hidden="false" customHeight="false" outlineLevel="0" collapsed="false">
      <c r="A216" s="2" t="s">
        <v>498</v>
      </c>
      <c r="B216" s="8" t="n">
        <v>46041</v>
      </c>
      <c r="C216" s="2" t="s">
        <v>176</v>
      </c>
      <c r="D216" s="3" t="str">
        <f aca="false">INDEX(Vendedores!$C$2:$C$101,MATCH(C216,Vendedores!$A$2:$A$101,0))</f>
        <v>L07</v>
      </c>
      <c r="E216" s="3" t="str">
        <f aca="false">INDEX(Lojas!$E$2:$E$11,MATCH(D216,Lojas!$A$2:$A$11,0))</f>
        <v>Sul</v>
      </c>
      <c r="F216" s="2" t="s">
        <v>262</v>
      </c>
      <c r="G216" s="3" t="str">
        <f aca="false">INDEX(Produtos!$B$2:$B$11,MATCH(F216,Produtos!$A$2:$A$11,0))&amp;" "&amp;INDEX(Produtos!$C$2:$C$11,MATCH(F216,Produtos!$A$2:$A$11,0))</f>
        <v>Fone de Ouvido De Celular</v>
      </c>
      <c r="H216" s="2" t="n">
        <v>1</v>
      </c>
      <c r="I216" s="5" t="n">
        <f aca="false">INDEX(Produtos!$D$2:$D$11,MATCH(F216,Produtos!$A$2:$A$11,0))</f>
        <v>59.9</v>
      </c>
      <c r="J216" s="5" t="n">
        <f aca="false">H216*I216</f>
        <v>59.9</v>
      </c>
      <c r="K216" s="5" t="n">
        <f aca="false">INDEX(Produtos!$E$2:$E$11,MATCH(F216,Produtos!$A$2:$A$11,0))</f>
        <v>28</v>
      </c>
      <c r="L216" s="5" t="n">
        <f aca="false">H216*K216</f>
        <v>28</v>
      </c>
    </row>
    <row r="217" customFormat="false" ht="15" hidden="false" customHeight="false" outlineLevel="0" collapsed="false">
      <c r="A217" s="2" t="s">
        <v>499</v>
      </c>
      <c r="B217" s="8" t="n">
        <v>46041</v>
      </c>
      <c r="C217" s="2" t="s">
        <v>219</v>
      </c>
      <c r="D217" s="3" t="str">
        <f aca="false">INDEX(Vendedores!$C$2:$C$101,MATCH(C217,Vendedores!$A$2:$A$101,0))</f>
        <v>L09</v>
      </c>
      <c r="E217" s="3" t="str">
        <f aca="false">INDEX(Lojas!$E$2:$E$11,MATCH(D217,Lojas!$A$2:$A$11,0))</f>
        <v>Nordeste</v>
      </c>
      <c r="F217" s="2" t="s">
        <v>267</v>
      </c>
      <c r="G217" s="3" t="str">
        <f aca="false">INDEX(Produtos!$B$2:$B$11,MATCH(F217,Produtos!$A$2:$A$11,0))&amp;" "&amp;INDEX(Produtos!$C$2:$C$11,MATCH(F217,Produtos!$A$2:$A$11,0))</f>
        <v>Carregador de Celular Tipo C</v>
      </c>
      <c r="H217" s="2" t="n">
        <v>1</v>
      </c>
      <c r="I217" s="5" t="n">
        <f aca="false">INDEX(Produtos!$D$2:$D$11,MATCH(F217,Produtos!$A$2:$A$11,0))</f>
        <v>44.9</v>
      </c>
      <c r="J217" s="5" t="n">
        <f aca="false">H217*I217</f>
        <v>44.9</v>
      </c>
      <c r="K217" s="5" t="n">
        <f aca="false">INDEX(Produtos!$E$2:$E$11,MATCH(F217,Produtos!$A$2:$A$11,0))</f>
        <v>18</v>
      </c>
      <c r="L217" s="5" t="n">
        <f aca="false">H217*K217</f>
        <v>18</v>
      </c>
    </row>
    <row r="218" customFormat="false" ht="15" hidden="false" customHeight="false" outlineLevel="0" collapsed="false">
      <c r="A218" s="2" t="s">
        <v>500</v>
      </c>
      <c r="B218" s="8" t="n">
        <v>46042</v>
      </c>
      <c r="C218" s="2" t="s">
        <v>235</v>
      </c>
      <c r="D218" s="3" t="str">
        <f aca="false">INDEX(Vendedores!$C$2:$C$101,MATCH(C218,Vendedores!$A$2:$A$101,0))</f>
        <v>L10</v>
      </c>
      <c r="E218" s="3" t="str">
        <f aca="false">INDEX(Lojas!$E$2:$E$11,MATCH(D218,Lojas!$A$2:$A$11,0))</f>
        <v>Nordeste</v>
      </c>
      <c r="F218" s="2" t="s">
        <v>273</v>
      </c>
      <c r="G218" s="3" t="str">
        <f aca="false">INDEX(Produtos!$B$2:$B$11,MATCH(F218,Produtos!$A$2:$A$11,0))&amp;" "&amp;INDEX(Produtos!$C$2:$C$11,MATCH(F218,Produtos!$A$2:$A$11,0))</f>
        <v>Controle de Videogame PS4</v>
      </c>
      <c r="H218" s="2" t="n">
        <v>2</v>
      </c>
      <c r="I218" s="5" t="n">
        <f aca="false">INDEX(Produtos!$D$2:$D$11,MATCH(F218,Produtos!$A$2:$A$11,0))</f>
        <v>299.9</v>
      </c>
      <c r="J218" s="5" t="n">
        <f aca="false">H218*I218</f>
        <v>599.8</v>
      </c>
      <c r="K218" s="5" t="n">
        <f aca="false">INDEX(Produtos!$E$2:$E$11,MATCH(F218,Produtos!$A$2:$A$11,0))</f>
        <v>175</v>
      </c>
      <c r="L218" s="5" t="n">
        <f aca="false">H218*K218</f>
        <v>350</v>
      </c>
    </row>
    <row r="219" customFormat="false" ht="15" hidden="false" customHeight="false" outlineLevel="0" collapsed="false">
      <c r="A219" s="2" t="s">
        <v>501</v>
      </c>
      <c r="B219" s="8" t="n">
        <v>46042</v>
      </c>
      <c r="C219" s="2" t="s">
        <v>193</v>
      </c>
      <c r="D219" s="3" t="str">
        <f aca="false">INDEX(Vendedores!$C$2:$C$101,MATCH(C219,Vendedores!$A$2:$A$101,0))</f>
        <v>L08</v>
      </c>
      <c r="E219" s="3" t="str">
        <f aca="false">INDEX(Lojas!$E$2:$E$11,MATCH(D219,Lojas!$A$2:$A$11,0))</f>
        <v>Nordeste</v>
      </c>
      <c r="F219" s="2" t="s">
        <v>255</v>
      </c>
      <c r="G219" s="3" t="str">
        <f aca="false">INDEX(Produtos!$B$2:$B$11,MATCH(F219,Produtos!$A$2:$A$11,0))&amp;" "&amp;INDEX(Produtos!$C$2:$C$11,MATCH(F219,Produtos!$A$2:$A$11,0))</f>
        <v>Notebook Positivo</v>
      </c>
      <c r="H219" s="2" t="n">
        <v>1</v>
      </c>
      <c r="I219" s="5" t="n">
        <f aca="false">INDEX(Produtos!$D$2:$D$11,MATCH(F219,Produtos!$A$2:$A$11,0))</f>
        <v>2199</v>
      </c>
      <c r="J219" s="5" t="n">
        <f aca="false">H219*I219</f>
        <v>2199</v>
      </c>
      <c r="K219" s="5" t="n">
        <f aca="false">INDEX(Produtos!$E$2:$E$11,MATCH(F219,Produtos!$A$2:$A$11,0))</f>
        <v>1550</v>
      </c>
      <c r="L219" s="5" t="n">
        <f aca="false">H219*K219</f>
        <v>1550</v>
      </c>
    </row>
    <row r="220" customFormat="false" ht="15" hidden="false" customHeight="false" outlineLevel="0" collapsed="false">
      <c r="A220" s="2" t="s">
        <v>502</v>
      </c>
      <c r="B220" s="8" t="n">
        <v>46042</v>
      </c>
      <c r="C220" s="2" t="s">
        <v>168</v>
      </c>
      <c r="D220" s="3" t="str">
        <f aca="false">INDEX(Vendedores!$C$2:$C$101,MATCH(C220,Vendedores!$A$2:$A$101,0))</f>
        <v>L07</v>
      </c>
      <c r="E220" s="3" t="str">
        <f aca="false">INDEX(Lojas!$E$2:$E$11,MATCH(D220,Lojas!$A$2:$A$11,0))</f>
        <v>Sul</v>
      </c>
      <c r="F220" s="2" t="s">
        <v>265</v>
      </c>
      <c r="G220" s="3" t="str">
        <f aca="false">INDEX(Produtos!$B$2:$B$11,MATCH(F220,Produtos!$A$2:$A$11,0))&amp;" "&amp;INDEX(Produtos!$C$2:$C$11,MATCH(F220,Produtos!$A$2:$A$11,0))</f>
        <v>Fone de Ouvido Headset</v>
      </c>
      <c r="H220" s="2" t="n">
        <v>2</v>
      </c>
      <c r="I220" s="5" t="n">
        <f aca="false">INDEX(Produtos!$D$2:$D$11,MATCH(F220,Produtos!$A$2:$A$11,0))</f>
        <v>249.9</v>
      </c>
      <c r="J220" s="5" t="n">
        <f aca="false">H220*I220</f>
        <v>499.8</v>
      </c>
      <c r="K220" s="5" t="n">
        <f aca="false">INDEX(Produtos!$E$2:$E$11,MATCH(F220,Produtos!$A$2:$A$11,0))</f>
        <v>145</v>
      </c>
      <c r="L220" s="5" t="n">
        <f aca="false">H220*K220</f>
        <v>290</v>
      </c>
    </row>
    <row r="221" customFormat="false" ht="15" hidden="false" customHeight="false" outlineLevel="0" collapsed="false">
      <c r="A221" s="2" t="s">
        <v>503</v>
      </c>
      <c r="B221" s="8" t="n">
        <v>46042</v>
      </c>
      <c r="C221" s="2" t="s">
        <v>187</v>
      </c>
      <c r="D221" s="3" t="str">
        <f aca="false">INDEX(Vendedores!$C$2:$C$101,MATCH(C221,Vendedores!$A$2:$A$101,0))</f>
        <v>L08</v>
      </c>
      <c r="E221" s="3" t="str">
        <f aca="false">INDEX(Lojas!$E$2:$E$11,MATCH(D221,Lojas!$A$2:$A$11,0))</f>
        <v>Nordeste</v>
      </c>
      <c r="F221" s="2" t="s">
        <v>257</v>
      </c>
      <c r="G221" s="3" t="str">
        <f aca="false">INDEX(Produtos!$B$2:$B$11,MATCH(F221,Produtos!$A$2:$A$11,0))&amp;" "&amp;INDEX(Produtos!$C$2:$C$11,MATCH(F221,Produtos!$A$2:$A$11,0))</f>
        <v>Celular Samsung</v>
      </c>
      <c r="H221" s="2" t="n">
        <v>1</v>
      </c>
      <c r="I221" s="5" t="n">
        <f aca="false">INDEX(Produtos!$D$2:$D$11,MATCH(F221,Produtos!$A$2:$A$11,0))</f>
        <v>2499</v>
      </c>
      <c r="J221" s="5" t="n">
        <f aca="false">H221*I221</f>
        <v>2499</v>
      </c>
      <c r="K221" s="5" t="n">
        <f aca="false">INDEX(Produtos!$E$2:$E$11,MATCH(F221,Produtos!$A$2:$A$11,0))</f>
        <v>1800</v>
      </c>
      <c r="L221" s="5" t="n">
        <f aca="false">H221*K221</f>
        <v>1800</v>
      </c>
    </row>
    <row r="222" customFormat="false" ht="15" hidden="false" customHeight="false" outlineLevel="0" collapsed="false">
      <c r="A222" s="2" t="s">
        <v>504</v>
      </c>
      <c r="B222" s="8" t="n">
        <v>46042</v>
      </c>
      <c r="C222" s="2" t="s">
        <v>187</v>
      </c>
      <c r="D222" s="3" t="str">
        <f aca="false">INDEX(Vendedores!$C$2:$C$101,MATCH(C222,Vendedores!$A$2:$A$101,0))</f>
        <v>L08</v>
      </c>
      <c r="E222" s="3" t="str">
        <f aca="false">INDEX(Lojas!$E$2:$E$11,MATCH(D222,Lojas!$A$2:$A$11,0))</f>
        <v>Nordeste</v>
      </c>
      <c r="F222" s="2" t="s">
        <v>260</v>
      </c>
      <c r="G222" s="3" t="str">
        <f aca="false">INDEX(Produtos!$B$2:$B$11,MATCH(F222,Produtos!$A$2:$A$11,0))&amp;" "&amp;INDEX(Produtos!$C$2:$C$11,MATCH(F222,Produtos!$A$2:$A$11,0))</f>
        <v>Celular Motorola</v>
      </c>
      <c r="H222" s="2" t="n">
        <v>1</v>
      </c>
      <c r="I222" s="5" t="n">
        <f aca="false">INDEX(Produtos!$D$2:$D$11,MATCH(F222,Produtos!$A$2:$A$11,0))</f>
        <v>1799</v>
      </c>
      <c r="J222" s="5" t="n">
        <f aca="false">H222*I222</f>
        <v>1799</v>
      </c>
      <c r="K222" s="5" t="n">
        <f aca="false">INDEX(Produtos!$E$2:$E$11,MATCH(F222,Produtos!$A$2:$A$11,0))</f>
        <v>1250</v>
      </c>
      <c r="L222" s="5" t="n">
        <f aca="false">H222*K222</f>
        <v>1250</v>
      </c>
    </row>
    <row r="223" customFormat="false" ht="15" hidden="false" customHeight="false" outlineLevel="0" collapsed="false">
      <c r="A223" s="2" t="s">
        <v>505</v>
      </c>
      <c r="B223" s="8" t="n">
        <v>46042</v>
      </c>
      <c r="C223" s="2" t="s">
        <v>225</v>
      </c>
      <c r="D223" s="3" t="str">
        <f aca="false">INDEX(Vendedores!$C$2:$C$101,MATCH(C223,Vendedores!$A$2:$A$101,0))</f>
        <v>L10</v>
      </c>
      <c r="E223" s="3" t="str">
        <f aca="false">INDEX(Lojas!$E$2:$E$11,MATCH(D223,Lojas!$A$2:$A$11,0))</f>
        <v>Nordeste</v>
      </c>
      <c r="F223" s="2" t="s">
        <v>255</v>
      </c>
      <c r="G223" s="3" t="str">
        <f aca="false">INDEX(Produtos!$B$2:$B$11,MATCH(F223,Produtos!$A$2:$A$11,0))&amp;" "&amp;INDEX(Produtos!$C$2:$C$11,MATCH(F223,Produtos!$A$2:$A$11,0))</f>
        <v>Notebook Positivo</v>
      </c>
      <c r="H223" s="2" t="n">
        <v>1</v>
      </c>
      <c r="I223" s="5" t="n">
        <f aca="false">INDEX(Produtos!$D$2:$D$11,MATCH(F223,Produtos!$A$2:$A$11,0))</f>
        <v>2199</v>
      </c>
      <c r="J223" s="5" t="n">
        <f aca="false">H223*I223</f>
        <v>2199</v>
      </c>
      <c r="K223" s="5" t="n">
        <f aca="false">INDEX(Produtos!$E$2:$E$11,MATCH(F223,Produtos!$A$2:$A$11,0))</f>
        <v>1550</v>
      </c>
      <c r="L223" s="5" t="n">
        <f aca="false">H223*K223</f>
        <v>1550</v>
      </c>
    </row>
    <row r="224" customFormat="false" ht="15" hidden="false" customHeight="false" outlineLevel="0" collapsed="false">
      <c r="A224" s="2" t="s">
        <v>506</v>
      </c>
      <c r="B224" s="8" t="n">
        <v>46042</v>
      </c>
      <c r="C224" s="2" t="s">
        <v>183</v>
      </c>
      <c r="D224" s="3" t="str">
        <f aca="false">INDEX(Vendedores!$C$2:$C$101,MATCH(C224,Vendedores!$A$2:$A$101,0))</f>
        <v>L07</v>
      </c>
      <c r="E224" s="3" t="str">
        <f aca="false">INDEX(Lojas!$E$2:$E$11,MATCH(D224,Lojas!$A$2:$A$11,0))</f>
        <v>Sul</v>
      </c>
      <c r="F224" s="2" t="s">
        <v>262</v>
      </c>
      <c r="G224" s="3" t="str">
        <f aca="false">INDEX(Produtos!$B$2:$B$11,MATCH(F224,Produtos!$A$2:$A$11,0))&amp;" "&amp;INDEX(Produtos!$C$2:$C$11,MATCH(F224,Produtos!$A$2:$A$11,0))</f>
        <v>Fone de Ouvido De Celular</v>
      </c>
      <c r="H224" s="2" t="n">
        <v>1</v>
      </c>
      <c r="I224" s="5" t="n">
        <f aca="false">INDEX(Produtos!$D$2:$D$11,MATCH(F224,Produtos!$A$2:$A$11,0))</f>
        <v>59.9</v>
      </c>
      <c r="J224" s="5" t="n">
        <f aca="false">H224*I224</f>
        <v>59.9</v>
      </c>
      <c r="K224" s="5" t="n">
        <f aca="false">INDEX(Produtos!$E$2:$E$11,MATCH(F224,Produtos!$A$2:$A$11,0))</f>
        <v>28</v>
      </c>
      <c r="L224" s="5" t="n">
        <f aca="false">H224*K224</f>
        <v>28</v>
      </c>
    </row>
    <row r="225" customFormat="false" ht="15" hidden="false" customHeight="false" outlineLevel="0" collapsed="false">
      <c r="A225" s="2" t="s">
        <v>507</v>
      </c>
      <c r="B225" s="8" t="n">
        <v>46042</v>
      </c>
      <c r="C225" s="2" t="s">
        <v>78</v>
      </c>
      <c r="D225" s="3" t="str">
        <f aca="false">INDEX(Vendedores!$C$2:$C$101,MATCH(C225,Vendedores!$A$2:$A$101,0))</f>
        <v>L02</v>
      </c>
      <c r="E225" s="3" t="str">
        <f aca="false">INDEX(Lojas!$E$2:$E$11,MATCH(D225,Lojas!$A$2:$A$11,0))</f>
        <v>Sudeste</v>
      </c>
      <c r="F225" s="2" t="s">
        <v>265</v>
      </c>
      <c r="G225" s="3" t="str">
        <f aca="false">INDEX(Produtos!$B$2:$B$11,MATCH(F225,Produtos!$A$2:$A$11,0))&amp;" "&amp;INDEX(Produtos!$C$2:$C$11,MATCH(F225,Produtos!$A$2:$A$11,0))</f>
        <v>Fone de Ouvido Headset</v>
      </c>
      <c r="H225" s="2" t="n">
        <v>1</v>
      </c>
      <c r="I225" s="5" t="n">
        <f aca="false">INDEX(Produtos!$D$2:$D$11,MATCH(F225,Produtos!$A$2:$A$11,0))</f>
        <v>249.9</v>
      </c>
      <c r="J225" s="5" t="n">
        <f aca="false">H225*I225</f>
        <v>249.9</v>
      </c>
      <c r="K225" s="5" t="n">
        <f aca="false">INDEX(Produtos!$E$2:$E$11,MATCH(F225,Produtos!$A$2:$A$11,0))</f>
        <v>145</v>
      </c>
      <c r="L225" s="5" t="n">
        <f aca="false">H225*K225</f>
        <v>145</v>
      </c>
    </row>
    <row r="226" customFormat="false" ht="15" hidden="false" customHeight="false" outlineLevel="0" collapsed="false">
      <c r="A226" s="2" t="s">
        <v>508</v>
      </c>
      <c r="B226" s="8" t="n">
        <v>46042</v>
      </c>
      <c r="C226" s="2" t="s">
        <v>231</v>
      </c>
      <c r="D226" s="3" t="str">
        <f aca="false">INDEX(Vendedores!$C$2:$C$101,MATCH(C226,Vendedores!$A$2:$A$101,0))</f>
        <v>L10</v>
      </c>
      <c r="E226" s="3" t="str">
        <f aca="false">INDEX(Lojas!$E$2:$E$11,MATCH(D226,Lojas!$A$2:$A$11,0))</f>
        <v>Nordeste</v>
      </c>
      <c r="F226" s="2" t="s">
        <v>267</v>
      </c>
      <c r="G226" s="3" t="str">
        <f aca="false">INDEX(Produtos!$B$2:$B$11,MATCH(F226,Produtos!$A$2:$A$11,0))&amp;" "&amp;INDEX(Produtos!$C$2:$C$11,MATCH(F226,Produtos!$A$2:$A$11,0))</f>
        <v>Carregador de Celular Tipo C</v>
      </c>
      <c r="H226" s="2" t="n">
        <v>2</v>
      </c>
      <c r="I226" s="5" t="n">
        <f aca="false">INDEX(Produtos!$D$2:$D$11,MATCH(F226,Produtos!$A$2:$A$11,0))</f>
        <v>44.9</v>
      </c>
      <c r="J226" s="5" t="n">
        <f aca="false">H226*I226</f>
        <v>89.8</v>
      </c>
      <c r="K226" s="5" t="n">
        <f aca="false">INDEX(Produtos!$E$2:$E$11,MATCH(F226,Produtos!$A$2:$A$11,0))</f>
        <v>18</v>
      </c>
      <c r="L226" s="5" t="n">
        <f aca="false">H226*K226</f>
        <v>36</v>
      </c>
    </row>
    <row r="227" customFormat="false" ht="15" hidden="false" customHeight="false" outlineLevel="0" collapsed="false">
      <c r="A227" s="2" t="s">
        <v>509</v>
      </c>
      <c r="B227" s="8" t="n">
        <v>46042</v>
      </c>
      <c r="C227" s="2" t="s">
        <v>174</v>
      </c>
      <c r="D227" s="3" t="str">
        <f aca="false">INDEX(Vendedores!$C$2:$C$101,MATCH(C227,Vendedores!$A$2:$A$101,0))</f>
        <v>L07</v>
      </c>
      <c r="E227" s="3" t="str">
        <f aca="false">INDEX(Lojas!$E$2:$E$11,MATCH(D227,Lojas!$A$2:$A$11,0))</f>
        <v>Sul</v>
      </c>
      <c r="F227" s="2" t="s">
        <v>262</v>
      </c>
      <c r="G227" s="3" t="str">
        <f aca="false">INDEX(Produtos!$B$2:$B$11,MATCH(F227,Produtos!$A$2:$A$11,0))&amp;" "&amp;INDEX(Produtos!$C$2:$C$11,MATCH(F227,Produtos!$A$2:$A$11,0))</f>
        <v>Fone de Ouvido De Celular</v>
      </c>
      <c r="H227" s="2" t="n">
        <v>1</v>
      </c>
      <c r="I227" s="5" t="n">
        <f aca="false">INDEX(Produtos!$D$2:$D$11,MATCH(F227,Produtos!$A$2:$A$11,0))</f>
        <v>59.9</v>
      </c>
      <c r="J227" s="5" t="n">
        <f aca="false">H227*I227</f>
        <v>59.9</v>
      </c>
      <c r="K227" s="5" t="n">
        <f aca="false">INDEX(Produtos!$E$2:$E$11,MATCH(F227,Produtos!$A$2:$A$11,0))</f>
        <v>28</v>
      </c>
      <c r="L227" s="5" t="n">
        <f aca="false">H227*K227</f>
        <v>28</v>
      </c>
    </row>
    <row r="228" customFormat="false" ht="15" hidden="false" customHeight="false" outlineLevel="0" collapsed="false">
      <c r="A228" s="2" t="s">
        <v>510</v>
      </c>
      <c r="B228" s="8" t="n">
        <v>46042</v>
      </c>
      <c r="C228" s="2" t="s">
        <v>114</v>
      </c>
      <c r="D228" s="3" t="str">
        <f aca="false">INDEX(Vendedores!$C$2:$C$101,MATCH(C228,Vendedores!$A$2:$A$101,0))</f>
        <v>L04</v>
      </c>
      <c r="E228" s="3" t="str">
        <f aca="false">INDEX(Lojas!$E$2:$E$11,MATCH(D228,Lojas!$A$2:$A$11,0))</f>
        <v>Sudeste</v>
      </c>
      <c r="F228" s="2" t="s">
        <v>270</v>
      </c>
      <c r="G228" s="3" t="str">
        <f aca="false">INDEX(Produtos!$B$2:$B$11,MATCH(F228,Produtos!$A$2:$A$11,0))&amp;" "&amp;INDEX(Produtos!$C$2:$C$11,MATCH(F228,Produtos!$A$2:$A$11,0))</f>
        <v>Controle de Videogame Xbox</v>
      </c>
      <c r="H228" s="2" t="n">
        <v>2</v>
      </c>
      <c r="I228" s="5" t="n">
        <f aca="false">INDEX(Produtos!$D$2:$D$11,MATCH(F228,Produtos!$A$2:$A$11,0))</f>
        <v>349.9</v>
      </c>
      <c r="J228" s="5" t="n">
        <f aca="false">H228*I228</f>
        <v>699.8</v>
      </c>
      <c r="K228" s="5" t="n">
        <f aca="false">INDEX(Produtos!$E$2:$E$11,MATCH(F228,Produtos!$A$2:$A$11,0))</f>
        <v>215</v>
      </c>
      <c r="L228" s="5" t="n">
        <f aca="false">H228*K228</f>
        <v>430</v>
      </c>
    </row>
    <row r="229" customFormat="false" ht="15" hidden="false" customHeight="false" outlineLevel="0" collapsed="false">
      <c r="A229" s="2" t="s">
        <v>511</v>
      </c>
      <c r="B229" s="8" t="n">
        <v>46042</v>
      </c>
      <c r="C229" s="2" t="s">
        <v>74</v>
      </c>
      <c r="D229" s="3" t="str">
        <f aca="false">INDEX(Vendedores!$C$2:$C$101,MATCH(C229,Vendedores!$A$2:$A$101,0))</f>
        <v>L02</v>
      </c>
      <c r="E229" s="3" t="str">
        <f aca="false">INDEX(Lojas!$E$2:$E$11,MATCH(D229,Lojas!$A$2:$A$11,0))</f>
        <v>Sudeste</v>
      </c>
      <c r="F229" s="2" t="s">
        <v>252</v>
      </c>
      <c r="G229" s="3" t="str">
        <f aca="false">INDEX(Produtos!$B$2:$B$11,MATCH(F229,Produtos!$A$2:$A$11,0))&amp;" "&amp;INDEX(Produtos!$C$2:$C$11,MATCH(F229,Produtos!$A$2:$A$11,0))</f>
        <v>Notebook Lenovo</v>
      </c>
      <c r="H229" s="2" t="n">
        <v>1</v>
      </c>
      <c r="I229" s="5" t="n">
        <f aca="false">INDEX(Produtos!$D$2:$D$11,MATCH(F229,Produtos!$A$2:$A$11,0))</f>
        <v>3199</v>
      </c>
      <c r="J229" s="5" t="n">
        <f aca="false">H229*I229</f>
        <v>3199</v>
      </c>
      <c r="K229" s="5" t="n">
        <f aca="false">INDEX(Produtos!$E$2:$E$11,MATCH(F229,Produtos!$A$2:$A$11,0))</f>
        <v>2350</v>
      </c>
      <c r="L229" s="5" t="n">
        <f aca="false">H229*K229</f>
        <v>2350</v>
      </c>
    </row>
    <row r="230" customFormat="false" ht="15" hidden="false" customHeight="false" outlineLevel="0" collapsed="false">
      <c r="A230" s="2" t="s">
        <v>512</v>
      </c>
      <c r="B230" s="8" t="n">
        <v>46043</v>
      </c>
      <c r="C230" s="2" t="s">
        <v>126</v>
      </c>
      <c r="D230" s="3" t="str">
        <f aca="false">INDEX(Vendedores!$C$2:$C$101,MATCH(C230,Vendedores!$A$2:$A$101,0))</f>
        <v>L04</v>
      </c>
      <c r="E230" s="3" t="str">
        <f aca="false">INDEX(Lojas!$E$2:$E$11,MATCH(D230,Lojas!$A$2:$A$11,0))</f>
        <v>Sudeste</v>
      </c>
      <c r="F230" s="2" t="s">
        <v>265</v>
      </c>
      <c r="G230" s="3" t="str">
        <f aca="false">INDEX(Produtos!$B$2:$B$11,MATCH(F230,Produtos!$A$2:$A$11,0))&amp;" "&amp;INDEX(Produtos!$C$2:$C$11,MATCH(F230,Produtos!$A$2:$A$11,0))</f>
        <v>Fone de Ouvido Headset</v>
      </c>
      <c r="H230" s="2" t="n">
        <v>2</v>
      </c>
      <c r="I230" s="5" t="n">
        <f aca="false">INDEX(Produtos!$D$2:$D$11,MATCH(F230,Produtos!$A$2:$A$11,0))</f>
        <v>249.9</v>
      </c>
      <c r="J230" s="5" t="n">
        <f aca="false">H230*I230</f>
        <v>499.8</v>
      </c>
      <c r="K230" s="5" t="n">
        <f aca="false">INDEX(Produtos!$E$2:$E$11,MATCH(F230,Produtos!$A$2:$A$11,0))</f>
        <v>145</v>
      </c>
      <c r="L230" s="5" t="n">
        <f aca="false">H230*K230</f>
        <v>290</v>
      </c>
    </row>
    <row r="231" customFormat="false" ht="15" hidden="false" customHeight="false" outlineLevel="0" collapsed="false">
      <c r="A231" s="2" t="s">
        <v>513</v>
      </c>
      <c r="B231" s="8" t="n">
        <v>46043</v>
      </c>
      <c r="C231" s="2" t="s">
        <v>146</v>
      </c>
      <c r="D231" s="3" t="str">
        <f aca="false">INDEX(Vendedores!$C$2:$C$101,MATCH(C231,Vendedores!$A$2:$A$101,0))</f>
        <v>L05</v>
      </c>
      <c r="E231" s="3" t="str">
        <f aca="false">INDEX(Lojas!$E$2:$E$11,MATCH(D231,Lojas!$A$2:$A$11,0))</f>
        <v>Sul</v>
      </c>
      <c r="F231" s="2" t="s">
        <v>262</v>
      </c>
      <c r="G231" s="3" t="str">
        <f aca="false">INDEX(Produtos!$B$2:$B$11,MATCH(F231,Produtos!$A$2:$A$11,0))&amp;" "&amp;INDEX(Produtos!$C$2:$C$11,MATCH(F231,Produtos!$A$2:$A$11,0))</f>
        <v>Fone de Ouvido De Celular</v>
      </c>
      <c r="H231" s="2" t="n">
        <v>1</v>
      </c>
      <c r="I231" s="5" t="n">
        <f aca="false">INDEX(Produtos!$D$2:$D$11,MATCH(F231,Produtos!$A$2:$A$11,0))</f>
        <v>59.9</v>
      </c>
      <c r="J231" s="5" t="n">
        <f aca="false">H231*I231</f>
        <v>59.9</v>
      </c>
      <c r="K231" s="5" t="n">
        <f aca="false">INDEX(Produtos!$E$2:$E$11,MATCH(F231,Produtos!$A$2:$A$11,0))</f>
        <v>28</v>
      </c>
      <c r="L231" s="5" t="n">
        <f aca="false">H231*K231</f>
        <v>28</v>
      </c>
    </row>
    <row r="232" customFormat="false" ht="15" hidden="false" customHeight="false" outlineLevel="0" collapsed="false">
      <c r="A232" s="2" t="s">
        <v>514</v>
      </c>
      <c r="B232" s="8" t="n">
        <v>46043</v>
      </c>
      <c r="C232" s="2" t="s">
        <v>148</v>
      </c>
      <c r="D232" s="3" t="str">
        <f aca="false">INDEX(Vendedores!$C$2:$C$101,MATCH(C232,Vendedores!$A$2:$A$101,0))</f>
        <v>L06</v>
      </c>
      <c r="E232" s="3" t="str">
        <f aca="false">INDEX(Lojas!$E$2:$E$11,MATCH(D232,Lojas!$A$2:$A$11,0))</f>
        <v>Sul</v>
      </c>
      <c r="F232" s="2" t="s">
        <v>270</v>
      </c>
      <c r="G232" s="3" t="str">
        <f aca="false">INDEX(Produtos!$B$2:$B$11,MATCH(F232,Produtos!$A$2:$A$11,0))&amp;" "&amp;INDEX(Produtos!$C$2:$C$11,MATCH(F232,Produtos!$A$2:$A$11,0))</f>
        <v>Controle de Videogame Xbox</v>
      </c>
      <c r="H232" s="2" t="n">
        <v>2</v>
      </c>
      <c r="I232" s="5" t="n">
        <f aca="false">INDEX(Produtos!$D$2:$D$11,MATCH(F232,Produtos!$A$2:$A$11,0))</f>
        <v>349.9</v>
      </c>
      <c r="J232" s="5" t="n">
        <f aca="false">H232*I232</f>
        <v>699.8</v>
      </c>
      <c r="K232" s="5" t="n">
        <f aca="false">INDEX(Produtos!$E$2:$E$11,MATCH(F232,Produtos!$A$2:$A$11,0))</f>
        <v>215</v>
      </c>
      <c r="L232" s="5" t="n">
        <f aca="false">H232*K232</f>
        <v>430</v>
      </c>
    </row>
    <row r="233" customFormat="false" ht="15" hidden="false" customHeight="false" outlineLevel="0" collapsed="false">
      <c r="A233" s="2" t="s">
        <v>515</v>
      </c>
      <c r="B233" s="8" t="n">
        <v>46043</v>
      </c>
      <c r="C233" s="2" t="s">
        <v>213</v>
      </c>
      <c r="D233" s="3" t="str">
        <f aca="false">INDEX(Vendedores!$C$2:$C$101,MATCH(C233,Vendedores!$A$2:$A$101,0))</f>
        <v>L09</v>
      </c>
      <c r="E233" s="3" t="str">
        <f aca="false">INDEX(Lojas!$E$2:$E$11,MATCH(D233,Lojas!$A$2:$A$11,0))</f>
        <v>Nordeste</v>
      </c>
      <c r="F233" s="2" t="s">
        <v>267</v>
      </c>
      <c r="G233" s="3" t="str">
        <f aca="false">INDEX(Produtos!$B$2:$B$11,MATCH(F233,Produtos!$A$2:$A$11,0))&amp;" "&amp;INDEX(Produtos!$C$2:$C$11,MATCH(F233,Produtos!$A$2:$A$11,0))</f>
        <v>Carregador de Celular Tipo C</v>
      </c>
      <c r="H233" s="2" t="n">
        <v>1</v>
      </c>
      <c r="I233" s="5" t="n">
        <f aca="false">INDEX(Produtos!$D$2:$D$11,MATCH(F233,Produtos!$A$2:$A$11,0))</f>
        <v>44.9</v>
      </c>
      <c r="J233" s="5" t="n">
        <f aca="false">H233*I233</f>
        <v>44.9</v>
      </c>
      <c r="K233" s="5" t="n">
        <f aca="false">INDEX(Produtos!$E$2:$E$11,MATCH(F233,Produtos!$A$2:$A$11,0))</f>
        <v>18</v>
      </c>
      <c r="L233" s="5" t="n">
        <f aca="false">H233*K233</f>
        <v>18</v>
      </c>
    </row>
    <row r="234" customFormat="false" ht="15" hidden="false" customHeight="false" outlineLevel="0" collapsed="false">
      <c r="A234" s="2" t="s">
        <v>516</v>
      </c>
      <c r="B234" s="8" t="n">
        <v>46043</v>
      </c>
      <c r="C234" s="2" t="s">
        <v>96</v>
      </c>
      <c r="D234" s="3" t="str">
        <f aca="false">INDEX(Vendedores!$C$2:$C$101,MATCH(C234,Vendedores!$A$2:$A$101,0))</f>
        <v>L03</v>
      </c>
      <c r="E234" s="3" t="str">
        <f aca="false">INDEX(Lojas!$E$2:$E$11,MATCH(D234,Lojas!$A$2:$A$11,0))</f>
        <v>Sudeste</v>
      </c>
      <c r="F234" s="2" t="s">
        <v>265</v>
      </c>
      <c r="G234" s="3" t="str">
        <f aca="false">INDEX(Produtos!$B$2:$B$11,MATCH(F234,Produtos!$A$2:$A$11,0))&amp;" "&amp;INDEX(Produtos!$C$2:$C$11,MATCH(F234,Produtos!$A$2:$A$11,0))</f>
        <v>Fone de Ouvido Headset</v>
      </c>
      <c r="H234" s="2" t="n">
        <v>1</v>
      </c>
      <c r="I234" s="5" t="n">
        <f aca="false">INDEX(Produtos!$D$2:$D$11,MATCH(F234,Produtos!$A$2:$A$11,0))</f>
        <v>249.9</v>
      </c>
      <c r="J234" s="5" t="n">
        <f aca="false">H234*I234</f>
        <v>249.9</v>
      </c>
      <c r="K234" s="5" t="n">
        <f aca="false">INDEX(Produtos!$E$2:$E$11,MATCH(F234,Produtos!$A$2:$A$11,0))</f>
        <v>145</v>
      </c>
      <c r="L234" s="5" t="n">
        <f aca="false">H234*K234</f>
        <v>145</v>
      </c>
    </row>
    <row r="235" customFormat="false" ht="15" hidden="false" customHeight="false" outlineLevel="0" collapsed="false">
      <c r="A235" s="2" t="s">
        <v>517</v>
      </c>
      <c r="B235" s="8" t="n">
        <v>46043</v>
      </c>
      <c r="C235" s="2" t="s">
        <v>191</v>
      </c>
      <c r="D235" s="3" t="str">
        <f aca="false">INDEX(Vendedores!$C$2:$C$101,MATCH(C235,Vendedores!$A$2:$A$101,0))</f>
        <v>L08</v>
      </c>
      <c r="E235" s="3" t="str">
        <f aca="false">INDEX(Lojas!$E$2:$E$11,MATCH(D235,Lojas!$A$2:$A$11,0))</f>
        <v>Nordeste</v>
      </c>
      <c r="F235" s="2" t="s">
        <v>267</v>
      </c>
      <c r="G235" s="3" t="str">
        <f aca="false">INDEX(Produtos!$B$2:$B$11,MATCH(F235,Produtos!$A$2:$A$11,0))&amp;" "&amp;INDEX(Produtos!$C$2:$C$11,MATCH(F235,Produtos!$A$2:$A$11,0))</f>
        <v>Carregador de Celular Tipo C</v>
      </c>
      <c r="H235" s="2" t="n">
        <v>1</v>
      </c>
      <c r="I235" s="5" t="n">
        <f aca="false">INDEX(Produtos!$D$2:$D$11,MATCH(F235,Produtos!$A$2:$A$11,0))</f>
        <v>44.9</v>
      </c>
      <c r="J235" s="5" t="n">
        <f aca="false">H235*I235</f>
        <v>44.9</v>
      </c>
      <c r="K235" s="5" t="n">
        <f aca="false">INDEX(Produtos!$E$2:$E$11,MATCH(F235,Produtos!$A$2:$A$11,0))</f>
        <v>18</v>
      </c>
      <c r="L235" s="5" t="n">
        <f aca="false">H235*K235</f>
        <v>18</v>
      </c>
    </row>
    <row r="236" customFormat="false" ht="15" hidden="false" customHeight="false" outlineLevel="0" collapsed="false">
      <c r="A236" s="2" t="s">
        <v>518</v>
      </c>
      <c r="B236" s="8" t="n">
        <v>46043</v>
      </c>
      <c r="C236" s="2" t="s">
        <v>189</v>
      </c>
      <c r="D236" s="3" t="str">
        <f aca="false">INDEX(Vendedores!$C$2:$C$101,MATCH(C236,Vendedores!$A$2:$A$101,0))</f>
        <v>L08</v>
      </c>
      <c r="E236" s="3" t="str">
        <f aca="false">INDEX(Lojas!$E$2:$E$11,MATCH(D236,Lojas!$A$2:$A$11,0))</f>
        <v>Nordeste</v>
      </c>
      <c r="F236" s="2" t="s">
        <v>267</v>
      </c>
      <c r="G236" s="3" t="str">
        <f aca="false">INDEX(Produtos!$B$2:$B$11,MATCH(F236,Produtos!$A$2:$A$11,0))&amp;" "&amp;INDEX(Produtos!$C$2:$C$11,MATCH(F236,Produtos!$A$2:$A$11,0))</f>
        <v>Carregador de Celular Tipo C</v>
      </c>
      <c r="H236" s="2" t="n">
        <v>1</v>
      </c>
      <c r="I236" s="5" t="n">
        <f aca="false">INDEX(Produtos!$D$2:$D$11,MATCH(F236,Produtos!$A$2:$A$11,0))</f>
        <v>44.9</v>
      </c>
      <c r="J236" s="5" t="n">
        <f aca="false">H236*I236</f>
        <v>44.9</v>
      </c>
      <c r="K236" s="5" t="n">
        <f aca="false">INDEX(Produtos!$E$2:$E$11,MATCH(F236,Produtos!$A$2:$A$11,0))</f>
        <v>18</v>
      </c>
      <c r="L236" s="5" t="n">
        <f aca="false">H236*K236</f>
        <v>18</v>
      </c>
    </row>
    <row r="237" customFormat="false" ht="15" hidden="false" customHeight="false" outlineLevel="0" collapsed="false">
      <c r="A237" s="2" t="s">
        <v>519</v>
      </c>
      <c r="B237" s="8" t="n">
        <v>46043</v>
      </c>
      <c r="C237" s="2" t="s">
        <v>229</v>
      </c>
      <c r="D237" s="3" t="str">
        <f aca="false">INDEX(Vendedores!$C$2:$C$101,MATCH(C237,Vendedores!$A$2:$A$101,0))</f>
        <v>L10</v>
      </c>
      <c r="E237" s="3" t="str">
        <f aca="false">INDEX(Lojas!$E$2:$E$11,MATCH(D237,Lojas!$A$2:$A$11,0))</f>
        <v>Nordeste</v>
      </c>
      <c r="F237" s="2" t="s">
        <v>267</v>
      </c>
      <c r="G237" s="3" t="str">
        <f aca="false">INDEX(Produtos!$B$2:$B$11,MATCH(F237,Produtos!$A$2:$A$11,0))&amp;" "&amp;INDEX(Produtos!$C$2:$C$11,MATCH(F237,Produtos!$A$2:$A$11,0))</f>
        <v>Carregador de Celular Tipo C</v>
      </c>
      <c r="H237" s="2" t="n">
        <v>1</v>
      </c>
      <c r="I237" s="5" t="n">
        <f aca="false">INDEX(Produtos!$D$2:$D$11,MATCH(F237,Produtos!$A$2:$A$11,0))</f>
        <v>44.9</v>
      </c>
      <c r="J237" s="5" t="n">
        <f aca="false">H237*I237</f>
        <v>44.9</v>
      </c>
      <c r="K237" s="5" t="n">
        <f aca="false">INDEX(Produtos!$E$2:$E$11,MATCH(F237,Produtos!$A$2:$A$11,0))</f>
        <v>18</v>
      </c>
      <c r="L237" s="5" t="n">
        <f aca="false">H237*K237</f>
        <v>18</v>
      </c>
    </row>
    <row r="238" customFormat="false" ht="15" hidden="false" customHeight="false" outlineLevel="0" collapsed="false">
      <c r="A238" s="2" t="s">
        <v>520</v>
      </c>
      <c r="B238" s="8" t="n">
        <v>46043</v>
      </c>
      <c r="C238" s="2" t="s">
        <v>205</v>
      </c>
      <c r="D238" s="3" t="str">
        <f aca="false">INDEX(Vendedores!$C$2:$C$101,MATCH(C238,Vendedores!$A$2:$A$101,0))</f>
        <v>L09</v>
      </c>
      <c r="E238" s="3" t="str">
        <f aca="false">INDEX(Lojas!$E$2:$E$11,MATCH(D238,Lojas!$A$2:$A$11,0))</f>
        <v>Nordeste</v>
      </c>
      <c r="F238" s="2" t="s">
        <v>267</v>
      </c>
      <c r="G238" s="3" t="str">
        <f aca="false">INDEX(Produtos!$B$2:$B$11,MATCH(F238,Produtos!$A$2:$A$11,0))&amp;" "&amp;INDEX(Produtos!$C$2:$C$11,MATCH(F238,Produtos!$A$2:$A$11,0))</f>
        <v>Carregador de Celular Tipo C</v>
      </c>
      <c r="H238" s="2" t="n">
        <v>2</v>
      </c>
      <c r="I238" s="5" t="n">
        <f aca="false">INDEX(Produtos!$D$2:$D$11,MATCH(F238,Produtos!$A$2:$A$11,0))</f>
        <v>44.9</v>
      </c>
      <c r="J238" s="5" t="n">
        <f aca="false">H238*I238</f>
        <v>89.8</v>
      </c>
      <c r="K238" s="5" t="n">
        <f aca="false">INDEX(Produtos!$E$2:$E$11,MATCH(F238,Produtos!$A$2:$A$11,0))</f>
        <v>18</v>
      </c>
      <c r="L238" s="5" t="n">
        <f aca="false">H238*K238</f>
        <v>36</v>
      </c>
    </row>
    <row r="239" customFormat="false" ht="15" hidden="false" customHeight="false" outlineLevel="0" collapsed="false">
      <c r="A239" s="2" t="s">
        <v>521</v>
      </c>
      <c r="B239" s="8" t="n">
        <v>46043</v>
      </c>
      <c r="C239" s="2" t="s">
        <v>118</v>
      </c>
      <c r="D239" s="3" t="str">
        <f aca="false">INDEX(Vendedores!$C$2:$C$101,MATCH(C239,Vendedores!$A$2:$A$101,0))</f>
        <v>L04</v>
      </c>
      <c r="E239" s="3" t="str">
        <f aca="false">INDEX(Lojas!$E$2:$E$11,MATCH(D239,Lojas!$A$2:$A$11,0))</f>
        <v>Sudeste</v>
      </c>
      <c r="F239" s="2" t="s">
        <v>252</v>
      </c>
      <c r="G239" s="3" t="str">
        <f aca="false">INDEX(Produtos!$B$2:$B$11,MATCH(F239,Produtos!$A$2:$A$11,0))&amp;" "&amp;INDEX(Produtos!$C$2:$C$11,MATCH(F239,Produtos!$A$2:$A$11,0))</f>
        <v>Notebook Lenovo</v>
      </c>
      <c r="H239" s="2" t="n">
        <v>1</v>
      </c>
      <c r="I239" s="5" t="n">
        <f aca="false">INDEX(Produtos!$D$2:$D$11,MATCH(F239,Produtos!$A$2:$A$11,0))</f>
        <v>3199</v>
      </c>
      <c r="J239" s="5" t="n">
        <f aca="false">H239*I239</f>
        <v>3199</v>
      </c>
      <c r="K239" s="5" t="n">
        <f aca="false">INDEX(Produtos!$E$2:$E$11,MATCH(F239,Produtos!$A$2:$A$11,0))</f>
        <v>2350</v>
      </c>
      <c r="L239" s="5" t="n">
        <f aca="false">H239*K239</f>
        <v>2350</v>
      </c>
    </row>
    <row r="240" customFormat="false" ht="15" hidden="false" customHeight="false" outlineLevel="0" collapsed="false">
      <c r="A240" s="2" t="s">
        <v>522</v>
      </c>
      <c r="B240" s="8" t="n">
        <v>46043</v>
      </c>
      <c r="C240" s="2" t="s">
        <v>237</v>
      </c>
      <c r="D240" s="3" t="str">
        <f aca="false">INDEX(Vendedores!$C$2:$C$101,MATCH(C240,Vendedores!$A$2:$A$101,0))</f>
        <v>L10</v>
      </c>
      <c r="E240" s="3" t="str">
        <f aca="false">INDEX(Lojas!$E$2:$E$11,MATCH(D240,Lojas!$A$2:$A$11,0))</f>
        <v>Nordeste</v>
      </c>
      <c r="F240" s="2" t="s">
        <v>267</v>
      </c>
      <c r="G240" s="3" t="str">
        <f aca="false">INDEX(Produtos!$B$2:$B$11,MATCH(F240,Produtos!$A$2:$A$11,0))&amp;" "&amp;INDEX(Produtos!$C$2:$C$11,MATCH(F240,Produtos!$A$2:$A$11,0))</f>
        <v>Carregador de Celular Tipo C</v>
      </c>
      <c r="H240" s="2" t="n">
        <v>1</v>
      </c>
      <c r="I240" s="5" t="n">
        <f aca="false">INDEX(Produtos!$D$2:$D$11,MATCH(F240,Produtos!$A$2:$A$11,0))</f>
        <v>44.9</v>
      </c>
      <c r="J240" s="5" t="n">
        <f aca="false">H240*I240</f>
        <v>44.9</v>
      </c>
      <c r="K240" s="5" t="n">
        <f aca="false">INDEX(Produtos!$E$2:$E$11,MATCH(F240,Produtos!$A$2:$A$11,0))</f>
        <v>18</v>
      </c>
      <c r="L240" s="5" t="n">
        <f aca="false">H240*K240</f>
        <v>18</v>
      </c>
    </row>
    <row r="241" customFormat="false" ht="15" hidden="false" customHeight="false" outlineLevel="0" collapsed="false">
      <c r="A241" s="2" t="s">
        <v>523</v>
      </c>
      <c r="B241" s="8" t="n">
        <v>46043</v>
      </c>
      <c r="C241" s="2" t="s">
        <v>201</v>
      </c>
      <c r="D241" s="3" t="str">
        <f aca="false">INDEX(Vendedores!$C$2:$C$101,MATCH(C241,Vendedores!$A$2:$A$101,0))</f>
        <v>L08</v>
      </c>
      <c r="E241" s="3" t="str">
        <f aca="false">INDEX(Lojas!$E$2:$E$11,MATCH(D241,Lojas!$A$2:$A$11,0))</f>
        <v>Nordeste</v>
      </c>
      <c r="F241" s="2" t="s">
        <v>252</v>
      </c>
      <c r="G241" s="3" t="str">
        <f aca="false">INDEX(Produtos!$B$2:$B$11,MATCH(F241,Produtos!$A$2:$A$11,0))&amp;" "&amp;INDEX(Produtos!$C$2:$C$11,MATCH(F241,Produtos!$A$2:$A$11,0))</f>
        <v>Notebook Lenovo</v>
      </c>
      <c r="H241" s="2" t="n">
        <v>1</v>
      </c>
      <c r="I241" s="5" t="n">
        <f aca="false">INDEX(Produtos!$D$2:$D$11,MATCH(F241,Produtos!$A$2:$A$11,0))</f>
        <v>3199</v>
      </c>
      <c r="J241" s="5" t="n">
        <f aca="false">H241*I241</f>
        <v>3199</v>
      </c>
      <c r="K241" s="5" t="n">
        <f aca="false">INDEX(Produtos!$E$2:$E$11,MATCH(F241,Produtos!$A$2:$A$11,0))</f>
        <v>2350</v>
      </c>
      <c r="L241" s="5" t="n">
        <f aca="false">H241*K241</f>
        <v>2350</v>
      </c>
    </row>
    <row r="242" customFormat="false" ht="15" hidden="false" customHeight="false" outlineLevel="0" collapsed="false">
      <c r="A242" s="2" t="s">
        <v>524</v>
      </c>
      <c r="B242" s="8" t="n">
        <v>46043</v>
      </c>
      <c r="C242" s="2" t="s">
        <v>182</v>
      </c>
      <c r="D242" s="3" t="str">
        <f aca="false">INDEX(Vendedores!$C$2:$C$101,MATCH(C242,Vendedores!$A$2:$A$101,0))</f>
        <v>L07</v>
      </c>
      <c r="E242" s="3" t="str">
        <f aca="false">INDEX(Lojas!$E$2:$E$11,MATCH(D242,Lojas!$A$2:$A$11,0))</f>
        <v>Sul</v>
      </c>
      <c r="F242" s="2" t="s">
        <v>257</v>
      </c>
      <c r="G242" s="3" t="str">
        <f aca="false">INDEX(Produtos!$B$2:$B$11,MATCH(F242,Produtos!$A$2:$A$11,0))&amp;" "&amp;INDEX(Produtos!$C$2:$C$11,MATCH(F242,Produtos!$A$2:$A$11,0))</f>
        <v>Celular Samsung</v>
      </c>
      <c r="H242" s="2" t="n">
        <v>1</v>
      </c>
      <c r="I242" s="5" t="n">
        <f aca="false">INDEX(Produtos!$D$2:$D$11,MATCH(F242,Produtos!$A$2:$A$11,0))</f>
        <v>2499</v>
      </c>
      <c r="J242" s="5" t="n">
        <f aca="false">H242*I242</f>
        <v>2499</v>
      </c>
      <c r="K242" s="5" t="n">
        <f aca="false">INDEX(Produtos!$E$2:$E$11,MATCH(F242,Produtos!$A$2:$A$11,0))</f>
        <v>1800</v>
      </c>
      <c r="L242" s="5" t="n">
        <f aca="false">H242*K242</f>
        <v>1800</v>
      </c>
    </row>
    <row r="243" customFormat="false" ht="15" hidden="false" customHeight="false" outlineLevel="0" collapsed="false">
      <c r="A243" s="2" t="s">
        <v>525</v>
      </c>
      <c r="B243" s="8" t="n">
        <v>46043</v>
      </c>
      <c r="C243" s="2" t="s">
        <v>195</v>
      </c>
      <c r="D243" s="3" t="str">
        <f aca="false">INDEX(Vendedores!$C$2:$C$101,MATCH(C243,Vendedores!$A$2:$A$101,0))</f>
        <v>L08</v>
      </c>
      <c r="E243" s="3" t="str">
        <f aca="false">INDEX(Lojas!$E$2:$E$11,MATCH(D243,Lojas!$A$2:$A$11,0))</f>
        <v>Nordeste</v>
      </c>
      <c r="F243" s="2" t="s">
        <v>262</v>
      </c>
      <c r="G243" s="3" t="str">
        <f aca="false">INDEX(Produtos!$B$2:$B$11,MATCH(F243,Produtos!$A$2:$A$11,0))&amp;" "&amp;INDEX(Produtos!$C$2:$C$11,MATCH(F243,Produtos!$A$2:$A$11,0))</f>
        <v>Fone de Ouvido De Celular</v>
      </c>
      <c r="H243" s="2" t="n">
        <v>1</v>
      </c>
      <c r="I243" s="5" t="n">
        <f aca="false">INDEX(Produtos!$D$2:$D$11,MATCH(F243,Produtos!$A$2:$A$11,0))</f>
        <v>59.9</v>
      </c>
      <c r="J243" s="5" t="n">
        <f aca="false">H243*I243</f>
        <v>59.9</v>
      </c>
      <c r="K243" s="5" t="n">
        <f aca="false">INDEX(Produtos!$E$2:$E$11,MATCH(F243,Produtos!$A$2:$A$11,0))</f>
        <v>28</v>
      </c>
      <c r="L243" s="5" t="n">
        <f aca="false">H243*K243</f>
        <v>28</v>
      </c>
    </row>
    <row r="244" customFormat="false" ht="15" hidden="false" customHeight="false" outlineLevel="0" collapsed="false">
      <c r="A244" s="2" t="s">
        <v>526</v>
      </c>
      <c r="B244" s="8" t="n">
        <v>46043</v>
      </c>
      <c r="C244" s="2" t="s">
        <v>98</v>
      </c>
      <c r="D244" s="3" t="str">
        <f aca="false">INDEX(Vendedores!$C$2:$C$101,MATCH(C244,Vendedores!$A$2:$A$101,0))</f>
        <v>L03</v>
      </c>
      <c r="E244" s="3" t="str">
        <f aca="false">INDEX(Lojas!$E$2:$E$11,MATCH(D244,Lojas!$A$2:$A$11,0))</f>
        <v>Sudeste</v>
      </c>
      <c r="F244" s="2" t="s">
        <v>257</v>
      </c>
      <c r="G244" s="3" t="str">
        <f aca="false">INDEX(Produtos!$B$2:$B$11,MATCH(F244,Produtos!$A$2:$A$11,0))&amp;" "&amp;INDEX(Produtos!$C$2:$C$11,MATCH(F244,Produtos!$A$2:$A$11,0))</f>
        <v>Celular Samsung</v>
      </c>
      <c r="H244" s="2" t="n">
        <v>1</v>
      </c>
      <c r="I244" s="5" t="n">
        <f aca="false">INDEX(Produtos!$D$2:$D$11,MATCH(F244,Produtos!$A$2:$A$11,0))</f>
        <v>2499</v>
      </c>
      <c r="J244" s="5" t="n">
        <f aca="false">H244*I244</f>
        <v>2499</v>
      </c>
      <c r="K244" s="5" t="n">
        <f aca="false">INDEX(Produtos!$E$2:$E$11,MATCH(F244,Produtos!$A$2:$A$11,0))</f>
        <v>1800</v>
      </c>
      <c r="L244" s="5" t="n">
        <f aca="false">H244*K244</f>
        <v>1800</v>
      </c>
    </row>
    <row r="245" customFormat="false" ht="15" hidden="false" customHeight="false" outlineLevel="0" collapsed="false">
      <c r="A245" s="2" t="s">
        <v>527</v>
      </c>
      <c r="B245" s="8" t="n">
        <v>46043</v>
      </c>
      <c r="C245" s="2" t="s">
        <v>207</v>
      </c>
      <c r="D245" s="3" t="str">
        <f aca="false">INDEX(Vendedores!$C$2:$C$101,MATCH(C245,Vendedores!$A$2:$A$101,0))</f>
        <v>L09</v>
      </c>
      <c r="E245" s="3" t="str">
        <f aca="false">INDEX(Lojas!$E$2:$E$11,MATCH(D245,Lojas!$A$2:$A$11,0))</f>
        <v>Nordeste</v>
      </c>
      <c r="F245" s="2" t="s">
        <v>267</v>
      </c>
      <c r="G245" s="3" t="str">
        <f aca="false">INDEX(Produtos!$B$2:$B$11,MATCH(F245,Produtos!$A$2:$A$11,0))&amp;" "&amp;INDEX(Produtos!$C$2:$C$11,MATCH(F245,Produtos!$A$2:$A$11,0))</f>
        <v>Carregador de Celular Tipo C</v>
      </c>
      <c r="H245" s="2" t="n">
        <v>1</v>
      </c>
      <c r="I245" s="5" t="n">
        <f aca="false">INDEX(Produtos!$D$2:$D$11,MATCH(F245,Produtos!$A$2:$A$11,0))</f>
        <v>44.9</v>
      </c>
      <c r="J245" s="5" t="n">
        <f aca="false">H245*I245</f>
        <v>44.9</v>
      </c>
      <c r="K245" s="5" t="n">
        <f aca="false">INDEX(Produtos!$E$2:$E$11,MATCH(F245,Produtos!$A$2:$A$11,0))</f>
        <v>18</v>
      </c>
      <c r="L245" s="5" t="n">
        <f aca="false">H245*K245</f>
        <v>18</v>
      </c>
    </row>
    <row r="246" customFormat="false" ht="15" hidden="false" customHeight="false" outlineLevel="0" collapsed="false">
      <c r="A246" s="2" t="s">
        <v>528</v>
      </c>
      <c r="B246" s="8" t="n">
        <v>46043</v>
      </c>
      <c r="C246" s="2" t="s">
        <v>148</v>
      </c>
      <c r="D246" s="3" t="str">
        <f aca="false">INDEX(Vendedores!$C$2:$C$101,MATCH(C246,Vendedores!$A$2:$A$101,0))</f>
        <v>L06</v>
      </c>
      <c r="E246" s="3" t="str">
        <f aca="false">INDEX(Lojas!$E$2:$E$11,MATCH(D246,Lojas!$A$2:$A$11,0))</f>
        <v>Sul</v>
      </c>
      <c r="F246" s="2" t="s">
        <v>275</v>
      </c>
      <c r="G246" s="3" t="str">
        <f aca="false">INDEX(Produtos!$B$2:$B$11,MATCH(F246,Produtos!$A$2:$A$11,0))&amp;" "&amp;INDEX(Produtos!$C$2:$C$11,MATCH(F246,Produtos!$A$2:$A$11,0))</f>
        <v>Controle de Videogame PS5</v>
      </c>
      <c r="H246" s="2" t="n">
        <v>2</v>
      </c>
      <c r="I246" s="5" t="n">
        <f aca="false">INDEX(Produtos!$D$2:$D$11,MATCH(F246,Produtos!$A$2:$A$11,0))</f>
        <v>379.9</v>
      </c>
      <c r="J246" s="5" t="n">
        <f aca="false">H246*I246</f>
        <v>759.8</v>
      </c>
      <c r="K246" s="5" t="n">
        <f aca="false">INDEX(Produtos!$E$2:$E$11,MATCH(F246,Produtos!$A$2:$A$11,0))</f>
        <v>235</v>
      </c>
      <c r="L246" s="5" t="n">
        <f aca="false">H246*K246</f>
        <v>470</v>
      </c>
    </row>
    <row r="247" customFormat="false" ht="15" hidden="false" customHeight="false" outlineLevel="0" collapsed="false">
      <c r="A247" s="2" t="s">
        <v>529</v>
      </c>
      <c r="B247" s="8" t="n">
        <v>46044</v>
      </c>
      <c r="C247" s="2" t="s">
        <v>193</v>
      </c>
      <c r="D247" s="3" t="str">
        <f aca="false">INDEX(Vendedores!$C$2:$C$101,MATCH(C247,Vendedores!$A$2:$A$101,0))</f>
        <v>L08</v>
      </c>
      <c r="E247" s="3" t="str">
        <f aca="false">INDEX(Lojas!$E$2:$E$11,MATCH(D247,Lojas!$A$2:$A$11,0))</f>
        <v>Nordeste</v>
      </c>
      <c r="F247" s="2" t="s">
        <v>270</v>
      </c>
      <c r="G247" s="3" t="str">
        <f aca="false">INDEX(Produtos!$B$2:$B$11,MATCH(F247,Produtos!$A$2:$A$11,0))&amp;" "&amp;INDEX(Produtos!$C$2:$C$11,MATCH(F247,Produtos!$A$2:$A$11,0))</f>
        <v>Controle de Videogame Xbox</v>
      </c>
      <c r="H247" s="2" t="n">
        <v>1</v>
      </c>
      <c r="I247" s="5" t="n">
        <f aca="false">INDEX(Produtos!$D$2:$D$11,MATCH(F247,Produtos!$A$2:$A$11,0))</f>
        <v>349.9</v>
      </c>
      <c r="J247" s="5" t="n">
        <f aca="false">H247*I247</f>
        <v>349.9</v>
      </c>
      <c r="K247" s="5" t="n">
        <f aca="false">INDEX(Produtos!$E$2:$E$11,MATCH(F247,Produtos!$A$2:$A$11,0))</f>
        <v>215</v>
      </c>
      <c r="L247" s="5" t="n">
        <f aca="false">H247*K247</f>
        <v>215</v>
      </c>
    </row>
    <row r="248" customFormat="false" ht="15" hidden="false" customHeight="false" outlineLevel="0" collapsed="false">
      <c r="A248" s="2" t="s">
        <v>530</v>
      </c>
      <c r="B248" s="8" t="n">
        <v>46044</v>
      </c>
      <c r="C248" s="2" t="s">
        <v>203</v>
      </c>
      <c r="D248" s="3" t="str">
        <f aca="false">INDEX(Vendedores!$C$2:$C$101,MATCH(C248,Vendedores!$A$2:$A$101,0))</f>
        <v>L08</v>
      </c>
      <c r="E248" s="3" t="str">
        <f aca="false">INDEX(Lojas!$E$2:$E$11,MATCH(D248,Lojas!$A$2:$A$11,0))</f>
        <v>Nordeste</v>
      </c>
      <c r="F248" s="2" t="s">
        <v>257</v>
      </c>
      <c r="G248" s="3" t="str">
        <f aca="false">INDEX(Produtos!$B$2:$B$11,MATCH(F248,Produtos!$A$2:$A$11,0))&amp;" "&amp;INDEX(Produtos!$C$2:$C$11,MATCH(F248,Produtos!$A$2:$A$11,0))</f>
        <v>Celular Samsung</v>
      </c>
      <c r="H248" s="2" t="n">
        <v>2</v>
      </c>
      <c r="I248" s="5" t="n">
        <f aca="false">INDEX(Produtos!$D$2:$D$11,MATCH(F248,Produtos!$A$2:$A$11,0))</f>
        <v>2499</v>
      </c>
      <c r="J248" s="5" t="n">
        <f aca="false">H248*I248</f>
        <v>4998</v>
      </c>
      <c r="K248" s="5" t="n">
        <f aca="false">INDEX(Produtos!$E$2:$E$11,MATCH(F248,Produtos!$A$2:$A$11,0))</f>
        <v>1800</v>
      </c>
      <c r="L248" s="5" t="n">
        <f aca="false">H248*K248</f>
        <v>3600</v>
      </c>
    </row>
    <row r="249" customFormat="false" ht="15" hidden="false" customHeight="false" outlineLevel="0" collapsed="false">
      <c r="A249" s="2" t="s">
        <v>531</v>
      </c>
      <c r="B249" s="8" t="n">
        <v>46044</v>
      </c>
      <c r="C249" s="2" t="s">
        <v>176</v>
      </c>
      <c r="D249" s="3" t="str">
        <f aca="false">INDEX(Vendedores!$C$2:$C$101,MATCH(C249,Vendedores!$A$2:$A$101,0))</f>
        <v>L07</v>
      </c>
      <c r="E249" s="3" t="str">
        <f aca="false">INDEX(Lojas!$E$2:$E$11,MATCH(D249,Lojas!$A$2:$A$11,0))</f>
        <v>Sul</v>
      </c>
      <c r="F249" s="2" t="s">
        <v>267</v>
      </c>
      <c r="G249" s="3" t="str">
        <f aca="false">INDEX(Produtos!$B$2:$B$11,MATCH(F249,Produtos!$A$2:$A$11,0))&amp;" "&amp;INDEX(Produtos!$C$2:$C$11,MATCH(F249,Produtos!$A$2:$A$11,0))</f>
        <v>Carregador de Celular Tipo C</v>
      </c>
      <c r="H249" s="2" t="n">
        <v>1</v>
      </c>
      <c r="I249" s="5" t="n">
        <f aca="false">INDEX(Produtos!$D$2:$D$11,MATCH(F249,Produtos!$A$2:$A$11,0))</f>
        <v>44.9</v>
      </c>
      <c r="J249" s="5" t="n">
        <f aca="false">H249*I249</f>
        <v>44.9</v>
      </c>
      <c r="K249" s="5" t="n">
        <f aca="false">INDEX(Produtos!$E$2:$E$11,MATCH(F249,Produtos!$A$2:$A$11,0))</f>
        <v>18</v>
      </c>
      <c r="L249" s="5" t="n">
        <f aca="false">H249*K249</f>
        <v>18</v>
      </c>
    </row>
    <row r="250" customFormat="false" ht="15" hidden="false" customHeight="false" outlineLevel="0" collapsed="false">
      <c r="A250" s="2" t="s">
        <v>532</v>
      </c>
      <c r="B250" s="8" t="n">
        <v>46044</v>
      </c>
      <c r="C250" s="2" t="s">
        <v>195</v>
      </c>
      <c r="D250" s="3" t="str">
        <f aca="false">INDEX(Vendedores!$C$2:$C$101,MATCH(C250,Vendedores!$A$2:$A$101,0))</f>
        <v>L08</v>
      </c>
      <c r="E250" s="3" t="str">
        <f aca="false">INDEX(Lojas!$E$2:$E$11,MATCH(D250,Lojas!$A$2:$A$11,0))</f>
        <v>Nordeste</v>
      </c>
      <c r="F250" s="2" t="s">
        <v>260</v>
      </c>
      <c r="G250" s="3" t="str">
        <f aca="false">INDEX(Produtos!$B$2:$B$11,MATCH(F250,Produtos!$A$2:$A$11,0))&amp;" "&amp;INDEX(Produtos!$C$2:$C$11,MATCH(F250,Produtos!$A$2:$A$11,0))</f>
        <v>Celular Motorola</v>
      </c>
      <c r="H250" s="2" t="n">
        <v>1</v>
      </c>
      <c r="I250" s="5" t="n">
        <f aca="false">INDEX(Produtos!$D$2:$D$11,MATCH(F250,Produtos!$A$2:$A$11,0))</f>
        <v>1799</v>
      </c>
      <c r="J250" s="5" t="n">
        <f aca="false">H250*I250</f>
        <v>1799</v>
      </c>
      <c r="K250" s="5" t="n">
        <f aca="false">INDEX(Produtos!$E$2:$E$11,MATCH(F250,Produtos!$A$2:$A$11,0))</f>
        <v>1250</v>
      </c>
      <c r="L250" s="5" t="n">
        <f aca="false">H250*K250</f>
        <v>1250</v>
      </c>
    </row>
    <row r="251" customFormat="false" ht="15" hidden="false" customHeight="false" outlineLevel="0" collapsed="false">
      <c r="A251" s="2" t="s">
        <v>533</v>
      </c>
      <c r="B251" s="8" t="n">
        <v>46044</v>
      </c>
      <c r="C251" s="2" t="s">
        <v>133</v>
      </c>
      <c r="D251" s="3" t="str">
        <f aca="false">INDEX(Vendedores!$C$2:$C$101,MATCH(C251,Vendedores!$A$2:$A$101,0))</f>
        <v>L05</v>
      </c>
      <c r="E251" s="3" t="str">
        <f aca="false">INDEX(Lojas!$E$2:$E$11,MATCH(D251,Lojas!$A$2:$A$11,0))</f>
        <v>Sul</v>
      </c>
      <c r="F251" s="2" t="s">
        <v>260</v>
      </c>
      <c r="G251" s="3" t="str">
        <f aca="false">INDEX(Produtos!$B$2:$B$11,MATCH(F251,Produtos!$A$2:$A$11,0))&amp;" "&amp;INDEX(Produtos!$C$2:$C$11,MATCH(F251,Produtos!$A$2:$A$11,0))</f>
        <v>Celular Motorola</v>
      </c>
      <c r="H251" s="2" t="n">
        <v>1</v>
      </c>
      <c r="I251" s="5" t="n">
        <f aca="false">INDEX(Produtos!$D$2:$D$11,MATCH(F251,Produtos!$A$2:$A$11,0))</f>
        <v>1799</v>
      </c>
      <c r="J251" s="5" t="n">
        <f aca="false">H251*I251</f>
        <v>1799</v>
      </c>
      <c r="K251" s="5" t="n">
        <f aca="false">INDEX(Produtos!$E$2:$E$11,MATCH(F251,Produtos!$A$2:$A$11,0))</f>
        <v>1250</v>
      </c>
      <c r="L251" s="5" t="n">
        <f aca="false">H251*K251</f>
        <v>1250</v>
      </c>
    </row>
    <row r="252" customFormat="false" ht="15" hidden="false" customHeight="false" outlineLevel="0" collapsed="false">
      <c r="A252" s="2" t="s">
        <v>534</v>
      </c>
      <c r="B252" s="8" t="n">
        <v>46044</v>
      </c>
      <c r="C252" s="2" t="s">
        <v>168</v>
      </c>
      <c r="D252" s="3" t="str">
        <f aca="false">INDEX(Vendedores!$C$2:$C$101,MATCH(C252,Vendedores!$A$2:$A$101,0))</f>
        <v>L07</v>
      </c>
      <c r="E252" s="3" t="str">
        <f aca="false">INDEX(Lojas!$E$2:$E$11,MATCH(D252,Lojas!$A$2:$A$11,0))</f>
        <v>Sul</v>
      </c>
      <c r="F252" s="2" t="s">
        <v>260</v>
      </c>
      <c r="G252" s="3" t="str">
        <f aca="false">INDEX(Produtos!$B$2:$B$11,MATCH(F252,Produtos!$A$2:$A$11,0))&amp;" "&amp;INDEX(Produtos!$C$2:$C$11,MATCH(F252,Produtos!$A$2:$A$11,0))</f>
        <v>Celular Motorola</v>
      </c>
      <c r="H252" s="2" t="n">
        <v>1</v>
      </c>
      <c r="I252" s="5" t="n">
        <f aca="false">INDEX(Produtos!$D$2:$D$11,MATCH(F252,Produtos!$A$2:$A$11,0))</f>
        <v>1799</v>
      </c>
      <c r="J252" s="5" t="n">
        <f aca="false">H252*I252</f>
        <v>1799</v>
      </c>
      <c r="K252" s="5" t="n">
        <f aca="false">INDEX(Produtos!$E$2:$E$11,MATCH(F252,Produtos!$A$2:$A$11,0))</f>
        <v>1250</v>
      </c>
      <c r="L252" s="5" t="n">
        <f aca="false">H252*K252</f>
        <v>1250</v>
      </c>
    </row>
    <row r="253" customFormat="false" ht="15" hidden="false" customHeight="false" outlineLevel="0" collapsed="false">
      <c r="A253" s="2" t="s">
        <v>535</v>
      </c>
      <c r="B253" s="8" t="n">
        <v>46044</v>
      </c>
      <c r="C253" s="2" t="s">
        <v>225</v>
      </c>
      <c r="D253" s="3" t="str">
        <f aca="false">INDEX(Vendedores!$C$2:$C$101,MATCH(C253,Vendedores!$A$2:$A$101,0))</f>
        <v>L10</v>
      </c>
      <c r="E253" s="3" t="str">
        <f aca="false">INDEX(Lojas!$E$2:$E$11,MATCH(D253,Lojas!$A$2:$A$11,0))</f>
        <v>Nordeste</v>
      </c>
      <c r="F253" s="2" t="s">
        <v>260</v>
      </c>
      <c r="G253" s="3" t="str">
        <f aca="false">INDEX(Produtos!$B$2:$B$11,MATCH(F253,Produtos!$A$2:$A$11,0))&amp;" "&amp;INDEX(Produtos!$C$2:$C$11,MATCH(F253,Produtos!$A$2:$A$11,0))</f>
        <v>Celular Motorola</v>
      </c>
      <c r="H253" s="2" t="n">
        <v>1</v>
      </c>
      <c r="I253" s="5" t="n">
        <f aca="false">INDEX(Produtos!$D$2:$D$11,MATCH(F253,Produtos!$A$2:$A$11,0))</f>
        <v>1799</v>
      </c>
      <c r="J253" s="5" t="n">
        <f aca="false">H253*I253</f>
        <v>1799</v>
      </c>
      <c r="K253" s="5" t="n">
        <f aca="false">INDEX(Produtos!$E$2:$E$11,MATCH(F253,Produtos!$A$2:$A$11,0))</f>
        <v>1250</v>
      </c>
      <c r="L253" s="5" t="n">
        <f aca="false">H253*K253</f>
        <v>1250</v>
      </c>
    </row>
    <row r="254" customFormat="false" ht="15" hidden="false" customHeight="false" outlineLevel="0" collapsed="false">
      <c r="A254" s="2" t="s">
        <v>536</v>
      </c>
      <c r="B254" s="8" t="n">
        <v>46044</v>
      </c>
      <c r="C254" s="2" t="s">
        <v>142</v>
      </c>
      <c r="D254" s="3" t="str">
        <f aca="false">INDEX(Vendedores!$C$2:$C$101,MATCH(C254,Vendedores!$A$2:$A$101,0))</f>
        <v>L05</v>
      </c>
      <c r="E254" s="3" t="str">
        <f aca="false">INDEX(Lojas!$E$2:$E$11,MATCH(D254,Lojas!$A$2:$A$11,0))</f>
        <v>Sul</v>
      </c>
      <c r="F254" s="2" t="s">
        <v>270</v>
      </c>
      <c r="G254" s="3" t="str">
        <f aca="false">INDEX(Produtos!$B$2:$B$11,MATCH(F254,Produtos!$A$2:$A$11,0))&amp;" "&amp;INDEX(Produtos!$C$2:$C$11,MATCH(F254,Produtos!$A$2:$A$11,0))</f>
        <v>Controle de Videogame Xbox</v>
      </c>
      <c r="H254" s="2" t="n">
        <v>1</v>
      </c>
      <c r="I254" s="5" t="n">
        <f aca="false">INDEX(Produtos!$D$2:$D$11,MATCH(F254,Produtos!$A$2:$A$11,0))</f>
        <v>349.9</v>
      </c>
      <c r="J254" s="5" t="n">
        <f aca="false">H254*I254</f>
        <v>349.9</v>
      </c>
      <c r="K254" s="5" t="n">
        <f aca="false">INDEX(Produtos!$E$2:$E$11,MATCH(F254,Produtos!$A$2:$A$11,0))</f>
        <v>215</v>
      </c>
      <c r="L254" s="5" t="n">
        <f aca="false">H254*K254</f>
        <v>215</v>
      </c>
    </row>
    <row r="255" customFormat="false" ht="15" hidden="false" customHeight="false" outlineLevel="0" collapsed="false">
      <c r="A255" s="2" t="s">
        <v>537</v>
      </c>
      <c r="B255" s="8" t="n">
        <v>46044</v>
      </c>
      <c r="C255" s="2" t="s">
        <v>187</v>
      </c>
      <c r="D255" s="3" t="str">
        <f aca="false">INDEX(Vendedores!$C$2:$C$101,MATCH(C255,Vendedores!$A$2:$A$101,0))</f>
        <v>L08</v>
      </c>
      <c r="E255" s="3" t="str">
        <f aca="false">INDEX(Lojas!$E$2:$E$11,MATCH(D255,Lojas!$A$2:$A$11,0))</f>
        <v>Nordeste</v>
      </c>
      <c r="F255" s="2" t="s">
        <v>275</v>
      </c>
      <c r="G255" s="3" t="str">
        <f aca="false">INDEX(Produtos!$B$2:$B$11,MATCH(F255,Produtos!$A$2:$A$11,0))&amp;" "&amp;INDEX(Produtos!$C$2:$C$11,MATCH(F255,Produtos!$A$2:$A$11,0))</f>
        <v>Controle de Videogame PS5</v>
      </c>
      <c r="H255" s="2" t="n">
        <v>1</v>
      </c>
      <c r="I255" s="5" t="n">
        <f aca="false">INDEX(Produtos!$D$2:$D$11,MATCH(F255,Produtos!$A$2:$A$11,0))</f>
        <v>379.9</v>
      </c>
      <c r="J255" s="5" t="n">
        <f aca="false">H255*I255</f>
        <v>379.9</v>
      </c>
      <c r="K255" s="5" t="n">
        <f aca="false">INDEX(Produtos!$E$2:$E$11,MATCH(F255,Produtos!$A$2:$A$11,0))</f>
        <v>235</v>
      </c>
      <c r="L255" s="5" t="n">
        <f aca="false">H255*K255</f>
        <v>235</v>
      </c>
    </row>
    <row r="256" customFormat="false" ht="15" hidden="false" customHeight="false" outlineLevel="0" collapsed="false">
      <c r="A256" s="2" t="s">
        <v>538</v>
      </c>
      <c r="B256" s="8" t="n">
        <v>46044</v>
      </c>
      <c r="C256" s="2" t="s">
        <v>120</v>
      </c>
      <c r="D256" s="3" t="str">
        <f aca="false">INDEX(Vendedores!$C$2:$C$101,MATCH(C256,Vendedores!$A$2:$A$101,0))</f>
        <v>L04</v>
      </c>
      <c r="E256" s="3" t="str">
        <f aca="false">INDEX(Lojas!$E$2:$E$11,MATCH(D256,Lojas!$A$2:$A$11,0))</f>
        <v>Sudeste</v>
      </c>
      <c r="F256" s="2" t="s">
        <v>275</v>
      </c>
      <c r="G256" s="3" t="str">
        <f aca="false">INDEX(Produtos!$B$2:$B$11,MATCH(F256,Produtos!$A$2:$A$11,0))&amp;" "&amp;INDEX(Produtos!$C$2:$C$11,MATCH(F256,Produtos!$A$2:$A$11,0))</f>
        <v>Controle de Videogame PS5</v>
      </c>
      <c r="H256" s="2" t="n">
        <v>1</v>
      </c>
      <c r="I256" s="5" t="n">
        <f aca="false">INDEX(Produtos!$D$2:$D$11,MATCH(F256,Produtos!$A$2:$A$11,0))</f>
        <v>379.9</v>
      </c>
      <c r="J256" s="5" t="n">
        <f aca="false">H256*I256</f>
        <v>379.9</v>
      </c>
      <c r="K256" s="5" t="n">
        <f aca="false">INDEX(Produtos!$E$2:$E$11,MATCH(F256,Produtos!$A$2:$A$11,0))</f>
        <v>235</v>
      </c>
      <c r="L256" s="5" t="n">
        <f aca="false">H256*K256</f>
        <v>235</v>
      </c>
    </row>
    <row r="257" customFormat="false" ht="15" hidden="false" customHeight="false" outlineLevel="0" collapsed="false">
      <c r="A257" s="2" t="s">
        <v>539</v>
      </c>
      <c r="B257" s="8" t="n">
        <v>46044</v>
      </c>
      <c r="C257" s="2" t="s">
        <v>233</v>
      </c>
      <c r="D257" s="3" t="str">
        <f aca="false">INDEX(Vendedores!$C$2:$C$101,MATCH(C257,Vendedores!$A$2:$A$101,0))</f>
        <v>L10</v>
      </c>
      <c r="E257" s="3" t="str">
        <f aca="false">INDEX(Lojas!$E$2:$E$11,MATCH(D257,Lojas!$A$2:$A$11,0))</f>
        <v>Nordeste</v>
      </c>
      <c r="F257" s="2" t="s">
        <v>260</v>
      </c>
      <c r="G257" s="3" t="str">
        <f aca="false">INDEX(Produtos!$B$2:$B$11,MATCH(F257,Produtos!$A$2:$A$11,0))&amp;" "&amp;INDEX(Produtos!$C$2:$C$11,MATCH(F257,Produtos!$A$2:$A$11,0))</f>
        <v>Celular Motorola</v>
      </c>
      <c r="H257" s="2" t="n">
        <v>2</v>
      </c>
      <c r="I257" s="5" t="n">
        <f aca="false">INDEX(Produtos!$D$2:$D$11,MATCH(F257,Produtos!$A$2:$A$11,0))</f>
        <v>1799</v>
      </c>
      <c r="J257" s="5" t="n">
        <f aca="false">H257*I257</f>
        <v>3598</v>
      </c>
      <c r="K257" s="5" t="n">
        <f aca="false">INDEX(Produtos!$E$2:$E$11,MATCH(F257,Produtos!$A$2:$A$11,0))</f>
        <v>1250</v>
      </c>
      <c r="L257" s="5" t="n">
        <f aca="false">H257*K257</f>
        <v>2500</v>
      </c>
    </row>
    <row r="258" customFormat="false" ht="15" hidden="false" customHeight="false" outlineLevel="0" collapsed="false">
      <c r="A258" s="2" t="s">
        <v>540</v>
      </c>
      <c r="B258" s="8" t="n">
        <v>46044</v>
      </c>
      <c r="C258" s="2" t="s">
        <v>108</v>
      </c>
      <c r="D258" s="3" t="str">
        <f aca="false">INDEX(Vendedores!$C$2:$C$101,MATCH(C258,Vendedores!$A$2:$A$101,0))</f>
        <v>L03</v>
      </c>
      <c r="E258" s="3" t="str">
        <f aca="false">INDEX(Lojas!$E$2:$E$11,MATCH(D258,Lojas!$A$2:$A$11,0))</f>
        <v>Sudeste</v>
      </c>
      <c r="F258" s="2" t="s">
        <v>273</v>
      </c>
      <c r="G258" s="3" t="str">
        <f aca="false">INDEX(Produtos!$B$2:$B$11,MATCH(F258,Produtos!$A$2:$A$11,0))&amp;" "&amp;INDEX(Produtos!$C$2:$C$11,MATCH(F258,Produtos!$A$2:$A$11,0))</f>
        <v>Controle de Videogame PS4</v>
      </c>
      <c r="H258" s="2" t="n">
        <v>1</v>
      </c>
      <c r="I258" s="5" t="n">
        <f aca="false">INDEX(Produtos!$D$2:$D$11,MATCH(F258,Produtos!$A$2:$A$11,0))</f>
        <v>299.9</v>
      </c>
      <c r="J258" s="5" t="n">
        <f aca="false">H258*I258</f>
        <v>299.9</v>
      </c>
      <c r="K258" s="5" t="n">
        <f aca="false">INDEX(Produtos!$E$2:$E$11,MATCH(F258,Produtos!$A$2:$A$11,0))</f>
        <v>175</v>
      </c>
      <c r="L258" s="5" t="n">
        <f aca="false">H258*K258</f>
        <v>175</v>
      </c>
    </row>
    <row r="259" customFormat="false" ht="15" hidden="false" customHeight="false" outlineLevel="0" collapsed="false">
      <c r="A259" s="2" t="s">
        <v>541</v>
      </c>
      <c r="B259" s="8" t="n">
        <v>46044</v>
      </c>
      <c r="C259" s="2" t="s">
        <v>213</v>
      </c>
      <c r="D259" s="3" t="str">
        <f aca="false">INDEX(Vendedores!$C$2:$C$101,MATCH(C259,Vendedores!$A$2:$A$101,0))</f>
        <v>L09</v>
      </c>
      <c r="E259" s="3" t="str">
        <f aca="false">INDEX(Lojas!$E$2:$E$11,MATCH(D259,Lojas!$A$2:$A$11,0))</f>
        <v>Nordeste</v>
      </c>
      <c r="F259" s="2" t="s">
        <v>262</v>
      </c>
      <c r="G259" s="3" t="str">
        <f aca="false">INDEX(Produtos!$B$2:$B$11,MATCH(F259,Produtos!$A$2:$A$11,0))&amp;" "&amp;INDEX(Produtos!$C$2:$C$11,MATCH(F259,Produtos!$A$2:$A$11,0))</f>
        <v>Fone de Ouvido De Celular</v>
      </c>
      <c r="H259" s="2" t="n">
        <v>1</v>
      </c>
      <c r="I259" s="5" t="n">
        <f aca="false">INDEX(Produtos!$D$2:$D$11,MATCH(F259,Produtos!$A$2:$A$11,0))</f>
        <v>59.9</v>
      </c>
      <c r="J259" s="5" t="n">
        <f aca="false">H259*I259</f>
        <v>59.9</v>
      </c>
      <c r="K259" s="5" t="n">
        <f aca="false">INDEX(Produtos!$E$2:$E$11,MATCH(F259,Produtos!$A$2:$A$11,0))</f>
        <v>28</v>
      </c>
      <c r="L259" s="5" t="n">
        <f aca="false">H259*K259</f>
        <v>28</v>
      </c>
    </row>
    <row r="260" customFormat="false" ht="15" hidden="false" customHeight="false" outlineLevel="0" collapsed="false">
      <c r="A260" s="2" t="s">
        <v>542</v>
      </c>
      <c r="B260" s="8" t="n">
        <v>46045</v>
      </c>
      <c r="C260" s="2" t="s">
        <v>138</v>
      </c>
      <c r="D260" s="3" t="str">
        <f aca="false">INDEX(Vendedores!$C$2:$C$101,MATCH(C260,Vendedores!$A$2:$A$101,0))</f>
        <v>L05</v>
      </c>
      <c r="E260" s="3" t="str">
        <f aca="false">INDEX(Lojas!$E$2:$E$11,MATCH(D260,Lojas!$A$2:$A$11,0))</f>
        <v>Sul</v>
      </c>
      <c r="F260" s="2" t="s">
        <v>265</v>
      </c>
      <c r="G260" s="3" t="str">
        <f aca="false">INDEX(Produtos!$B$2:$B$11,MATCH(F260,Produtos!$A$2:$A$11,0))&amp;" "&amp;INDEX(Produtos!$C$2:$C$11,MATCH(F260,Produtos!$A$2:$A$11,0))</f>
        <v>Fone de Ouvido Headset</v>
      </c>
      <c r="H260" s="2" t="n">
        <v>3</v>
      </c>
      <c r="I260" s="5" t="n">
        <f aca="false">INDEX(Produtos!$D$2:$D$11,MATCH(F260,Produtos!$A$2:$A$11,0))</f>
        <v>249.9</v>
      </c>
      <c r="J260" s="5" t="n">
        <f aca="false">H260*I260</f>
        <v>749.7</v>
      </c>
      <c r="K260" s="5" t="n">
        <f aca="false">INDEX(Produtos!$E$2:$E$11,MATCH(F260,Produtos!$A$2:$A$11,0))</f>
        <v>145</v>
      </c>
      <c r="L260" s="5" t="n">
        <f aca="false">H260*K260</f>
        <v>435</v>
      </c>
    </row>
    <row r="261" customFormat="false" ht="15" hidden="false" customHeight="false" outlineLevel="0" collapsed="false">
      <c r="A261" s="2" t="s">
        <v>543</v>
      </c>
      <c r="B261" s="8" t="n">
        <v>46045</v>
      </c>
      <c r="C261" s="2" t="s">
        <v>90</v>
      </c>
      <c r="D261" s="3" t="str">
        <f aca="false">INDEX(Vendedores!$C$2:$C$101,MATCH(C261,Vendedores!$A$2:$A$101,0))</f>
        <v>L03</v>
      </c>
      <c r="E261" s="3" t="str">
        <f aca="false">INDEX(Lojas!$E$2:$E$11,MATCH(D261,Lojas!$A$2:$A$11,0))</f>
        <v>Sudeste</v>
      </c>
      <c r="F261" s="2" t="s">
        <v>275</v>
      </c>
      <c r="G261" s="3" t="str">
        <f aca="false">INDEX(Produtos!$B$2:$B$11,MATCH(F261,Produtos!$A$2:$A$11,0))&amp;" "&amp;INDEX(Produtos!$C$2:$C$11,MATCH(F261,Produtos!$A$2:$A$11,0))</f>
        <v>Controle de Videogame PS5</v>
      </c>
      <c r="H261" s="2" t="n">
        <v>2</v>
      </c>
      <c r="I261" s="5" t="n">
        <f aca="false">INDEX(Produtos!$D$2:$D$11,MATCH(F261,Produtos!$A$2:$A$11,0))</f>
        <v>379.9</v>
      </c>
      <c r="J261" s="5" t="n">
        <f aca="false">H261*I261</f>
        <v>759.8</v>
      </c>
      <c r="K261" s="5" t="n">
        <f aca="false">INDEX(Produtos!$E$2:$E$11,MATCH(F261,Produtos!$A$2:$A$11,0))</f>
        <v>235</v>
      </c>
      <c r="L261" s="5" t="n">
        <f aca="false">H261*K261</f>
        <v>470</v>
      </c>
    </row>
    <row r="262" customFormat="false" ht="15" hidden="false" customHeight="false" outlineLevel="0" collapsed="false">
      <c r="A262" s="2" t="s">
        <v>544</v>
      </c>
      <c r="B262" s="8" t="n">
        <v>46045</v>
      </c>
      <c r="C262" s="2" t="s">
        <v>154</v>
      </c>
      <c r="D262" s="3" t="str">
        <f aca="false">INDEX(Vendedores!$C$2:$C$101,MATCH(C262,Vendedores!$A$2:$A$101,0))</f>
        <v>L06</v>
      </c>
      <c r="E262" s="3" t="str">
        <f aca="false">INDEX(Lojas!$E$2:$E$11,MATCH(D262,Lojas!$A$2:$A$11,0))</f>
        <v>Sul</v>
      </c>
      <c r="F262" s="2" t="s">
        <v>262</v>
      </c>
      <c r="G262" s="3" t="str">
        <f aca="false">INDEX(Produtos!$B$2:$B$11,MATCH(F262,Produtos!$A$2:$A$11,0))&amp;" "&amp;INDEX(Produtos!$C$2:$C$11,MATCH(F262,Produtos!$A$2:$A$11,0))</f>
        <v>Fone de Ouvido De Celular</v>
      </c>
      <c r="H262" s="2" t="n">
        <v>1</v>
      </c>
      <c r="I262" s="5" t="n">
        <f aca="false">INDEX(Produtos!$D$2:$D$11,MATCH(F262,Produtos!$A$2:$A$11,0))</f>
        <v>59.9</v>
      </c>
      <c r="J262" s="5" t="n">
        <f aca="false">H262*I262</f>
        <v>59.9</v>
      </c>
      <c r="K262" s="5" t="n">
        <f aca="false">INDEX(Produtos!$E$2:$E$11,MATCH(F262,Produtos!$A$2:$A$11,0))</f>
        <v>28</v>
      </c>
      <c r="L262" s="5" t="n">
        <f aca="false">H262*K262</f>
        <v>28</v>
      </c>
    </row>
    <row r="263" customFormat="false" ht="15" hidden="false" customHeight="false" outlineLevel="0" collapsed="false">
      <c r="A263" s="2" t="s">
        <v>545</v>
      </c>
      <c r="B263" s="8" t="n">
        <v>46045</v>
      </c>
      <c r="C263" s="2" t="s">
        <v>128</v>
      </c>
      <c r="D263" s="3" t="str">
        <f aca="false">INDEX(Vendedores!$C$2:$C$101,MATCH(C263,Vendedores!$A$2:$A$101,0))</f>
        <v>L04</v>
      </c>
      <c r="E263" s="3" t="str">
        <f aca="false">INDEX(Lojas!$E$2:$E$11,MATCH(D263,Lojas!$A$2:$A$11,0))</f>
        <v>Sudeste</v>
      </c>
      <c r="F263" s="2" t="s">
        <v>270</v>
      </c>
      <c r="G263" s="3" t="str">
        <f aca="false">INDEX(Produtos!$B$2:$B$11,MATCH(F263,Produtos!$A$2:$A$11,0))&amp;" "&amp;INDEX(Produtos!$C$2:$C$11,MATCH(F263,Produtos!$A$2:$A$11,0))</f>
        <v>Controle de Videogame Xbox</v>
      </c>
      <c r="H263" s="2" t="n">
        <v>1</v>
      </c>
      <c r="I263" s="5" t="n">
        <f aca="false">INDEX(Produtos!$D$2:$D$11,MATCH(F263,Produtos!$A$2:$A$11,0))</f>
        <v>349.9</v>
      </c>
      <c r="J263" s="5" t="n">
        <f aca="false">H263*I263</f>
        <v>349.9</v>
      </c>
      <c r="K263" s="5" t="n">
        <f aca="false">INDEX(Produtos!$E$2:$E$11,MATCH(F263,Produtos!$A$2:$A$11,0))</f>
        <v>215</v>
      </c>
      <c r="L263" s="5" t="n">
        <f aca="false">H263*K263</f>
        <v>215</v>
      </c>
    </row>
    <row r="264" customFormat="false" ht="15" hidden="false" customHeight="false" outlineLevel="0" collapsed="false">
      <c r="A264" s="2" t="s">
        <v>546</v>
      </c>
      <c r="B264" s="8" t="n">
        <v>46045</v>
      </c>
      <c r="C264" s="2" t="s">
        <v>168</v>
      </c>
      <c r="D264" s="3" t="str">
        <f aca="false">INDEX(Vendedores!$C$2:$C$101,MATCH(C264,Vendedores!$A$2:$A$101,0))</f>
        <v>L07</v>
      </c>
      <c r="E264" s="3" t="str">
        <f aca="false">INDEX(Lojas!$E$2:$E$11,MATCH(D264,Lojas!$A$2:$A$11,0))</f>
        <v>Sul</v>
      </c>
      <c r="F264" s="2" t="s">
        <v>262</v>
      </c>
      <c r="G264" s="3" t="str">
        <f aca="false">INDEX(Produtos!$B$2:$B$11,MATCH(F264,Produtos!$A$2:$A$11,0))&amp;" "&amp;INDEX(Produtos!$C$2:$C$11,MATCH(F264,Produtos!$A$2:$A$11,0))</f>
        <v>Fone de Ouvido De Celular</v>
      </c>
      <c r="H264" s="2" t="n">
        <v>1</v>
      </c>
      <c r="I264" s="5" t="n">
        <f aca="false">INDEX(Produtos!$D$2:$D$11,MATCH(F264,Produtos!$A$2:$A$11,0))</f>
        <v>59.9</v>
      </c>
      <c r="J264" s="5" t="n">
        <f aca="false">H264*I264</f>
        <v>59.9</v>
      </c>
      <c r="K264" s="5" t="n">
        <f aca="false">INDEX(Produtos!$E$2:$E$11,MATCH(F264,Produtos!$A$2:$A$11,0))</f>
        <v>28</v>
      </c>
      <c r="L264" s="5" t="n">
        <f aca="false">H264*K264</f>
        <v>28</v>
      </c>
    </row>
    <row r="265" customFormat="false" ht="15" hidden="false" customHeight="false" outlineLevel="0" collapsed="false">
      <c r="A265" s="2" t="s">
        <v>547</v>
      </c>
      <c r="B265" s="8" t="n">
        <v>46045</v>
      </c>
      <c r="C265" s="2" t="s">
        <v>98</v>
      </c>
      <c r="D265" s="3" t="str">
        <f aca="false">INDEX(Vendedores!$C$2:$C$101,MATCH(C265,Vendedores!$A$2:$A$101,0))</f>
        <v>L03</v>
      </c>
      <c r="E265" s="3" t="str">
        <f aca="false">INDEX(Lojas!$E$2:$E$11,MATCH(D265,Lojas!$A$2:$A$11,0))</f>
        <v>Sudeste</v>
      </c>
      <c r="F265" s="2" t="s">
        <v>260</v>
      </c>
      <c r="G265" s="3" t="str">
        <f aca="false">INDEX(Produtos!$B$2:$B$11,MATCH(F265,Produtos!$A$2:$A$11,0))&amp;" "&amp;INDEX(Produtos!$C$2:$C$11,MATCH(F265,Produtos!$A$2:$A$11,0))</f>
        <v>Celular Motorola</v>
      </c>
      <c r="H265" s="2" t="n">
        <v>2</v>
      </c>
      <c r="I265" s="5" t="n">
        <f aca="false">INDEX(Produtos!$D$2:$D$11,MATCH(F265,Produtos!$A$2:$A$11,0))</f>
        <v>1799</v>
      </c>
      <c r="J265" s="5" t="n">
        <f aca="false">H265*I265</f>
        <v>3598</v>
      </c>
      <c r="K265" s="5" t="n">
        <f aca="false">INDEX(Produtos!$E$2:$E$11,MATCH(F265,Produtos!$A$2:$A$11,0))</f>
        <v>1250</v>
      </c>
      <c r="L265" s="5" t="n">
        <f aca="false">H265*K265</f>
        <v>2500</v>
      </c>
    </row>
    <row r="266" customFormat="false" ht="15" hidden="false" customHeight="false" outlineLevel="0" collapsed="false">
      <c r="A266" s="2" t="s">
        <v>548</v>
      </c>
      <c r="B266" s="8" t="n">
        <v>46045</v>
      </c>
      <c r="C266" s="2" t="s">
        <v>174</v>
      </c>
      <c r="D266" s="3" t="str">
        <f aca="false">INDEX(Vendedores!$C$2:$C$101,MATCH(C266,Vendedores!$A$2:$A$101,0))</f>
        <v>L07</v>
      </c>
      <c r="E266" s="3" t="str">
        <f aca="false">INDEX(Lojas!$E$2:$E$11,MATCH(D266,Lojas!$A$2:$A$11,0))</f>
        <v>Sul</v>
      </c>
      <c r="F266" s="2" t="s">
        <v>275</v>
      </c>
      <c r="G266" s="3" t="str">
        <f aca="false">INDEX(Produtos!$B$2:$B$11,MATCH(F266,Produtos!$A$2:$A$11,0))&amp;" "&amp;INDEX(Produtos!$C$2:$C$11,MATCH(F266,Produtos!$A$2:$A$11,0))</f>
        <v>Controle de Videogame PS5</v>
      </c>
      <c r="H266" s="2" t="n">
        <v>1</v>
      </c>
      <c r="I266" s="5" t="n">
        <f aca="false">INDEX(Produtos!$D$2:$D$11,MATCH(F266,Produtos!$A$2:$A$11,0))</f>
        <v>379.9</v>
      </c>
      <c r="J266" s="5" t="n">
        <f aca="false">H266*I266</f>
        <v>379.9</v>
      </c>
      <c r="K266" s="5" t="n">
        <f aca="false">INDEX(Produtos!$E$2:$E$11,MATCH(F266,Produtos!$A$2:$A$11,0))</f>
        <v>235</v>
      </c>
      <c r="L266" s="5" t="n">
        <f aca="false">H266*K266</f>
        <v>235</v>
      </c>
    </row>
    <row r="267" customFormat="false" ht="15" hidden="false" customHeight="false" outlineLevel="0" collapsed="false">
      <c r="A267" s="2" t="s">
        <v>549</v>
      </c>
      <c r="B267" s="8" t="n">
        <v>46045</v>
      </c>
      <c r="C267" s="2" t="s">
        <v>197</v>
      </c>
      <c r="D267" s="3" t="str">
        <f aca="false">INDEX(Vendedores!$C$2:$C$101,MATCH(C267,Vendedores!$A$2:$A$101,0))</f>
        <v>L08</v>
      </c>
      <c r="E267" s="3" t="str">
        <f aca="false">INDEX(Lojas!$E$2:$E$11,MATCH(D267,Lojas!$A$2:$A$11,0))</f>
        <v>Nordeste</v>
      </c>
      <c r="F267" s="2" t="s">
        <v>260</v>
      </c>
      <c r="G267" s="3" t="str">
        <f aca="false">INDEX(Produtos!$B$2:$B$11,MATCH(F267,Produtos!$A$2:$A$11,0))&amp;" "&amp;INDEX(Produtos!$C$2:$C$11,MATCH(F267,Produtos!$A$2:$A$11,0))</f>
        <v>Celular Motorola</v>
      </c>
      <c r="H267" s="2" t="n">
        <v>2</v>
      </c>
      <c r="I267" s="5" t="n">
        <f aca="false">INDEX(Produtos!$D$2:$D$11,MATCH(F267,Produtos!$A$2:$A$11,0))</f>
        <v>1799</v>
      </c>
      <c r="J267" s="5" t="n">
        <f aca="false">H267*I267</f>
        <v>3598</v>
      </c>
      <c r="K267" s="5" t="n">
        <f aca="false">INDEX(Produtos!$E$2:$E$11,MATCH(F267,Produtos!$A$2:$A$11,0))</f>
        <v>1250</v>
      </c>
      <c r="L267" s="5" t="n">
        <f aca="false">H267*K267</f>
        <v>2500</v>
      </c>
    </row>
    <row r="268" customFormat="false" ht="15" hidden="false" customHeight="false" outlineLevel="0" collapsed="false">
      <c r="A268" s="2" t="s">
        <v>550</v>
      </c>
      <c r="B268" s="8" t="n">
        <v>46045</v>
      </c>
      <c r="C268" s="2" t="s">
        <v>193</v>
      </c>
      <c r="D268" s="3" t="str">
        <f aca="false">INDEX(Vendedores!$C$2:$C$101,MATCH(C268,Vendedores!$A$2:$A$101,0))</f>
        <v>L08</v>
      </c>
      <c r="E268" s="3" t="str">
        <f aca="false">INDEX(Lojas!$E$2:$E$11,MATCH(D268,Lojas!$A$2:$A$11,0))</f>
        <v>Nordeste</v>
      </c>
      <c r="F268" s="2" t="s">
        <v>273</v>
      </c>
      <c r="G268" s="3" t="str">
        <f aca="false">INDEX(Produtos!$B$2:$B$11,MATCH(F268,Produtos!$A$2:$A$11,0))&amp;" "&amp;INDEX(Produtos!$C$2:$C$11,MATCH(F268,Produtos!$A$2:$A$11,0))</f>
        <v>Controle de Videogame PS4</v>
      </c>
      <c r="H268" s="2" t="n">
        <v>1</v>
      </c>
      <c r="I268" s="5" t="n">
        <f aca="false">INDEX(Produtos!$D$2:$D$11,MATCH(F268,Produtos!$A$2:$A$11,0))</f>
        <v>299.9</v>
      </c>
      <c r="J268" s="5" t="n">
        <f aca="false">H268*I268</f>
        <v>299.9</v>
      </c>
      <c r="K268" s="5" t="n">
        <f aca="false">INDEX(Produtos!$E$2:$E$11,MATCH(F268,Produtos!$A$2:$A$11,0))</f>
        <v>175</v>
      </c>
      <c r="L268" s="5" t="n">
        <f aca="false">H268*K268</f>
        <v>175</v>
      </c>
    </row>
    <row r="269" customFormat="false" ht="15" hidden="false" customHeight="false" outlineLevel="0" collapsed="false">
      <c r="A269" s="2" t="s">
        <v>551</v>
      </c>
      <c r="B269" s="8" t="n">
        <v>46045</v>
      </c>
      <c r="C269" s="2" t="s">
        <v>213</v>
      </c>
      <c r="D269" s="3" t="str">
        <f aca="false">INDEX(Vendedores!$C$2:$C$101,MATCH(C269,Vendedores!$A$2:$A$101,0))</f>
        <v>L09</v>
      </c>
      <c r="E269" s="3" t="str">
        <f aca="false">INDEX(Lojas!$E$2:$E$11,MATCH(D269,Lojas!$A$2:$A$11,0))</f>
        <v>Nordeste</v>
      </c>
      <c r="F269" s="2" t="s">
        <v>255</v>
      </c>
      <c r="G269" s="3" t="str">
        <f aca="false">INDEX(Produtos!$B$2:$B$11,MATCH(F269,Produtos!$A$2:$A$11,0))&amp;" "&amp;INDEX(Produtos!$C$2:$C$11,MATCH(F269,Produtos!$A$2:$A$11,0))</f>
        <v>Notebook Positivo</v>
      </c>
      <c r="H269" s="2" t="n">
        <v>1</v>
      </c>
      <c r="I269" s="5" t="n">
        <f aca="false">INDEX(Produtos!$D$2:$D$11,MATCH(F269,Produtos!$A$2:$A$11,0))</f>
        <v>2199</v>
      </c>
      <c r="J269" s="5" t="n">
        <f aca="false">H269*I269</f>
        <v>2199</v>
      </c>
      <c r="K269" s="5" t="n">
        <f aca="false">INDEX(Produtos!$E$2:$E$11,MATCH(F269,Produtos!$A$2:$A$11,0))</f>
        <v>1550</v>
      </c>
      <c r="L269" s="5" t="n">
        <f aca="false">H269*K269</f>
        <v>1550</v>
      </c>
    </row>
    <row r="270" customFormat="false" ht="15" hidden="false" customHeight="false" outlineLevel="0" collapsed="false">
      <c r="A270" s="2" t="s">
        <v>552</v>
      </c>
      <c r="B270" s="8" t="n">
        <v>46045</v>
      </c>
      <c r="C270" s="2" t="s">
        <v>183</v>
      </c>
      <c r="D270" s="3" t="str">
        <f aca="false">INDEX(Vendedores!$C$2:$C$101,MATCH(C270,Vendedores!$A$2:$A$101,0))</f>
        <v>L07</v>
      </c>
      <c r="E270" s="3" t="str">
        <f aca="false">INDEX(Lojas!$E$2:$E$11,MATCH(D270,Lojas!$A$2:$A$11,0))</f>
        <v>Sul</v>
      </c>
      <c r="F270" s="2" t="s">
        <v>273</v>
      </c>
      <c r="G270" s="3" t="str">
        <f aca="false">INDEX(Produtos!$B$2:$B$11,MATCH(F270,Produtos!$A$2:$A$11,0))&amp;" "&amp;INDEX(Produtos!$C$2:$C$11,MATCH(F270,Produtos!$A$2:$A$11,0))</f>
        <v>Controle de Videogame PS4</v>
      </c>
      <c r="H270" s="2" t="n">
        <v>3</v>
      </c>
      <c r="I270" s="5" t="n">
        <f aca="false">INDEX(Produtos!$D$2:$D$11,MATCH(F270,Produtos!$A$2:$A$11,0))</f>
        <v>299.9</v>
      </c>
      <c r="J270" s="5" t="n">
        <f aca="false">H270*I270</f>
        <v>899.7</v>
      </c>
      <c r="K270" s="5" t="n">
        <f aca="false">INDEX(Produtos!$E$2:$E$11,MATCH(F270,Produtos!$A$2:$A$11,0))</f>
        <v>175</v>
      </c>
      <c r="L270" s="5" t="n">
        <f aca="false">H270*K270</f>
        <v>525</v>
      </c>
    </row>
    <row r="271" customFormat="false" ht="15" hidden="false" customHeight="false" outlineLevel="0" collapsed="false">
      <c r="A271" s="2" t="s">
        <v>553</v>
      </c>
      <c r="B271" s="8" t="n">
        <v>46046</v>
      </c>
      <c r="C271" s="2" t="s">
        <v>54</v>
      </c>
      <c r="D271" s="3" t="str">
        <f aca="false">INDEX(Vendedores!$C$2:$C$101,MATCH(C271,Vendedores!$A$2:$A$101,0))</f>
        <v>L01</v>
      </c>
      <c r="E271" s="3" t="str">
        <f aca="false">INDEX(Lojas!$E$2:$E$11,MATCH(D271,Lojas!$A$2:$A$11,0))</f>
        <v>Sudeste</v>
      </c>
      <c r="F271" s="2" t="s">
        <v>262</v>
      </c>
      <c r="G271" s="3" t="str">
        <f aca="false">INDEX(Produtos!$B$2:$B$11,MATCH(F271,Produtos!$A$2:$A$11,0))&amp;" "&amp;INDEX(Produtos!$C$2:$C$11,MATCH(F271,Produtos!$A$2:$A$11,0))</f>
        <v>Fone de Ouvido De Celular</v>
      </c>
      <c r="H271" s="2" t="n">
        <v>1</v>
      </c>
      <c r="I271" s="5" t="n">
        <f aca="false">INDEX(Produtos!$D$2:$D$11,MATCH(F271,Produtos!$A$2:$A$11,0))</f>
        <v>59.9</v>
      </c>
      <c r="J271" s="5" t="n">
        <f aca="false">H271*I271</f>
        <v>59.9</v>
      </c>
      <c r="K271" s="5" t="n">
        <f aca="false">INDEX(Produtos!$E$2:$E$11,MATCH(F271,Produtos!$A$2:$A$11,0))</f>
        <v>28</v>
      </c>
      <c r="L271" s="5" t="n">
        <f aca="false">H271*K271</f>
        <v>28</v>
      </c>
    </row>
    <row r="272" customFormat="false" ht="15" hidden="false" customHeight="false" outlineLevel="0" collapsed="false">
      <c r="A272" s="2" t="s">
        <v>554</v>
      </c>
      <c r="B272" s="8" t="n">
        <v>46046</v>
      </c>
      <c r="C272" s="2" t="s">
        <v>140</v>
      </c>
      <c r="D272" s="3" t="str">
        <f aca="false">INDEX(Vendedores!$C$2:$C$101,MATCH(C272,Vendedores!$A$2:$A$101,0))</f>
        <v>L05</v>
      </c>
      <c r="E272" s="3" t="str">
        <f aca="false">INDEX(Lojas!$E$2:$E$11,MATCH(D272,Lojas!$A$2:$A$11,0))</f>
        <v>Sul</v>
      </c>
      <c r="F272" s="2" t="s">
        <v>275</v>
      </c>
      <c r="G272" s="3" t="str">
        <f aca="false">INDEX(Produtos!$B$2:$B$11,MATCH(F272,Produtos!$A$2:$A$11,0))&amp;" "&amp;INDEX(Produtos!$C$2:$C$11,MATCH(F272,Produtos!$A$2:$A$11,0))</f>
        <v>Controle de Videogame PS5</v>
      </c>
      <c r="H272" s="2" t="n">
        <v>1</v>
      </c>
      <c r="I272" s="5" t="n">
        <f aca="false">INDEX(Produtos!$D$2:$D$11,MATCH(F272,Produtos!$A$2:$A$11,0))</f>
        <v>379.9</v>
      </c>
      <c r="J272" s="5" t="n">
        <f aca="false">H272*I272</f>
        <v>379.9</v>
      </c>
      <c r="K272" s="5" t="n">
        <f aca="false">INDEX(Produtos!$E$2:$E$11,MATCH(F272,Produtos!$A$2:$A$11,0))</f>
        <v>235</v>
      </c>
      <c r="L272" s="5" t="n">
        <f aca="false">H272*K272</f>
        <v>235</v>
      </c>
    </row>
    <row r="273" customFormat="false" ht="15" hidden="false" customHeight="false" outlineLevel="0" collapsed="false">
      <c r="A273" s="2" t="s">
        <v>555</v>
      </c>
      <c r="B273" s="8" t="n">
        <v>46046</v>
      </c>
      <c r="C273" s="2" t="s">
        <v>118</v>
      </c>
      <c r="D273" s="3" t="str">
        <f aca="false">INDEX(Vendedores!$C$2:$C$101,MATCH(C273,Vendedores!$A$2:$A$101,0))</f>
        <v>L04</v>
      </c>
      <c r="E273" s="3" t="str">
        <f aca="false">INDEX(Lojas!$E$2:$E$11,MATCH(D273,Lojas!$A$2:$A$11,0))</f>
        <v>Sudeste</v>
      </c>
      <c r="F273" s="2" t="s">
        <v>257</v>
      </c>
      <c r="G273" s="3" t="str">
        <f aca="false">INDEX(Produtos!$B$2:$B$11,MATCH(F273,Produtos!$A$2:$A$11,0))&amp;" "&amp;INDEX(Produtos!$C$2:$C$11,MATCH(F273,Produtos!$A$2:$A$11,0))</f>
        <v>Celular Samsung</v>
      </c>
      <c r="H273" s="2" t="n">
        <v>1</v>
      </c>
      <c r="I273" s="5" t="n">
        <f aca="false">INDEX(Produtos!$D$2:$D$11,MATCH(F273,Produtos!$A$2:$A$11,0))</f>
        <v>2499</v>
      </c>
      <c r="J273" s="5" t="n">
        <f aca="false">H273*I273</f>
        <v>2499</v>
      </c>
      <c r="K273" s="5" t="n">
        <f aca="false">INDEX(Produtos!$E$2:$E$11,MATCH(F273,Produtos!$A$2:$A$11,0))</f>
        <v>1800</v>
      </c>
      <c r="L273" s="5" t="n">
        <f aca="false">H273*K273</f>
        <v>1800</v>
      </c>
    </row>
    <row r="274" customFormat="false" ht="15" hidden="false" customHeight="false" outlineLevel="0" collapsed="false">
      <c r="A274" s="2" t="s">
        <v>556</v>
      </c>
      <c r="B274" s="8" t="n">
        <v>46046</v>
      </c>
      <c r="C274" s="2" t="s">
        <v>131</v>
      </c>
      <c r="D274" s="3" t="str">
        <f aca="false">INDEX(Vendedores!$C$2:$C$101,MATCH(C274,Vendedores!$A$2:$A$101,0))</f>
        <v>L05</v>
      </c>
      <c r="E274" s="3" t="str">
        <f aca="false">INDEX(Lojas!$E$2:$E$11,MATCH(D274,Lojas!$A$2:$A$11,0))</f>
        <v>Sul</v>
      </c>
      <c r="F274" s="2" t="s">
        <v>270</v>
      </c>
      <c r="G274" s="3" t="str">
        <f aca="false">INDEX(Produtos!$B$2:$B$11,MATCH(F274,Produtos!$A$2:$A$11,0))&amp;" "&amp;INDEX(Produtos!$C$2:$C$11,MATCH(F274,Produtos!$A$2:$A$11,0))</f>
        <v>Controle de Videogame Xbox</v>
      </c>
      <c r="H274" s="2" t="n">
        <v>1</v>
      </c>
      <c r="I274" s="5" t="n">
        <f aca="false">INDEX(Produtos!$D$2:$D$11,MATCH(F274,Produtos!$A$2:$A$11,0))</f>
        <v>349.9</v>
      </c>
      <c r="J274" s="5" t="n">
        <f aca="false">H274*I274</f>
        <v>349.9</v>
      </c>
      <c r="K274" s="5" t="n">
        <f aca="false">INDEX(Produtos!$E$2:$E$11,MATCH(F274,Produtos!$A$2:$A$11,0))</f>
        <v>215</v>
      </c>
      <c r="L274" s="5" t="n">
        <f aca="false">H274*K274</f>
        <v>215</v>
      </c>
    </row>
    <row r="275" customFormat="false" ht="15" hidden="false" customHeight="false" outlineLevel="0" collapsed="false">
      <c r="A275" s="2" t="s">
        <v>557</v>
      </c>
      <c r="B275" s="8" t="n">
        <v>46046</v>
      </c>
      <c r="C275" s="2" t="s">
        <v>168</v>
      </c>
      <c r="D275" s="3" t="str">
        <f aca="false">INDEX(Vendedores!$C$2:$C$101,MATCH(C275,Vendedores!$A$2:$A$101,0))</f>
        <v>L07</v>
      </c>
      <c r="E275" s="3" t="str">
        <f aca="false">INDEX(Lojas!$E$2:$E$11,MATCH(D275,Lojas!$A$2:$A$11,0))</f>
        <v>Sul</v>
      </c>
      <c r="F275" s="2" t="s">
        <v>255</v>
      </c>
      <c r="G275" s="3" t="str">
        <f aca="false">INDEX(Produtos!$B$2:$B$11,MATCH(F275,Produtos!$A$2:$A$11,0))&amp;" "&amp;INDEX(Produtos!$C$2:$C$11,MATCH(F275,Produtos!$A$2:$A$11,0))</f>
        <v>Notebook Positivo</v>
      </c>
      <c r="H275" s="2" t="n">
        <v>1</v>
      </c>
      <c r="I275" s="5" t="n">
        <f aca="false">INDEX(Produtos!$D$2:$D$11,MATCH(F275,Produtos!$A$2:$A$11,0))</f>
        <v>2199</v>
      </c>
      <c r="J275" s="5" t="n">
        <f aca="false">H275*I275</f>
        <v>2199</v>
      </c>
      <c r="K275" s="5" t="n">
        <f aca="false">INDEX(Produtos!$E$2:$E$11,MATCH(F275,Produtos!$A$2:$A$11,0))</f>
        <v>1550</v>
      </c>
      <c r="L275" s="5" t="n">
        <f aca="false">H275*K275</f>
        <v>1550</v>
      </c>
    </row>
    <row r="276" customFormat="false" ht="15" hidden="false" customHeight="false" outlineLevel="0" collapsed="false">
      <c r="A276" s="2" t="s">
        <v>558</v>
      </c>
      <c r="B276" s="8" t="n">
        <v>46046</v>
      </c>
      <c r="C276" s="2" t="s">
        <v>187</v>
      </c>
      <c r="D276" s="3" t="str">
        <f aca="false">INDEX(Vendedores!$C$2:$C$101,MATCH(C276,Vendedores!$A$2:$A$101,0))</f>
        <v>L08</v>
      </c>
      <c r="E276" s="3" t="str">
        <f aca="false">INDEX(Lojas!$E$2:$E$11,MATCH(D276,Lojas!$A$2:$A$11,0))</f>
        <v>Nordeste</v>
      </c>
      <c r="F276" s="2" t="s">
        <v>252</v>
      </c>
      <c r="G276" s="3" t="str">
        <f aca="false">INDEX(Produtos!$B$2:$B$11,MATCH(F276,Produtos!$A$2:$A$11,0))&amp;" "&amp;INDEX(Produtos!$C$2:$C$11,MATCH(F276,Produtos!$A$2:$A$11,0))</f>
        <v>Notebook Lenovo</v>
      </c>
      <c r="H276" s="2" t="n">
        <v>1</v>
      </c>
      <c r="I276" s="5" t="n">
        <f aca="false">INDEX(Produtos!$D$2:$D$11,MATCH(F276,Produtos!$A$2:$A$11,0))</f>
        <v>3199</v>
      </c>
      <c r="J276" s="5" t="n">
        <f aca="false">H276*I276</f>
        <v>3199</v>
      </c>
      <c r="K276" s="5" t="n">
        <f aca="false">INDEX(Produtos!$E$2:$E$11,MATCH(F276,Produtos!$A$2:$A$11,0))</f>
        <v>2350</v>
      </c>
      <c r="L276" s="5" t="n">
        <f aca="false">H276*K276</f>
        <v>2350</v>
      </c>
    </row>
    <row r="277" customFormat="false" ht="15" hidden="false" customHeight="false" outlineLevel="0" collapsed="false">
      <c r="A277" s="2" t="s">
        <v>559</v>
      </c>
      <c r="B277" s="8" t="n">
        <v>46046</v>
      </c>
      <c r="C277" s="2" t="s">
        <v>52</v>
      </c>
      <c r="D277" s="3" t="str">
        <f aca="false">INDEX(Vendedores!$C$2:$C$101,MATCH(C277,Vendedores!$A$2:$A$101,0))</f>
        <v>L01</v>
      </c>
      <c r="E277" s="3" t="str">
        <f aca="false">INDEX(Lojas!$E$2:$E$11,MATCH(D277,Lojas!$A$2:$A$11,0))</f>
        <v>Sudeste</v>
      </c>
      <c r="F277" s="2" t="s">
        <v>255</v>
      </c>
      <c r="G277" s="3" t="str">
        <f aca="false">INDEX(Produtos!$B$2:$B$11,MATCH(F277,Produtos!$A$2:$A$11,0))&amp;" "&amp;INDEX(Produtos!$C$2:$C$11,MATCH(F277,Produtos!$A$2:$A$11,0))</f>
        <v>Notebook Positivo</v>
      </c>
      <c r="H277" s="2" t="n">
        <v>2</v>
      </c>
      <c r="I277" s="5" t="n">
        <f aca="false">INDEX(Produtos!$D$2:$D$11,MATCH(F277,Produtos!$A$2:$A$11,0))</f>
        <v>2199</v>
      </c>
      <c r="J277" s="5" t="n">
        <f aca="false">H277*I277</f>
        <v>4398</v>
      </c>
      <c r="K277" s="5" t="n">
        <f aca="false">INDEX(Produtos!$E$2:$E$11,MATCH(F277,Produtos!$A$2:$A$11,0))</f>
        <v>1550</v>
      </c>
      <c r="L277" s="5" t="n">
        <f aca="false">H277*K277</f>
        <v>3100</v>
      </c>
    </row>
    <row r="278" customFormat="false" ht="15" hidden="false" customHeight="false" outlineLevel="0" collapsed="false">
      <c r="A278" s="2" t="s">
        <v>560</v>
      </c>
      <c r="B278" s="8" t="n">
        <v>46046</v>
      </c>
      <c r="C278" s="2" t="s">
        <v>178</v>
      </c>
      <c r="D278" s="3" t="str">
        <f aca="false">INDEX(Vendedores!$C$2:$C$101,MATCH(C278,Vendedores!$A$2:$A$101,0))</f>
        <v>L07</v>
      </c>
      <c r="E278" s="3" t="str">
        <f aca="false">INDEX(Lojas!$E$2:$E$11,MATCH(D278,Lojas!$A$2:$A$11,0))</f>
        <v>Sul</v>
      </c>
      <c r="F278" s="2" t="s">
        <v>265</v>
      </c>
      <c r="G278" s="3" t="str">
        <f aca="false">INDEX(Produtos!$B$2:$B$11,MATCH(F278,Produtos!$A$2:$A$11,0))&amp;" "&amp;INDEX(Produtos!$C$2:$C$11,MATCH(F278,Produtos!$A$2:$A$11,0))</f>
        <v>Fone de Ouvido Headset</v>
      </c>
      <c r="H278" s="2" t="n">
        <v>2</v>
      </c>
      <c r="I278" s="5" t="n">
        <f aca="false">INDEX(Produtos!$D$2:$D$11,MATCH(F278,Produtos!$A$2:$A$11,0))</f>
        <v>249.9</v>
      </c>
      <c r="J278" s="5" t="n">
        <f aca="false">H278*I278</f>
        <v>499.8</v>
      </c>
      <c r="K278" s="5" t="n">
        <f aca="false">INDEX(Produtos!$E$2:$E$11,MATCH(F278,Produtos!$A$2:$A$11,0))</f>
        <v>145</v>
      </c>
      <c r="L278" s="5" t="n">
        <f aca="false">H278*K278</f>
        <v>290</v>
      </c>
    </row>
    <row r="279" customFormat="false" ht="15" hidden="false" customHeight="false" outlineLevel="0" collapsed="false">
      <c r="A279" s="2" t="s">
        <v>561</v>
      </c>
      <c r="B279" s="8" t="n">
        <v>46046</v>
      </c>
      <c r="C279" s="2" t="s">
        <v>154</v>
      </c>
      <c r="D279" s="3" t="str">
        <f aca="false">INDEX(Vendedores!$C$2:$C$101,MATCH(C279,Vendedores!$A$2:$A$101,0))</f>
        <v>L06</v>
      </c>
      <c r="E279" s="3" t="str">
        <f aca="false">INDEX(Lojas!$E$2:$E$11,MATCH(D279,Lojas!$A$2:$A$11,0))</f>
        <v>Sul</v>
      </c>
      <c r="F279" s="2" t="s">
        <v>275</v>
      </c>
      <c r="G279" s="3" t="str">
        <f aca="false">INDEX(Produtos!$B$2:$B$11,MATCH(F279,Produtos!$A$2:$A$11,0))&amp;" "&amp;INDEX(Produtos!$C$2:$C$11,MATCH(F279,Produtos!$A$2:$A$11,0))</f>
        <v>Controle de Videogame PS5</v>
      </c>
      <c r="H279" s="2" t="n">
        <v>2</v>
      </c>
      <c r="I279" s="5" t="n">
        <f aca="false">INDEX(Produtos!$D$2:$D$11,MATCH(F279,Produtos!$A$2:$A$11,0))</f>
        <v>379.9</v>
      </c>
      <c r="J279" s="5" t="n">
        <f aca="false">H279*I279</f>
        <v>759.8</v>
      </c>
      <c r="K279" s="5" t="n">
        <f aca="false">INDEX(Produtos!$E$2:$E$11,MATCH(F279,Produtos!$A$2:$A$11,0))</f>
        <v>235</v>
      </c>
      <c r="L279" s="5" t="n">
        <f aca="false">H279*K279</f>
        <v>470</v>
      </c>
    </row>
    <row r="280" customFormat="false" ht="15" hidden="false" customHeight="false" outlineLevel="0" collapsed="false">
      <c r="A280" s="2" t="s">
        <v>562</v>
      </c>
      <c r="B280" s="8" t="n">
        <v>46046</v>
      </c>
      <c r="C280" s="2" t="s">
        <v>120</v>
      </c>
      <c r="D280" s="3" t="str">
        <f aca="false">INDEX(Vendedores!$C$2:$C$101,MATCH(C280,Vendedores!$A$2:$A$101,0))</f>
        <v>L04</v>
      </c>
      <c r="E280" s="3" t="str">
        <f aca="false">INDEX(Lojas!$E$2:$E$11,MATCH(D280,Lojas!$A$2:$A$11,0))</f>
        <v>Sudeste</v>
      </c>
      <c r="F280" s="2" t="s">
        <v>260</v>
      </c>
      <c r="G280" s="3" t="str">
        <f aca="false">INDEX(Produtos!$B$2:$B$11,MATCH(F280,Produtos!$A$2:$A$11,0))&amp;" "&amp;INDEX(Produtos!$C$2:$C$11,MATCH(F280,Produtos!$A$2:$A$11,0))</f>
        <v>Celular Motorola</v>
      </c>
      <c r="H280" s="2" t="n">
        <v>1</v>
      </c>
      <c r="I280" s="5" t="n">
        <f aca="false">INDEX(Produtos!$D$2:$D$11,MATCH(F280,Produtos!$A$2:$A$11,0))</f>
        <v>1799</v>
      </c>
      <c r="J280" s="5" t="n">
        <f aca="false">H280*I280</f>
        <v>1799</v>
      </c>
      <c r="K280" s="5" t="n">
        <f aca="false">INDEX(Produtos!$E$2:$E$11,MATCH(F280,Produtos!$A$2:$A$11,0))</f>
        <v>1250</v>
      </c>
      <c r="L280" s="5" t="n">
        <f aca="false">H280*K280</f>
        <v>1250</v>
      </c>
    </row>
    <row r="281" customFormat="false" ht="15" hidden="false" customHeight="false" outlineLevel="0" collapsed="false">
      <c r="A281" s="2" t="s">
        <v>563</v>
      </c>
      <c r="B281" s="8" t="n">
        <v>46046</v>
      </c>
      <c r="C281" s="2" t="s">
        <v>182</v>
      </c>
      <c r="D281" s="3" t="str">
        <f aca="false">INDEX(Vendedores!$C$2:$C$101,MATCH(C281,Vendedores!$A$2:$A$101,0))</f>
        <v>L07</v>
      </c>
      <c r="E281" s="3" t="str">
        <f aca="false">INDEX(Lojas!$E$2:$E$11,MATCH(D281,Lojas!$A$2:$A$11,0))</f>
        <v>Sul</v>
      </c>
      <c r="F281" s="2" t="s">
        <v>273</v>
      </c>
      <c r="G281" s="3" t="str">
        <f aca="false">INDEX(Produtos!$B$2:$B$11,MATCH(F281,Produtos!$A$2:$A$11,0))&amp;" "&amp;INDEX(Produtos!$C$2:$C$11,MATCH(F281,Produtos!$A$2:$A$11,0))</f>
        <v>Controle de Videogame PS4</v>
      </c>
      <c r="H281" s="2" t="n">
        <v>1</v>
      </c>
      <c r="I281" s="5" t="n">
        <f aca="false">INDEX(Produtos!$D$2:$D$11,MATCH(F281,Produtos!$A$2:$A$11,0))</f>
        <v>299.9</v>
      </c>
      <c r="J281" s="5" t="n">
        <f aca="false">H281*I281</f>
        <v>299.9</v>
      </c>
      <c r="K281" s="5" t="n">
        <f aca="false">INDEX(Produtos!$E$2:$E$11,MATCH(F281,Produtos!$A$2:$A$11,0))</f>
        <v>175</v>
      </c>
      <c r="L281" s="5" t="n">
        <f aca="false">H281*K281</f>
        <v>175</v>
      </c>
    </row>
    <row r="282" customFormat="false" ht="15" hidden="false" customHeight="false" outlineLevel="0" collapsed="false">
      <c r="A282" s="2" t="s">
        <v>564</v>
      </c>
      <c r="B282" s="8" t="n">
        <v>46046</v>
      </c>
      <c r="C282" s="2" t="s">
        <v>243</v>
      </c>
      <c r="D282" s="3" t="str">
        <f aca="false">INDEX(Vendedores!$C$2:$C$101,MATCH(C282,Vendedores!$A$2:$A$101,0))</f>
        <v>L10</v>
      </c>
      <c r="E282" s="3" t="str">
        <f aca="false">INDEX(Lojas!$E$2:$E$11,MATCH(D282,Lojas!$A$2:$A$11,0))</f>
        <v>Nordeste</v>
      </c>
      <c r="F282" s="2" t="s">
        <v>267</v>
      </c>
      <c r="G282" s="3" t="str">
        <f aca="false">INDEX(Produtos!$B$2:$B$11,MATCH(F282,Produtos!$A$2:$A$11,0))&amp;" "&amp;INDEX(Produtos!$C$2:$C$11,MATCH(F282,Produtos!$A$2:$A$11,0))</f>
        <v>Carregador de Celular Tipo C</v>
      </c>
      <c r="H282" s="2" t="n">
        <v>1</v>
      </c>
      <c r="I282" s="5" t="n">
        <f aca="false">INDEX(Produtos!$D$2:$D$11,MATCH(F282,Produtos!$A$2:$A$11,0))</f>
        <v>44.9</v>
      </c>
      <c r="J282" s="5" t="n">
        <f aca="false">H282*I282</f>
        <v>44.9</v>
      </c>
      <c r="K282" s="5" t="n">
        <f aca="false">INDEX(Produtos!$E$2:$E$11,MATCH(F282,Produtos!$A$2:$A$11,0))</f>
        <v>18</v>
      </c>
      <c r="L282" s="5" t="n">
        <f aca="false">H282*K282</f>
        <v>18</v>
      </c>
    </row>
    <row r="283" customFormat="false" ht="15" hidden="false" customHeight="false" outlineLevel="0" collapsed="false">
      <c r="A283" s="2" t="s">
        <v>565</v>
      </c>
      <c r="B283" s="8" t="n">
        <v>46046</v>
      </c>
      <c r="C283" s="2" t="s">
        <v>168</v>
      </c>
      <c r="D283" s="3" t="str">
        <f aca="false">INDEX(Vendedores!$C$2:$C$101,MATCH(C283,Vendedores!$A$2:$A$101,0))</f>
        <v>L07</v>
      </c>
      <c r="E283" s="3" t="str">
        <f aca="false">INDEX(Lojas!$E$2:$E$11,MATCH(D283,Lojas!$A$2:$A$11,0))</f>
        <v>Sul</v>
      </c>
      <c r="F283" s="2" t="s">
        <v>270</v>
      </c>
      <c r="G283" s="3" t="str">
        <f aca="false">INDEX(Produtos!$B$2:$B$11,MATCH(F283,Produtos!$A$2:$A$11,0))&amp;" "&amp;INDEX(Produtos!$C$2:$C$11,MATCH(F283,Produtos!$A$2:$A$11,0))</f>
        <v>Controle de Videogame Xbox</v>
      </c>
      <c r="H283" s="2" t="n">
        <v>1</v>
      </c>
      <c r="I283" s="5" t="n">
        <f aca="false">INDEX(Produtos!$D$2:$D$11,MATCH(F283,Produtos!$A$2:$A$11,0))</f>
        <v>349.9</v>
      </c>
      <c r="J283" s="5" t="n">
        <f aca="false">H283*I283</f>
        <v>349.9</v>
      </c>
      <c r="K283" s="5" t="n">
        <f aca="false">INDEX(Produtos!$E$2:$E$11,MATCH(F283,Produtos!$A$2:$A$11,0))</f>
        <v>215</v>
      </c>
      <c r="L283" s="5" t="n">
        <f aca="false">H283*K283</f>
        <v>215</v>
      </c>
    </row>
    <row r="284" customFormat="false" ht="15" hidden="false" customHeight="false" outlineLevel="0" collapsed="false">
      <c r="A284" s="2" t="s">
        <v>566</v>
      </c>
      <c r="B284" s="8" t="n">
        <v>46046</v>
      </c>
      <c r="C284" s="2" t="s">
        <v>225</v>
      </c>
      <c r="D284" s="3" t="str">
        <f aca="false">INDEX(Vendedores!$C$2:$C$101,MATCH(C284,Vendedores!$A$2:$A$101,0))</f>
        <v>L10</v>
      </c>
      <c r="E284" s="3" t="str">
        <f aca="false">INDEX(Lojas!$E$2:$E$11,MATCH(D284,Lojas!$A$2:$A$11,0))</f>
        <v>Nordeste</v>
      </c>
      <c r="F284" s="2" t="s">
        <v>260</v>
      </c>
      <c r="G284" s="3" t="str">
        <f aca="false">INDEX(Produtos!$B$2:$B$11,MATCH(F284,Produtos!$A$2:$A$11,0))&amp;" "&amp;INDEX(Produtos!$C$2:$C$11,MATCH(F284,Produtos!$A$2:$A$11,0))</f>
        <v>Celular Motorola</v>
      </c>
      <c r="H284" s="2" t="n">
        <v>1</v>
      </c>
      <c r="I284" s="5" t="n">
        <f aca="false">INDEX(Produtos!$D$2:$D$11,MATCH(F284,Produtos!$A$2:$A$11,0))</f>
        <v>1799</v>
      </c>
      <c r="J284" s="5" t="n">
        <f aca="false">H284*I284</f>
        <v>1799</v>
      </c>
      <c r="K284" s="5" t="n">
        <f aca="false">INDEX(Produtos!$E$2:$E$11,MATCH(F284,Produtos!$A$2:$A$11,0))</f>
        <v>1250</v>
      </c>
      <c r="L284" s="5" t="n">
        <f aca="false">H284*K284</f>
        <v>1250</v>
      </c>
    </row>
    <row r="285" customFormat="false" ht="15" hidden="false" customHeight="false" outlineLevel="0" collapsed="false">
      <c r="A285" s="2" t="s">
        <v>567</v>
      </c>
      <c r="B285" s="8" t="n">
        <v>46046</v>
      </c>
      <c r="C285" s="2" t="s">
        <v>50</v>
      </c>
      <c r="D285" s="3" t="str">
        <f aca="false">INDEX(Vendedores!$C$2:$C$101,MATCH(C285,Vendedores!$A$2:$A$101,0))</f>
        <v>L01</v>
      </c>
      <c r="E285" s="3" t="str">
        <f aca="false">INDEX(Lojas!$E$2:$E$11,MATCH(D285,Lojas!$A$2:$A$11,0))</f>
        <v>Sudeste</v>
      </c>
      <c r="F285" s="2" t="s">
        <v>252</v>
      </c>
      <c r="G285" s="3" t="str">
        <f aca="false">INDEX(Produtos!$B$2:$B$11,MATCH(F285,Produtos!$A$2:$A$11,0))&amp;" "&amp;INDEX(Produtos!$C$2:$C$11,MATCH(F285,Produtos!$A$2:$A$11,0))</f>
        <v>Notebook Lenovo</v>
      </c>
      <c r="H285" s="2" t="n">
        <v>2</v>
      </c>
      <c r="I285" s="5" t="n">
        <f aca="false">INDEX(Produtos!$D$2:$D$11,MATCH(F285,Produtos!$A$2:$A$11,0))</f>
        <v>3199</v>
      </c>
      <c r="J285" s="5" t="n">
        <f aca="false">H285*I285</f>
        <v>6398</v>
      </c>
      <c r="K285" s="5" t="n">
        <f aca="false">INDEX(Produtos!$E$2:$E$11,MATCH(F285,Produtos!$A$2:$A$11,0))</f>
        <v>2350</v>
      </c>
      <c r="L285" s="5" t="n">
        <f aca="false">H285*K285</f>
        <v>4700</v>
      </c>
    </row>
    <row r="286" customFormat="false" ht="15" hidden="false" customHeight="false" outlineLevel="0" collapsed="false">
      <c r="A286" s="2" t="s">
        <v>568</v>
      </c>
      <c r="B286" s="8" t="n">
        <v>46046</v>
      </c>
      <c r="C286" s="2" t="s">
        <v>64</v>
      </c>
      <c r="D286" s="3" t="str">
        <f aca="false">INDEX(Vendedores!$C$2:$C$101,MATCH(C286,Vendedores!$A$2:$A$101,0))</f>
        <v>L01</v>
      </c>
      <c r="E286" s="3" t="str">
        <f aca="false">INDEX(Lojas!$E$2:$E$11,MATCH(D286,Lojas!$A$2:$A$11,0))</f>
        <v>Sudeste</v>
      </c>
      <c r="F286" s="2" t="s">
        <v>265</v>
      </c>
      <c r="G286" s="3" t="str">
        <f aca="false">INDEX(Produtos!$B$2:$B$11,MATCH(F286,Produtos!$A$2:$A$11,0))&amp;" "&amp;INDEX(Produtos!$C$2:$C$11,MATCH(F286,Produtos!$A$2:$A$11,0))</f>
        <v>Fone de Ouvido Headset</v>
      </c>
      <c r="H286" s="2" t="n">
        <v>1</v>
      </c>
      <c r="I286" s="5" t="n">
        <f aca="false">INDEX(Produtos!$D$2:$D$11,MATCH(F286,Produtos!$A$2:$A$11,0))</f>
        <v>249.9</v>
      </c>
      <c r="J286" s="5" t="n">
        <f aca="false">H286*I286</f>
        <v>249.9</v>
      </c>
      <c r="K286" s="5" t="n">
        <f aca="false">INDEX(Produtos!$E$2:$E$11,MATCH(F286,Produtos!$A$2:$A$11,0))</f>
        <v>145</v>
      </c>
      <c r="L286" s="5" t="n">
        <f aca="false">H286*K286</f>
        <v>145</v>
      </c>
    </row>
    <row r="287" customFormat="false" ht="15" hidden="false" customHeight="false" outlineLevel="0" collapsed="false">
      <c r="A287" s="2" t="s">
        <v>569</v>
      </c>
      <c r="B287" s="8" t="n">
        <v>46046</v>
      </c>
      <c r="C287" s="2" t="s">
        <v>187</v>
      </c>
      <c r="D287" s="3" t="str">
        <f aca="false">INDEX(Vendedores!$C$2:$C$101,MATCH(C287,Vendedores!$A$2:$A$101,0))</f>
        <v>L08</v>
      </c>
      <c r="E287" s="3" t="str">
        <f aca="false">INDEX(Lojas!$E$2:$E$11,MATCH(D287,Lojas!$A$2:$A$11,0))</f>
        <v>Nordeste</v>
      </c>
      <c r="F287" s="2" t="s">
        <v>260</v>
      </c>
      <c r="G287" s="3" t="str">
        <f aca="false">INDEX(Produtos!$B$2:$B$11,MATCH(F287,Produtos!$A$2:$A$11,0))&amp;" "&amp;INDEX(Produtos!$C$2:$C$11,MATCH(F287,Produtos!$A$2:$A$11,0))</f>
        <v>Celular Motorola</v>
      </c>
      <c r="H287" s="2" t="n">
        <v>1</v>
      </c>
      <c r="I287" s="5" t="n">
        <f aca="false">INDEX(Produtos!$D$2:$D$11,MATCH(F287,Produtos!$A$2:$A$11,0))</f>
        <v>1799</v>
      </c>
      <c r="J287" s="5" t="n">
        <f aca="false">H287*I287</f>
        <v>1799</v>
      </c>
      <c r="K287" s="5" t="n">
        <f aca="false">INDEX(Produtos!$E$2:$E$11,MATCH(F287,Produtos!$A$2:$A$11,0))</f>
        <v>1250</v>
      </c>
      <c r="L287" s="5" t="n">
        <f aca="false">H287*K287</f>
        <v>1250</v>
      </c>
    </row>
    <row r="288" customFormat="false" ht="15" hidden="false" customHeight="false" outlineLevel="0" collapsed="false">
      <c r="A288" s="2" t="s">
        <v>570</v>
      </c>
      <c r="B288" s="8" t="n">
        <v>46047</v>
      </c>
      <c r="C288" s="2" t="s">
        <v>142</v>
      </c>
      <c r="D288" s="3" t="str">
        <f aca="false">INDEX(Vendedores!$C$2:$C$101,MATCH(C288,Vendedores!$A$2:$A$101,0))</f>
        <v>L05</v>
      </c>
      <c r="E288" s="3" t="str">
        <f aca="false">INDEX(Lojas!$E$2:$E$11,MATCH(D288,Lojas!$A$2:$A$11,0))</f>
        <v>Sul</v>
      </c>
      <c r="F288" s="2" t="s">
        <v>262</v>
      </c>
      <c r="G288" s="3" t="str">
        <f aca="false">INDEX(Produtos!$B$2:$B$11,MATCH(F288,Produtos!$A$2:$A$11,0))&amp;" "&amp;INDEX(Produtos!$C$2:$C$11,MATCH(F288,Produtos!$A$2:$A$11,0))</f>
        <v>Fone de Ouvido De Celular</v>
      </c>
      <c r="H288" s="2" t="n">
        <v>1</v>
      </c>
      <c r="I288" s="5" t="n">
        <f aca="false">INDEX(Produtos!$D$2:$D$11,MATCH(F288,Produtos!$A$2:$A$11,0))</f>
        <v>59.9</v>
      </c>
      <c r="J288" s="5" t="n">
        <f aca="false">H288*I288</f>
        <v>59.9</v>
      </c>
      <c r="K288" s="5" t="n">
        <f aca="false">INDEX(Produtos!$E$2:$E$11,MATCH(F288,Produtos!$A$2:$A$11,0))</f>
        <v>28</v>
      </c>
      <c r="L288" s="5" t="n">
        <f aca="false">H288*K288</f>
        <v>28</v>
      </c>
    </row>
    <row r="289" customFormat="false" ht="15" hidden="false" customHeight="false" outlineLevel="0" collapsed="false">
      <c r="A289" s="2" t="s">
        <v>571</v>
      </c>
      <c r="B289" s="8" t="n">
        <v>46047</v>
      </c>
      <c r="C289" s="2" t="s">
        <v>160</v>
      </c>
      <c r="D289" s="3" t="str">
        <f aca="false">INDEX(Vendedores!$C$2:$C$101,MATCH(C289,Vendedores!$A$2:$A$101,0))</f>
        <v>L06</v>
      </c>
      <c r="E289" s="3" t="str">
        <f aca="false">INDEX(Lojas!$E$2:$E$11,MATCH(D289,Lojas!$A$2:$A$11,0))</f>
        <v>Sul</v>
      </c>
      <c r="F289" s="2" t="s">
        <v>267</v>
      </c>
      <c r="G289" s="3" t="str">
        <f aca="false">INDEX(Produtos!$B$2:$B$11,MATCH(F289,Produtos!$A$2:$A$11,0))&amp;" "&amp;INDEX(Produtos!$C$2:$C$11,MATCH(F289,Produtos!$A$2:$A$11,0))</f>
        <v>Carregador de Celular Tipo C</v>
      </c>
      <c r="H289" s="2" t="n">
        <v>1</v>
      </c>
      <c r="I289" s="5" t="n">
        <f aca="false">INDEX(Produtos!$D$2:$D$11,MATCH(F289,Produtos!$A$2:$A$11,0))</f>
        <v>44.9</v>
      </c>
      <c r="J289" s="5" t="n">
        <f aca="false">H289*I289</f>
        <v>44.9</v>
      </c>
      <c r="K289" s="5" t="n">
        <f aca="false">INDEX(Produtos!$E$2:$E$11,MATCH(F289,Produtos!$A$2:$A$11,0))</f>
        <v>18</v>
      </c>
      <c r="L289" s="5" t="n">
        <f aca="false">H289*K289</f>
        <v>18</v>
      </c>
    </row>
    <row r="290" customFormat="false" ht="15" hidden="false" customHeight="false" outlineLevel="0" collapsed="false">
      <c r="A290" s="2" t="s">
        <v>572</v>
      </c>
      <c r="B290" s="8" t="n">
        <v>46047</v>
      </c>
      <c r="C290" s="2" t="s">
        <v>223</v>
      </c>
      <c r="D290" s="3" t="str">
        <f aca="false">INDEX(Vendedores!$C$2:$C$101,MATCH(C290,Vendedores!$A$2:$A$101,0))</f>
        <v>L09</v>
      </c>
      <c r="E290" s="3" t="str">
        <f aca="false">INDEX(Lojas!$E$2:$E$11,MATCH(D290,Lojas!$A$2:$A$11,0))</f>
        <v>Nordeste</v>
      </c>
      <c r="F290" s="2" t="s">
        <v>265</v>
      </c>
      <c r="G290" s="3" t="str">
        <f aca="false">INDEX(Produtos!$B$2:$B$11,MATCH(F290,Produtos!$A$2:$A$11,0))&amp;" "&amp;INDEX(Produtos!$C$2:$C$11,MATCH(F290,Produtos!$A$2:$A$11,0))</f>
        <v>Fone de Ouvido Headset</v>
      </c>
      <c r="H290" s="2" t="n">
        <v>1</v>
      </c>
      <c r="I290" s="5" t="n">
        <f aca="false">INDEX(Produtos!$D$2:$D$11,MATCH(F290,Produtos!$A$2:$A$11,0))</f>
        <v>249.9</v>
      </c>
      <c r="J290" s="5" t="n">
        <f aca="false">H290*I290</f>
        <v>249.9</v>
      </c>
      <c r="K290" s="5" t="n">
        <f aca="false">INDEX(Produtos!$E$2:$E$11,MATCH(F290,Produtos!$A$2:$A$11,0))</f>
        <v>145</v>
      </c>
      <c r="L290" s="5" t="n">
        <f aca="false">H290*K290</f>
        <v>145</v>
      </c>
    </row>
    <row r="291" customFormat="false" ht="15" hidden="false" customHeight="false" outlineLevel="0" collapsed="false">
      <c r="A291" s="2" t="s">
        <v>573</v>
      </c>
      <c r="B291" s="8" t="n">
        <v>46047</v>
      </c>
      <c r="C291" s="2" t="s">
        <v>131</v>
      </c>
      <c r="D291" s="3" t="str">
        <f aca="false">INDEX(Vendedores!$C$2:$C$101,MATCH(C291,Vendedores!$A$2:$A$101,0))</f>
        <v>L05</v>
      </c>
      <c r="E291" s="3" t="str">
        <f aca="false">INDEX(Lojas!$E$2:$E$11,MATCH(D291,Lojas!$A$2:$A$11,0))</f>
        <v>Sul</v>
      </c>
      <c r="F291" s="2" t="s">
        <v>270</v>
      </c>
      <c r="G291" s="3" t="str">
        <f aca="false">INDEX(Produtos!$B$2:$B$11,MATCH(F291,Produtos!$A$2:$A$11,0))&amp;" "&amp;INDEX(Produtos!$C$2:$C$11,MATCH(F291,Produtos!$A$2:$A$11,0))</f>
        <v>Controle de Videogame Xbox</v>
      </c>
      <c r="H291" s="2" t="n">
        <v>2</v>
      </c>
      <c r="I291" s="5" t="n">
        <f aca="false">INDEX(Produtos!$D$2:$D$11,MATCH(F291,Produtos!$A$2:$A$11,0))</f>
        <v>349.9</v>
      </c>
      <c r="J291" s="5" t="n">
        <f aca="false">H291*I291</f>
        <v>699.8</v>
      </c>
      <c r="K291" s="5" t="n">
        <f aca="false">INDEX(Produtos!$E$2:$E$11,MATCH(F291,Produtos!$A$2:$A$11,0))</f>
        <v>215</v>
      </c>
      <c r="L291" s="5" t="n">
        <f aca="false">H291*K291</f>
        <v>430</v>
      </c>
    </row>
    <row r="292" customFormat="false" ht="15" hidden="false" customHeight="false" outlineLevel="0" collapsed="false">
      <c r="A292" s="2" t="s">
        <v>574</v>
      </c>
      <c r="B292" s="8" t="n">
        <v>46047</v>
      </c>
      <c r="C292" s="2" t="s">
        <v>176</v>
      </c>
      <c r="D292" s="3" t="str">
        <f aca="false">INDEX(Vendedores!$C$2:$C$101,MATCH(C292,Vendedores!$A$2:$A$101,0))</f>
        <v>L07</v>
      </c>
      <c r="E292" s="3" t="str">
        <f aca="false">INDEX(Lojas!$E$2:$E$11,MATCH(D292,Lojas!$A$2:$A$11,0))</f>
        <v>Sul</v>
      </c>
      <c r="F292" s="2" t="s">
        <v>275</v>
      </c>
      <c r="G292" s="3" t="str">
        <f aca="false">INDEX(Produtos!$B$2:$B$11,MATCH(F292,Produtos!$A$2:$A$11,0))&amp;" "&amp;INDEX(Produtos!$C$2:$C$11,MATCH(F292,Produtos!$A$2:$A$11,0))</f>
        <v>Controle de Videogame PS5</v>
      </c>
      <c r="H292" s="2" t="n">
        <v>1</v>
      </c>
      <c r="I292" s="5" t="n">
        <f aca="false">INDEX(Produtos!$D$2:$D$11,MATCH(F292,Produtos!$A$2:$A$11,0))</f>
        <v>379.9</v>
      </c>
      <c r="J292" s="5" t="n">
        <f aca="false">H292*I292</f>
        <v>379.9</v>
      </c>
      <c r="K292" s="5" t="n">
        <f aca="false">INDEX(Produtos!$E$2:$E$11,MATCH(F292,Produtos!$A$2:$A$11,0))</f>
        <v>235</v>
      </c>
      <c r="L292" s="5" t="n">
        <f aca="false">H292*K292</f>
        <v>235</v>
      </c>
    </row>
    <row r="293" customFormat="false" ht="15" hidden="false" customHeight="false" outlineLevel="0" collapsed="false">
      <c r="A293" s="2" t="s">
        <v>575</v>
      </c>
      <c r="B293" s="8" t="n">
        <v>46047</v>
      </c>
      <c r="C293" s="2" t="s">
        <v>174</v>
      </c>
      <c r="D293" s="3" t="str">
        <f aca="false">INDEX(Vendedores!$C$2:$C$101,MATCH(C293,Vendedores!$A$2:$A$101,0))</f>
        <v>L07</v>
      </c>
      <c r="E293" s="3" t="str">
        <f aca="false">INDEX(Lojas!$E$2:$E$11,MATCH(D293,Lojas!$A$2:$A$11,0))</f>
        <v>Sul</v>
      </c>
      <c r="F293" s="2" t="s">
        <v>255</v>
      </c>
      <c r="G293" s="3" t="str">
        <f aca="false">INDEX(Produtos!$B$2:$B$11,MATCH(F293,Produtos!$A$2:$A$11,0))&amp;" "&amp;INDEX(Produtos!$C$2:$C$11,MATCH(F293,Produtos!$A$2:$A$11,0))</f>
        <v>Notebook Positivo</v>
      </c>
      <c r="H293" s="2" t="n">
        <v>1</v>
      </c>
      <c r="I293" s="5" t="n">
        <f aca="false">INDEX(Produtos!$D$2:$D$11,MATCH(F293,Produtos!$A$2:$A$11,0))</f>
        <v>2199</v>
      </c>
      <c r="J293" s="5" t="n">
        <f aca="false">H293*I293</f>
        <v>2199</v>
      </c>
      <c r="K293" s="5" t="n">
        <f aca="false">INDEX(Produtos!$E$2:$E$11,MATCH(F293,Produtos!$A$2:$A$11,0))</f>
        <v>1550</v>
      </c>
      <c r="L293" s="5" t="n">
        <f aca="false">H293*K293</f>
        <v>1550</v>
      </c>
    </row>
    <row r="294" customFormat="false" ht="15" hidden="false" customHeight="false" outlineLevel="0" collapsed="false">
      <c r="A294" s="2" t="s">
        <v>576</v>
      </c>
      <c r="B294" s="8" t="n">
        <v>46047</v>
      </c>
      <c r="C294" s="2" t="s">
        <v>96</v>
      </c>
      <c r="D294" s="3" t="str">
        <f aca="false">INDEX(Vendedores!$C$2:$C$101,MATCH(C294,Vendedores!$A$2:$A$101,0))</f>
        <v>L03</v>
      </c>
      <c r="E294" s="3" t="str">
        <f aca="false">INDEX(Lojas!$E$2:$E$11,MATCH(D294,Lojas!$A$2:$A$11,0))</f>
        <v>Sudeste</v>
      </c>
      <c r="F294" s="2" t="s">
        <v>273</v>
      </c>
      <c r="G294" s="3" t="str">
        <f aca="false">INDEX(Produtos!$B$2:$B$11,MATCH(F294,Produtos!$A$2:$A$11,0))&amp;" "&amp;INDEX(Produtos!$C$2:$C$11,MATCH(F294,Produtos!$A$2:$A$11,0))</f>
        <v>Controle de Videogame PS4</v>
      </c>
      <c r="H294" s="2" t="n">
        <v>1</v>
      </c>
      <c r="I294" s="5" t="n">
        <f aca="false">INDEX(Produtos!$D$2:$D$11,MATCH(F294,Produtos!$A$2:$A$11,0))</f>
        <v>299.9</v>
      </c>
      <c r="J294" s="5" t="n">
        <f aca="false">H294*I294</f>
        <v>299.9</v>
      </c>
      <c r="K294" s="5" t="n">
        <f aca="false">INDEX(Produtos!$E$2:$E$11,MATCH(F294,Produtos!$A$2:$A$11,0))</f>
        <v>175</v>
      </c>
      <c r="L294" s="5" t="n">
        <f aca="false">H294*K294</f>
        <v>175</v>
      </c>
    </row>
    <row r="295" customFormat="false" ht="15" hidden="false" customHeight="false" outlineLevel="0" collapsed="false">
      <c r="A295" s="2" t="s">
        <v>577</v>
      </c>
      <c r="B295" s="8" t="n">
        <v>46047</v>
      </c>
      <c r="C295" s="2" t="s">
        <v>221</v>
      </c>
      <c r="D295" s="3" t="str">
        <f aca="false">INDEX(Vendedores!$C$2:$C$101,MATCH(C295,Vendedores!$A$2:$A$101,0))</f>
        <v>L09</v>
      </c>
      <c r="E295" s="3" t="str">
        <f aca="false">INDEX(Lojas!$E$2:$E$11,MATCH(D295,Lojas!$A$2:$A$11,0))</f>
        <v>Nordeste</v>
      </c>
      <c r="F295" s="2" t="s">
        <v>267</v>
      </c>
      <c r="G295" s="3" t="str">
        <f aca="false">INDEX(Produtos!$B$2:$B$11,MATCH(F295,Produtos!$A$2:$A$11,0))&amp;" "&amp;INDEX(Produtos!$C$2:$C$11,MATCH(F295,Produtos!$A$2:$A$11,0))</f>
        <v>Carregador de Celular Tipo C</v>
      </c>
      <c r="H295" s="2" t="n">
        <v>1</v>
      </c>
      <c r="I295" s="5" t="n">
        <f aca="false">INDEX(Produtos!$D$2:$D$11,MATCH(F295,Produtos!$A$2:$A$11,0))</f>
        <v>44.9</v>
      </c>
      <c r="J295" s="5" t="n">
        <f aca="false">H295*I295</f>
        <v>44.9</v>
      </c>
      <c r="K295" s="5" t="n">
        <f aca="false">INDEX(Produtos!$E$2:$E$11,MATCH(F295,Produtos!$A$2:$A$11,0))</f>
        <v>18</v>
      </c>
      <c r="L295" s="5" t="n">
        <f aca="false">H295*K295</f>
        <v>18</v>
      </c>
    </row>
    <row r="296" customFormat="false" ht="15" hidden="false" customHeight="false" outlineLevel="0" collapsed="false">
      <c r="A296" s="2" t="s">
        <v>578</v>
      </c>
      <c r="B296" s="8" t="n">
        <v>46047</v>
      </c>
      <c r="C296" s="2" t="s">
        <v>166</v>
      </c>
      <c r="D296" s="3" t="str">
        <f aca="false">INDEX(Vendedores!$C$2:$C$101,MATCH(C296,Vendedores!$A$2:$A$101,0))</f>
        <v>L06</v>
      </c>
      <c r="E296" s="3" t="str">
        <f aca="false">INDEX(Lojas!$E$2:$E$11,MATCH(D296,Lojas!$A$2:$A$11,0))</f>
        <v>Sul</v>
      </c>
      <c r="F296" s="2" t="s">
        <v>262</v>
      </c>
      <c r="G296" s="3" t="str">
        <f aca="false">INDEX(Produtos!$B$2:$B$11,MATCH(F296,Produtos!$A$2:$A$11,0))&amp;" "&amp;INDEX(Produtos!$C$2:$C$11,MATCH(F296,Produtos!$A$2:$A$11,0))</f>
        <v>Fone de Ouvido De Celular</v>
      </c>
      <c r="H296" s="2" t="n">
        <v>1</v>
      </c>
      <c r="I296" s="5" t="n">
        <f aca="false">INDEX(Produtos!$D$2:$D$11,MATCH(F296,Produtos!$A$2:$A$11,0))</f>
        <v>59.9</v>
      </c>
      <c r="J296" s="5" t="n">
        <f aca="false">H296*I296</f>
        <v>59.9</v>
      </c>
      <c r="K296" s="5" t="n">
        <f aca="false">INDEX(Produtos!$E$2:$E$11,MATCH(F296,Produtos!$A$2:$A$11,0))</f>
        <v>28</v>
      </c>
      <c r="L296" s="5" t="n">
        <f aca="false">H296*K296</f>
        <v>28</v>
      </c>
    </row>
    <row r="297" customFormat="false" ht="15" hidden="false" customHeight="false" outlineLevel="0" collapsed="false">
      <c r="A297" s="2" t="s">
        <v>579</v>
      </c>
      <c r="B297" s="8" t="n">
        <v>46047</v>
      </c>
      <c r="C297" s="2" t="s">
        <v>176</v>
      </c>
      <c r="D297" s="3" t="str">
        <f aca="false">INDEX(Vendedores!$C$2:$C$101,MATCH(C297,Vendedores!$A$2:$A$101,0))</f>
        <v>L07</v>
      </c>
      <c r="E297" s="3" t="str">
        <f aca="false">INDEX(Lojas!$E$2:$E$11,MATCH(D297,Lojas!$A$2:$A$11,0))</f>
        <v>Sul</v>
      </c>
      <c r="F297" s="2" t="s">
        <v>273</v>
      </c>
      <c r="G297" s="3" t="str">
        <f aca="false">INDEX(Produtos!$B$2:$B$11,MATCH(F297,Produtos!$A$2:$A$11,0))&amp;" "&amp;INDEX(Produtos!$C$2:$C$11,MATCH(F297,Produtos!$A$2:$A$11,0))</f>
        <v>Controle de Videogame PS4</v>
      </c>
      <c r="H297" s="2" t="n">
        <v>2</v>
      </c>
      <c r="I297" s="5" t="n">
        <f aca="false">INDEX(Produtos!$D$2:$D$11,MATCH(F297,Produtos!$A$2:$A$11,0))</f>
        <v>299.9</v>
      </c>
      <c r="J297" s="5" t="n">
        <f aca="false">H297*I297</f>
        <v>599.8</v>
      </c>
      <c r="K297" s="5" t="n">
        <f aca="false">INDEX(Produtos!$E$2:$E$11,MATCH(F297,Produtos!$A$2:$A$11,0))</f>
        <v>175</v>
      </c>
      <c r="L297" s="5" t="n">
        <f aca="false">H297*K297</f>
        <v>350</v>
      </c>
    </row>
    <row r="298" customFormat="false" ht="15" hidden="false" customHeight="false" outlineLevel="0" collapsed="false">
      <c r="A298" s="2" t="s">
        <v>580</v>
      </c>
      <c r="B298" s="8" t="n">
        <v>46047</v>
      </c>
      <c r="C298" s="2" t="s">
        <v>104</v>
      </c>
      <c r="D298" s="3" t="str">
        <f aca="false">INDEX(Vendedores!$C$2:$C$101,MATCH(C298,Vendedores!$A$2:$A$101,0))</f>
        <v>L03</v>
      </c>
      <c r="E298" s="3" t="str">
        <f aca="false">INDEX(Lojas!$E$2:$E$11,MATCH(D298,Lojas!$A$2:$A$11,0))</f>
        <v>Sudeste</v>
      </c>
      <c r="F298" s="2" t="s">
        <v>255</v>
      </c>
      <c r="G298" s="3" t="str">
        <f aca="false">INDEX(Produtos!$B$2:$B$11,MATCH(F298,Produtos!$A$2:$A$11,0))&amp;" "&amp;INDEX(Produtos!$C$2:$C$11,MATCH(F298,Produtos!$A$2:$A$11,0))</f>
        <v>Notebook Positivo</v>
      </c>
      <c r="H298" s="2" t="n">
        <v>2</v>
      </c>
      <c r="I298" s="5" t="n">
        <f aca="false">INDEX(Produtos!$D$2:$D$11,MATCH(F298,Produtos!$A$2:$A$11,0))</f>
        <v>2199</v>
      </c>
      <c r="J298" s="5" t="n">
        <f aca="false">H298*I298</f>
        <v>4398</v>
      </c>
      <c r="K298" s="5" t="n">
        <f aca="false">INDEX(Produtos!$E$2:$E$11,MATCH(F298,Produtos!$A$2:$A$11,0))</f>
        <v>1550</v>
      </c>
      <c r="L298" s="5" t="n">
        <f aca="false">H298*K298</f>
        <v>3100</v>
      </c>
    </row>
    <row r="299" customFormat="false" ht="15" hidden="false" customHeight="false" outlineLevel="0" collapsed="false">
      <c r="A299" s="2" t="s">
        <v>581</v>
      </c>
      <c r="B299" s="8" t="n">
        <v>46047</v>
      </c>
      <c r="C299" s="2" t="s">
        <v>108</v>
      </c>
      <c r="D299" s="3" t="str">
        <f aca="false">INDEX(Vendedores!$C$2:$C$101,MATCH(C299,Vendedores!$A$2:$A$101,0))</f>
        <v>L03</v>
      </c>
      <c r="E299" s="3" t="str">
        <f aca="false">INDEX(Lojas!$E$2:$E$11,MATCH(D299,Lojas!$A$2:$A$11,0))</f>
        <v>Sudeste</v>
      </c>
      <c r="F299" s="2" t="s">
        <v>267</v>
      </c>
      <c r="G299" s="3" t="str">
        <f aca="false">INDEX(Produtos!$B$2:$B$11,MATCH(F299,Produtos!$A$2:$A$11,0))&amp;" "&amp;INDEX(Produtos!$C$2:$C$11,MATCH(F299,Produtos!$A$2:$A$11,0))</f>
        <v>Carregador de Celular Tipo C</v>
      </c>
      <c r="H299" s="2" t="n">
        <v>1</v>
      </c>
      <c r="I299" s="5" t="n">
        <f aca="false">INDEX(Produtos!$D$2:$D$11,MATCH(F299,Produtos!$A$2:$A$11,0))</f>
        <v>44.9</v>
      </c>
      <c r="J299" s="5" t="n">
        <f aca="false">H299*I299</f>
        <v>44.9</v>
      </c>
      <c r="K299" s="5" t="n">
        <f aca="false">INDEX(Produtos!$E$2:$E$11,MATCH(F299,Produtos!$A$2:$A$11,0))</f>
        <v>18</v>
      </c>
      <c r="L299" s="5" t="n">
        <f aca="false">H299*K299</f>
        <v>18</v>
      </c>
    </row>
    <row r="300" customFormat="false" ht="15" hidden="false" customHeight="false" outlineLevel="0" collapsed="false">
      <c r="A300" s="2" t="s">
        <v>582</v>
      </c>
      <c r="B300" s="8" t="n">
        <v>46048</v>
      </c>
      <c r="C300" s="2" t="s">
        <v>195</v>
      </c>
      <c r="D300" s="3" t="str">
        <f aca="false">INDEX(Vendedores!$C$2:$C$101,MATCH(C300,Vendedores!$A$2:$A$101,0))</f>
        <v>L08</v>
      </c>
      <c r="E300" s="3" t="str">
        <f aca="false">INDEX(Lojas!$E$2:$E$11,MATCH(D300,Lojas!$A$2:$A$11,0))</f>
        <v>Nordeste</v>
      </c>
      <c r="F300" s="2" t="s">
        <v>262</v>
      </c>
      <c r="G300" s="3" t="str">
        <f aca="false">INDEX(Produtos!$B$2:$B$11,MATCH(F300,Produtos!$A$2:$A$11,0))&amp;" "&amp;INDEX(Produtos!$C$2:$C$11,MATCH(F300,Produtos!$A$2:$A$11,0))</f>
        <v>Fone de Ouvido De Celular</v>
      </c>
      <c r="H300" s="2" t="n">
        <v>1</v>
      </c>
      <c r="I300" s="5" t="n">
        <f aca="false">INDEX(Produtos!$D$2:$D$11,MATCH(F300,Produtos!$A$2:$A$11,0))</f>
        <v>59.9</v>
      </c>
      <c r="J300" s="5" t="n">
        <f aca="false">H300*I300</f>
        <v>59.9</v>
      </c>
      <c r="K300" s="5" t="n">
        <f aca="false">INDEX(Produtos!$E$2:$E$11,MATCH(F300,Produtos!$A$2:$A$11,0))</f>
        <v>28</v>
      </c>
      <c r="L300" s="5" t="n">
        <f aca="false">H300*K300</f>
        <v>28</v>
      </c>
    </row>
    <row r="301" customFormat="false" ht="15" hidden="false" customHeight="false" outlineLevel="0" collapsed="false">
      <c r="A301" s="2" t="s">
        <v>583</v>
      </c>
      <c r="B301" s="8" t="n">
        <v>46048</v>
      </c>
      <c r="C301" s="2" t="s">
        <v>180</v>
      </c>
      <c r="D301" s="3" t="str">
        <f aca="false">INDEX(Vendedores!$C$2:$C$101,MATCH(C301,Vendedores!$A$2:$A$101,0))</f>
        <v>L07</v>
      </c>
      <c r="E301" s="3" t="str">
        <f aca="false">INDEX(Lojas!$E$2:$E$11,MATCH(D301,Lojas!$A$2:$A$11,0))</f>
        <v>Sul</v>
      </c>
      <c r="F301" s="2" t="s">
        <v>275</v>
      </c>
      <c r="G301" s="3" t="str">
        <f aca="false">INDEX(Produtos!$B$2:$B$11,MATCH(F301,Produtos!$A$2:$A$11,0))&amp;" "&amp;INDEX(Produtos!$C$2:$C$11,MATCH(F301,Produtos!$A$2:$A$11,0))</f>
        <v>Controle de Videogame PS5</v>
      </c>
      <c r="H301" s="2" t="n">
        <v>1</v>
      </c>
      <c r="I301" s="5" t="n">
        <f aca="false">INDEX(Produtos!$D$2:$D$11,MATCH(F301,Produtos!$A$2:$A$11,0))</f>
        <v>379.9</v>
      </c>
      <c r="J301" s="5" t="n">
        <f aca="false">H301*I301</f>
        <v>379.9</v>
      </c>
      <c r="K301" s="5" t="n">
        <f aca="false">INDEX(Produtos!$E$2:$E$11,MATCH(F301,Produtos!$A$2:$A$11,0))</f>
        <v>235</v>
      </c>
      <c r="L301" s="5" t="n">
        <f aca="false">H301*K301</f>
        <v>235</v>
      </c>
    </row>
    <row r="302" customFormat="false" ht="15" hidden="false" customHeight="false" outlineLevel="0" collapsed="false">
      <c r="A302" s="2" t="s">
        <v>584</v>
      </c>
      <c r="B302" s="8" t="n">
        <v>46048</v>
      </c>
      <c r="C302" s="2" t="s">
        <v>176</v>
      </c>
      <c r="D302" s="3" t="str">
        <f aca="false">INDEX(Vendedores!$C$2:$C$101,MATCH(C302,Vendedores!$A$2:$A$101,0))</f>
        <v>L07</v>
      </c>
      <c r="E302" s="3" t="str">
        <f aca="false">INDEX(Lojas!$E$2:$E$11,MATCH(D302,Lojas!$A$2:$A$11,0))</f>
        <v>Sul</v>
      </c>
      <c r="F302" s="2" t="s">
        <v>267</v>
      </c>
      <c r="G302" s="3" t="str">
        <f aca="false">INDEX(Produtos!$B$2:$B$11,MATCH(F302,Produtos!$A$2:$A$11,0))&amp;" "&amp;INDEX(Produtos!$C$2:$C$11,MATCH(F302,Produtos!$A$2:$A$11,0))</f>
        <v>Carregador de Celular Tipo C</v>
      </c>
      <c r="H302" s="2" t="n">
        <v>2</v>
      </c>
      <c r="I302" s="5" t="n">
        <f aca="false">INDEX(Produtos!$D$2:$D$11,MATCH(F302,Produtos!$A$2:$A$11,0))</f>
        <v>44.9</v>
      </c>
      <c r="J302" s="5" t="n">
        <f aca="false">H302*I302</f>
        <v>89.8</v>
      </c>
      <c r="K302" s="5" t="n">
        <f aca="false">INDEX(Produtos!$E$2:$E$11,MATCH(F302,Produtos!$A$2:$A$11,0))</f>
        <v>18</v>
      </c>
      <c r="L302" s="5" t="n">
        <f aca="false">H302*K302</f>
        <v>36</v>
      </c>
    </row>
    <row r="303" customFormat="false" ht="15" hidden="false" customHeight="false" outlineLevel="0" collapsed="false">
      <c r="A303" s="2" t="s">
        <v>585</v>
      </c>
      <c r="B303" s="8" t="n">
        <v>46048</v>
      </c>
      <c r="C303" s="2" t="s">
        <v>217</v>
      </c>
      <c r="D303" s="3" t="str">
        <f aca="false">INDEX(Vendedores!$C$2:$C$101,MATCH(C303,Vendedores!$A$2:$A$101,0))</f>
        <v>L09</v>
      </c>
      <c r="E303" s="3" t="str">
        <f aca="false">INDEX(Lojas!$E$2:$E$11,MATCH(D303,Lojas!$A$2:$A$11,0))</f>
        <v>Nordeste</v>
      </c>
      <c r="F303" s="2" t="s">
        <v>267</v>
      </c>
      <c r="G303" s="3" t="str">
        <f aca="false">INDEX(Produtos!$B$2:$B$11,MATCH(F303,Produtos!$A$2:$A$11,0))&amp;" "&amp;INDEX(Produtos!$C$2:$C$11,MATCH(F303,Produtos!$A$2:$A$11,0))</f>
        <v>Carregador de Celular Tipo C</v>
      </c>
      <c r="H303" s="2" t="n">
        <v>2</v>
      </c>
      <c r="I303" s="5" t="n">
        <f aca="false">INDEX(Produtos!$D$2:$D$11,MATCH(F303,Produtos!$A$2:$A$11,0))</f>
        <v>44.9</v>
      </c>
      <c r="J303" s="5" t="n">
        <f aca="false">H303*I303</f>
        <v>89.8</v>
      </c>
      <c r="K303" s="5" t="n">
        <f aca="false">INDEX(Produtos!$E$2:$E$11,MATCH(F303,Produtos!$A$2:$A$11,0))</f>
        <v>18</v>
      </c>
      <c r="L303" s="5" t="n">
        <f aca="false">H303*K303</f>
        <v>36</v>
      </c>
    </row>
    <row r="304" customFormat="false" ht="15" hidden="false" customHeight="false" outlineLevel="0" collapsed="false">
      <c r="A304" s="2" t="s">
        <v>586</v>
      </c>
      <c r="B304" s="8" t="n">
        <v>46048</v>
      </c>
      <c r="C304" s="2" t="s">
        <v>142</v>
      </c>
      <c r="D304" s="3" t="str">
        <f aca="false">INDEX(Vendedores!$C$2:$C$101,MATCH(C304,Vendedores!$A$2:$A$101,0))</f>
        <v>L05</v>
      </c>
      <c r="E304" s="3" t="str">
        <f aca="false">INDEX(Lojas!$E$2:$E$11,MATCH(D304,Lojas!$A$2:$A$11,0))</f>
        <v>Sul</v>
      </c>
      <c r="F304" s="2" t="s">
        <v>265</v>
      </c>
      <c r="G304" s="3" t="str">
        <f aca="false">INDEX(Produtos!$B$2:$B$11,MATCH(F304,Produtos!$A$2:$A$11,0))&amp;" "&amp;INDEX(Produtos!$C$2:$C$11,MATCH(F304,Produtos!$A$2:$A$11,0))</f>
        <v>Fone de Ouvido Headset</v>
      </c>
      <c r="H304" s="2" t="n">
        <v>1</v>
      </c>
      <c r="I304" s="5" t="n">
        <f aca="false">INDEX(Produtos!$D$2:$D$11,MATCH(F304,Produtos!$A$2:$A$11,0))</f>
        <v>249.9</v>
      </c>
      <c r="J304" s="5" t="n">
        <f aca="false">H304*I304</f>
        <v>249.9</v>
      </c>
      <c r="K304" s="5" t="n">
        <f aca="false">INDEX(Produtos!$E$2:$E$11,MATCH(F304,Produtos!$A$2:$A$11,0))</f>
        <v>145</v>
      </c>
      <c r="L304" s="5" t="n">
        <f aca="false">H304*K304</f>
        <v>145</v>
      </c>
    </row>
    <row r="305" customFormat="false" ht="15" hidden="false" customHeight="false" outlineLevel="0" collapsed="false">
      <c r="A305" s="2" t="s">
        <v>587</v>
      </c>
      <c r="B305" s="8" t="n">
        <v>46048</v>
      </c>
      <c r="C305" s="2" t="s">
        <v>122</v>
      </c>
      <c r="D305" s="3" t="str">
        <f aca="false">INDEX(Vendedores!$C$2:$C$101,MATCH(C305,Vendedores!$A$2:$A$101,0))</f>
        <v>L04</v>
      </c>
      <c r="E305" s="3" t="str">
        <f aca="false">INDEX(Lojas!$E$2:$E$11,MATCH(D305,Lojas!$A$2:$A$11,0))</f>
        <v>Sudeste</v>
      </c>
      <c r="F305" s="2" t="s">
        <v>273</v>
      </c>
      <c r="G305" s="3" t="str">
        <f aca="false">INDEX(Produtos!$B$2:$B$11,MATCH(F305,Produtos!$A$2:$A$11,0))&amp;" "&amp;INDEX(Produtos!$C$2:$C$11,MATCH(F305,Produtos!$A$2:$A$11,0))</f>
        <v>Controle de Videogame PS4</v>
      </c>
      <c r="H305" s="2" t="n">
        <v>2</v>
      </c>
      <c r="I305" s="5" t="n">
        <f aca="false">INDEX(Produtos!$D$2:$D$11,MATCH(F305,Produtos!$A$2:$A$11,0))</f>
        <v>299.9</v>
      </c>
      <c r="J305" s="5" t="n">
        <f aca="false">H305*I305</f>
        <v>599.8</v>
      </c>
      <c r="K305" s="5" t="n">
        <f aca="false">INDEX(Produtos!$E$2:$E$11,MATCH(F305,Produtos!$A$2:$A$11,0))</f>
        <v>175</v>
      </c>
      <c r="L305" s="5" t="n">
        <f aca="false">H305*K305</f>
        <v>350</v>
      </c>
    </row>
    <row r="306" customFormat="false" ht="15" hidden="false" customHeight="false" outlineLevel="0" collapsed="false">
      <c r="A306" s="2" t="s">
        <v>588</v>
      </c>
      <c r="B306" s="8" t="n">
        <v>46048</v>
      </c>
      <c r="C306" s="2" t="s">
        <v>185</v>
      </c>
      <c r="D306" s="3" t="str">
        <f aca="false">INDEX(Vendedores!$C$2:$C$101,MATCH(C306,Vendedores!$A$2:$A$101,0))</f>
        <v>L08</v>
      </c>
      <c r="E306" s="3" t="str">
        <f aca="false">INDEX(Lojas!$E$2:$E$11,MATCH(D306,Lojas!$A$2:$A$11,0))</f>
        <v>Nordeste</v>
      </c>
      <c r="F306" s="2" t="s">
        <v>260</v>
      </c>
      <c r="G306" s="3" t="str">
        <f aca="false">INDEX(Produtos!$B$2:$B$11,MATCH(F306,Produtos!$A$2:$A$11,0))&amp;" "&amp;INDEX(Produtos!$C$2:$C$11,MATCH(F306,Produtos!$A$2:$A$11,0))</f>
        <v>Celular Motorola</v>
      </c>
      <c r="H306" s="2" t="n">
        <v>1</v>
      </c>
      <c r="I306" s="5" t="n">
        <f aca="false">INDEX(Produtos!$D$2:$D$11,MATCH(F306,Produtos!$A$2:$A$11,0))</f>
        <v>1799</v>
      </c>
      <c r="J306" s="5" t="n">
        <f aca="false">H306*I306</f>
        <v>1799</v>
      </c>
      <c r="K306" s="5" t="n">
        <f aca="false">INDEX(Produtos!$E$2:$E$11,MATCH(F306,Produtos!$A$2:$A$11,0))</f>
        <v>1250</v>
      </c>
      <c r="L306" s="5" t="n">
        <f aca="false">H306*K306</f>
        <v>1250</v>
      </c>
    </row>
    <row r="307" customFormat="false" ht="15" hidden="false" customHeight="false" outlineLevel="0" collapsed="false">
      <c r="A307" s="2" t="s">
        <v>589</v>
      </c>
      <c r="B307" s="8" t="n">
        <v>46048</v>
      </c>
      <c r="C307" s="2" t="s">
        <v>213</v>
      </c>
      <c r="D307" s="3" t="str">
        <f aca="false">INDEX(Vendedores!$C$2:$C$101,MATCH(C307,Vendedores!$A$2:$A$101,0))</f>
        <v>L09</v>
      </c>
      <c r="E307" s="3" t="str">
        <f aca="false">INDEX(Lojas!$E$2:$E$11,MATCH(D307,Lojas!$A$2:$A$11,0))</f>
        <v>Nordeste</v>
      </c>
      <c r="F307" s="2" t="s">
        <v>255</v>
      </c>
      <c r="G307" s="3" t="str">
        <f aca="false">INDEX(Produtos!$B$2:$B$11,MATCH(F307,Produtos!$A$2:$A$11,0))&amp;" "&amp;INDEX(Produtos!$C$2:$C$11,MATCH(F307,Produtos!$A$2:$A$11,0))</f>
        <v>Notebook Positivo</v>
      </c>
      <c r="H307" s="2" t="n">
        <v>1</v>
      </c>
      <c r="I307" s="5" t="n">
        <f aca="false">INDEX(Produtos!$D$2:$D$11,MATCH(F307,Produtos!$A$2:$A$11,0))</f>
        <v>2199</v>
      </c>
      <c r="J307" s="5" t="n">
        <f aca="false">H307*I307</f>
        <v>2199</v>
      </c>
      <c r="K307" s="5" t="n">
        <f aca="false">INDEX(Produtos!$E$2:$E$11,MATCH(F307,Produtos!$A$2:$A$11,0))</f>
        <v>1550</v>
      </c>
      <c r="L307" s="5" t="n">
        <f aca="false">H307*K307</f>
        <v>1550</v>
      </c>
    </row>
    <row r="308" customFormat="false" ht="15" hidden="false" customHeight="false" outlineLevel="0" collapsed="false">
      <c r="A308" s="2" t="s">
        <v>590</v>
      </c>
      <c r="B308" s="8" t="n">
        <v>46048</v>
      </c>
      <c r="C308" s="2" t="s">
        <v>86</v>
      </c>
      <c r="D308" s="3" t="str">
        <f aca="false">INDEX(Vendedores!$C$2:$C$101,MATCH(C308,Vendedores!$A$2:$A$101,0))</f>
        <v>L02</v>
      </c>
      <c r="E308" s="3" t="str">
        <f aca="false">INDEX(Lojas!$E$2:$E$11,MATCH(D308,Lojas!$A$2:$A$11,0))</f>
        <v>Sudeste</v>
      </c>
      <c r="F308" s="2" t="s">
        <v>255</v>
      </c>
      <c r="G308" s="3" t="str">
        <f aca="false">INDEX(Produtos!$B$2:$B$11,MATCH(F308,Produtos!$A$2:$A$11,0))&amp;" "&amp;INDEX(Produtos!$C$2:$C$11,MATCH(F308,Produtos!$A$2:$A$11,0))</f>
        <v>Notebook Positivo</v>
      </c>
      <c r="H308" s="2" t="n">
        <v>1</v>
      </c>
      <c r="I308" s="5" t="n">
        <f aca="false">INDEX(Produtos!$D$2:$D$11,MATCH(F308,Produtos!$A$2:$A$11,0))</f>
        <v>2199</v>
      </c>
      <c r="J308" s="5" t="n">
        <f aca="false">H308*I308</f>
        <v>2199</v>
      </c>
      <c r="K308" s="5" t="n">
        <f aca="false">INDEX(Produtos!$E$2:$E$11,MATCH(F308,Produtos!$A$2:$A$11,0))</f>
        <v>1550</v>
      </c>
      <c r="L308" s="5" t="n">
        <f aca="false">H308*K308</f>
        <v>1550</v>
      </c>
    </row>
    <row r="309" customFormat="false" ht="15" hidden="false" customHeight="false" outlineLevel="0" collapsed="false">
      <c r="A309" s="2" t="s">
        <v>591</v>
      </c>
      <c r="B309" s="8" t="n">
        <v>46048</v>
      </c>
      <c r="C309" s="2" t="s">
        <v>98</v>
      </c>
      <c r="D309" s="3" t="str">
        <f aca="false">INDEX(Vendedores!$C$2:$C$101,MATCH(C309,Vendedores!$A$2:$A$101,0))</f>
        <v>L03</v>
      </c>
      <c r="E309" s="3" t="str">
        <f aca="false">INDEX(Lojas!$E$2:$E$11,MATCH(D309,Lojas!$A$2:$A$11,0))</f>
        <v>Sudeste</v>
      </c>
      <c r="F309" s="2" t="s">
        <v>275</v>
      </c>
      <c r="G309" s="3" t="str">
        <f aca="false">INDEX(Produtos!$B$2:$B$11,MATCH(F309,Produtos!$A$2:$A$11,0))&amp;" "&amp;INDEX(Produtos!$C$2:$C$11,MATCH(F309,Produtos!$A$2:$A$11,0))</f>
        <v>Controle de Videogame PS5</v>
      </c>
      <c r="H309" s="2" t="n">
        <v>1</v>
      </c>
      <c r="I309" s="5" t="n">
        <f aca="false">INDEX(Produtos!$D$2:$D$11,MATCH(F309,Produtos!$A$2:$A$11,0))</f>
        <v>379.9</v>
      </c>
      <c r="J309" s="5" t="n">
        <f aca="false">H309*I309</f>
        <v>379.9</v>
      </c>
      <c r="K309" s="5" t="n">
        <f aca="false">INDEX(Produtos!$E$2:$E$11,MATCH(F309,Produtos!$A$2:$A$11,0))</f>
        <v>235</v>
      </c>
      <c r="L309" s="5" t="n">
        <f aca="false">H309*K309</f>
        <v>235</v>
      </c>
    </row>
    <row r="310" customFormat="false" ht="15" hidden="false" customHeight="false" outlineLevel="0" collapsed="false">
      <c r="A310" s="2" t="s">
        <v>592</v>
      </c>
      <c r="B310" s="8" t="n">
        <v>46048</v>
      </c>
      <c r="C310" s="2" t="s">
        <v>138</v>
      </c>
      <c r="D310" s="3" t="str">
        <f aca="false">INDEX(Vendedores!$C$2:$C$101,MATCH(C310,Vendedores!$A$2:$A$101,0))</f>
        <v>L05</v>
      </c>
      <c r="E310" s="3" t="str">
        <f aca="false">INDEX(Lojas!$E$2:$E$11,MATCH(D310,Lojas!$A$2:$A$11,0))</f>
        <v>Sul</v>
      </c>
      <c r="F310" s="2" t="s">
        <v>265</v>
      </c>
      <c r="G310" s="3" t="str">
        <f aca="false">INDEX(Produtos!$B$2:$B$11,MATCH(F310,Produtos!$A$2:$A$11,0))&amp;" "&amp;INDEX(Produtos!$C$2:$C$11,MATCH(F310,Produtos!$A$2:$A$11,0))</f>
        <v>Fone de Ouvido Headset</v>
      </c>
      <c r="H310" s="2" t="n">
        <v>1</v>
      </c>
      <c r="I310" s="5" t="n">
        <f aca="false">INDEX(Produtos!$D$2:$D$11,MATCH(F310,Produtos!$A$2:$A$11,0))</f>
        <v>249.9</v>
      </c>
      <c r="J310" s="5" t="n">
        <f aca="false">H310*I310</f>
        <v>249.9</v>
      </c>
      <c r="K310" s="5" t="n">
        <f aca="false">INDEX(Produtos!$E$2:$E$11,MATCH(F310,Produtos!$A$2:$A$11,0))</f>
        <v>145</v>
      </c>
      <c r="L310" s="5" t="n">
        <f aca="false">H310*K310</f>
        <v>145</v>
      </c>
    </row>
    <row r="311" customFormat="false" ht="15" hidden="false" customHeight="false" outlineLevel="0" collapsed="false">
      <c r="A311" s="2" t="s">
        <v>593</v>
      </c>
      <c r="B311" s="8" t="n">
        <v>46048</v>
      </c>
      <c r="C311" s="2" t="s">
        <v>129</v>
      </c>
      <c r="D311" s="3" t="str">
        <f aca="false">INDEX(Vendedores!$C$2:$C$101,MATCH(C311,Vendedores!$A$2:$A$101,0))</f>
        <v>L05</v>
      </c>
      <c r="E311" s="3" t="str">
        <f aca="false">INDEX(Lojas!$E$2:$E$11,MATCH(D311,Lojas!$A$2:$A$11,0))</f>
        <v>Sul</v>
      </c>
      <c r="F311" s="2" t="s">
        <v>273</v>
      </c>
      <c r="G311" s="3" t="str">
        <f aca="false">INDEX(Produtos!$B$2:$B$11,MATCH(F311,Produtos!$A$2:$A$11,0))&amp;" "&amp;INDEX(Produtos!$C$2:$C$11,MATCH(F311,Produtos!$A$2:$A$11,0))</f>
        <v>Controle de Videogame PS4</v>
      </c>
      <c r="H311" s="2" t="n">
        <v>2</v>
      </c>
      <c r="I311" s="5" t="n">
        <f aca="false">INDEX(Produtos!$D$2:$D$11,MATCH(F311,Produtos!$A$2:$A$11,0))</f>
        <v>299.9</v>
      </c>
      <c r="J311" s="5" t="n">
        <f aca="false">H311*I311</f>
        <v>599.8</v>
      </c>
      <c r="K311" s="5" t="n">
        <f aca="false">INDEX(Produtos!$E$2:$E$11,MATCH(F311,Produtos!$A$2:$A$11,0))</f>
        <v>175</v>
      </c>
      <c r="L311" s="5" t="n">
        <f aca="false">H311*K311</f>
        <v>350</v>
      </c>
    </row>
    <row r="312" customFormat="false" ht="15" hidden="false" customHeight="false" outlineLevel="0" collapsed="false">
      <c r="A312" s="2" t="s">
        <v>594</v>
      </c>
      <c r="B312" s="8" t="n">
        <v>46048</v>
      </c>
      <c r="C312" s="2" t="s">
        <v>227</v>
      </c>
      <c r="D312" s="3" t="str">
        <f aca="false">INDEX(Vendedores!$C$2:$C$101,MATCH(C312,Vendedores!$A$2:$A$101,0))</f>
        <v>L10</v>
      </c>
      <c r="E312" s="3" t="str">
        <f aca="false">INDEX(Lojas!$E$2:$E$11,MATCH(D312,Lojas!$A$2:$A$11,0))</f>
        <v>Nordeste</v>
      </c>
      <c r="F312" s="2" t="s">
        <v>275</v>
      </c>
      <c r="G312" s="3" t="str">
        <f aca="false">INDEX(Produtos!$B$2:$B$11,MATCH(F312,Produtos!$A$2:$A$11,0))&amp;" "&amp;INDEX(Produtos!$C$2:$C$11,MATCH(F312,Produtos!$A$2:$A$11,0))</f>
        <v>Controle de Videogame PS5</v>
      </c>
      <c r="H312" s="2" t="n">
        <v>1</v>
      </c>
      <c r="I312" s="5" t="n">
        <f aca="false">INDEX(Produtos!$D$2:$D$11,MATCH(F312,Produtos!$A$2:$A$11,0))</f>
        <v>379.9</v>
      </c>
      <c r="J312" s="5" t="n">
        <f aca="false">H312*I312</f>
        <v>379.9</v>
      </c>
      <c r="K312" s="5" t="n">
        <f aca="false">INDEX(Produtos!$E$2:$E$11,MATCH(F312,Produtos!$A$2:$A$11,0))</f>
        <v>235</v>
      </c>
      <c r="L312" s="5" t="n">
        <f aca="false">H312*K312</f>
        <v>235</v>
      </c>
    </row>
    <row r="313" customFormat="false" ht="15" hidden="false" customHeight="false" outlineLevel="0" collapsed="false">
      <c r="A313" s="2" t="s">
        <v>595</v>
      </c>
      <c r="B313" s="8" t="n">
        <v>46048</v>
      </c>
      <c r="C313" s="2" t="s">
        <v>187</v>
      </c>
      <c r="D313" s="3" t="str">
        <f aca="false">INDEX(Vendedores!$C$2:$C$101,MATCH(C313,Vendedores!$A$2:$A$101,0))</f>
        <v>L08</v>
      </c>
      <c r="E313" s="3" t="str">
        <f aca="false">INDEX(Lojas!$E$2:$E$11,MATCH(D313,Lojas!$A$2:$A$11,0))</f>
        <v>Nordeste</v>
      </c>
      <c r="F313" s="2" t="s">
        <v>260</v>
      </c>
      <c r="G313" s="3" t="str">
        <f aca="false">INDEX(Produtos!$B$2:$B$11,MATCH(F313,Produtos!$A$2:$A$11,0))&amp;" "&amp;INDEX(Produtos!$C$2:$C$11,MATCH(F313,Produtos!$A$2:$A$11,0))</f>
        <v>Celular Motorola</v>
      </c>
      <c r="H313" s="2" t="n">
        <v>1</v>
      </c>
      <c r="I313" s="5" t="n">
        <f aca="false">INDEX(Produtos!$D$2:$D$11,MATCH(F313,Produtos!$A$2:$A$11,0))</f>
        <v>1799</v>
      </c>
      <c r="J313" s="5" t="n">
        <f aca="false">H313*I313</f>
        <v>1799</v>
      </c>
      <c r="K313" s="5" t="n">
        <f aca="false">INDEX(Produtos!$E$2:$E$11,MATCH(F313,Produtos!$A$2:$A$11,0))</f>
        <v>1250</v>
      </c>
      <c r="L313" s="5" t="n">
        <f aca="false">H313*K313</f>
        <v>1250</v>
      </c>
    </row>
    <row r="314" customFormat="false" ht="15" hidden="false" customHeight="false" outlineLevel="0" collapsed="false">
      <c r="A314" s="2" t="s">
        <v>596</v>
      </c>
      <c r="B314" s="8" t="n">
        <v>46048</v>
      </c>
      <c r="C314" s="2" t="s">
        <v>135</v>
      </c>
      <c r="D314" s="3" t="str">
        <f aca="false">INDEX(Vendedores!$C$2:$C$101,MATCH(C314,Vendedores!$A$2:$A$101,0))</f>
        <v>L05</v>
      </c>
      <c r="E314" s="3" t="str">
        <f aca="false">INDEX(Lojas!$E$2:$E$11,MATCH(D314,Lojas!$A$2:$A$11,0))</f>
        <v>Sul</v>
      </c>
      <c r="F314" s="2" t="s">
        <v>275</v>
      </c>
      <c r="G314" s="3" t="str">
        <f aca="false">INDEX(Produtos!$B$2:$B$11,MATCH(F314,Produtos!$A$2:$A$11,0))&amp;" "&amp;INDEX(Produtos!$C$2:$C$11,MATCH(F314,Produtos!$A$2:$A$11,0))</f>
        <v>Controle de Videogame PS5</v>
      </c>
      <c r="H314" s="2" t="n">
        <v>1</v>
      </c>
      <c r="I314" s="5" t="n">
        <f aca="false">INDEX(Produtos!$D$2:$D$11,MATCH(F314,Produtos!$A$2:$A$11,0))</f>
        <v>379.9</v>
      </c>
      <c r="J314" s="5" t="n">
        <f aca="false">H314*I314</f>
        <v>379.9</v>
      </c>
      <c r="K314" s="5" t="n">
        <f aca="false">INDEX(Produtos!$E$2:$E$11,MATCH(F314,Produtos!$A$2:$A$11,0))</f>
        <v>235</v>
      </c>
      <c r="L314" s="5" t="n">
        <f aca="false">H314*K314</f>
        <v>235</v>
      </c>
    </row>
    <row r="315" customFormat="false" ht="15" hidden="false" customHeight="false" outlineLevel="0" collapsed="false">
      <c r="A315" s="2" t="s">
        <v>597</v>
      </c>
      <c r="B315" s="8" t="n">
        <v>46048</v>
      </c>
      <c r="C315" s="2" t="s">
        <v>164</v>
      </c>
      <c r="D315" s="3" t="str">
        <f aca="false">INDEX(Vendedores!$C$2:$C$101,MATCH(C315,Vendedores!$A$2:$A$101,0))</f>
        <v>L06</v>
      </c>
      <c r="E315" s="3" t="str">
        <f aca="false">INDEX(Lojas!$E$2:$E$11,MATCH(D315,Lojas!$A$2:$A$11,0))</f>
        <v>Sul</v>
      </c>
      <c r="F315" s="2" t="s">
        <v>262</v>
      </c>
      <c r="G315" s="3" t="str">
        <f aca="false">INDEX(Produtos!$B$2:$B$11,MATCH(F315,Produtos!$A$2:$A$11,0))&amp;" "&amp;INDEX(Produtos!$C$2:$C$11,MATCH(F315,Produtos!$A$2:$A$11,0))</f>
        <v>Fone de Ouvido De Celular</v>
      </c>
      <c r="H315" s="2" t="n">
        <v>1</v>
      </c>
      <c r="I315" s="5" t="n">
        <f aca="false">INDEX(Produtos!$D$2:$D$11,MATCH(F315,Produtos!$A$2:$A$11,0))</f>
        <v>59.9</v>
      </c>
      <c r="J315" s="5" t="n">
        <f aca="false">H315*I315</f>
        <v>59.9</v>
      </c>
      <c r="K315" s="5" t="n">
        <f aca="false">INDEX(Produtos!$E$2:$E$11,MATCH(F315,Produtos!$A$2:$A$11,0))</f>
        <v>28</v>
      </c>
      <c r="L315" s="5" t="n">
        <f aca="false">H315*K315</f>
        <v>28</v>
      </c>
    </row>
    <row r="316" customFormat="false" ht="15" hidden="false" customHeight="false" outlineLevel="0" collapsed="false">
      <c r="A316" s="2" t="s">
        <v>598</v>
      </c>
      <c r="B316" s="8" t="n">
        <v>46048</v>
      </c>
      <c r="C316" s="2" t="s">
        <v>211</v>
      </c>
      <c r="D316" s="3" t="str">
        <f aca="false">INDEX(Vendedores!$C$2:$C$101,MATCH(C316,Vendedores!$A$2:$A$101,0))</f>
        <v>L09</v>
      </c>
      <c r="E316" s="3" t="str">
        <f aca="false">INDEX(Lojas!$E$2:$E$11,MATCH(D316,Lojas!$A$2:$A$11,0))</f>
        <v>Nordeste</v>
      </c>
      <c r="F316" s="2" t="s">
        <v>255</v>
      </c>
      <c r="G316" s="3" t="str">
        <f aca="false">INDEX(Produtos!$B$2:$B$11,MATCH(F316,Produtos!$A$2:$A$11,0))&amp;" "&amp;INDEX(Produtos!$C$2:$C$11,MATCH(F316,Produtos!$A$2:$A$11,0))</f>
        <v>Notebook Positivo</v>
      </c>
      <c r="H316" s="2" t="n">
        <v>2</v>
      </c>
      <c r="I316" s="5" t="n">
        <f aca="false">INDEX(Produtos!$D$2:$D$11,MATCH(F316,Produtos!$A$2:$A$11,0))</f>
        <v>2199</v>
      </c>
      <c r="J316" s="5" t="n">
        <f aca="false">H316*I316</f>
        <v>4398</v>
      </c>
      <c r="K316" s="5" t="n">
        <f aca="false">INDEX(Produtos!$E$2:$E$11,MATCH(F316,Produtos!$A$2:$A$11,0))</f>
        <v>1550</v>
      </c>
      <c r="L316" s="5" t="n">
        <f aca="false">H316*K316</f>
        <v>3100</v>
      </c>
    </row>
    <row r="317" customFormat="false" ht="15" hidden="false" customHeight="false" outlineLevel="0" collapsed="false">
      <c r="A317" s="2" t="s">
        <v>599</v>
      </c>
      <c r="B317" s="8" t="n">
        <v>46049</v>
      </c>
      <c r="C317" s="2" t="s">
        <v>90</v>
      </c>
      <c r="D317" s="3" t="str">
        <f aca="false">INDEX(Vendedores!$C$2:$C$101,MATCH(C317,Vendedores!$A$2:$A$101,0))</f>
        <v>L03</v>
      </c>
      <c r="E317" s="3" t="str">
        <f aca="false">INDEX(Lojas!$E$2:$E$11,MATCH(D317,Lojas!$A$2:$A$11,0))</f>
        <v>Sudeste</v>
      </c>
      <c r="F317" s="2" t="s">
        <v>265</v>
      </c>
      <c r="G317" s="3" t="str">
        <f aca="false">INDEX(Produtos!$B$2:$B$11,MATCH(F317,Produtos!$A$2:$A$11,0))&amp;" "&amp;INDEX(Produtos!$C$2:$C$11,MATCH(F317,Produtos!$A$2:$A$11,0))</f>
        <v>Fone de Ouvido Headset</v>
      </c>
      <c r="H317" s="2" t="n">
        <v>1</v>
      </c>
      <c r="I317" s="5" t="n">
        <f aca="false">INDEX(Produtos!$D$2:$D$11,MATCH(F317,Produtos!$A$2:$A$11,0))</f>
        <v>249.9</v>
      </c>
      <c r="J317" s="5" t="n">
        <f aca="false">H317*I317</f>
        <v>249.9</v>
      </c>
      <c r="K317" s="5" t="n">
        <f aca="false">INDEX(Produtos!$E$2:$E$11,MATCH(F317,Produtos!$A$2:$A$11,0))</f>
        <v>145</v>
      </c>
      <c r="L317" s="5" t="n">
        <f aca="false">H317*K317</f>
        <v>145</v>
      </c>
    </row>
    <row r="318" customFormat="false" ht="15" hidden="false" customHeight="false" outlineLevel="0" collapsed="false">
      <c r="A318" s="2" t="s">
        <v>600</v>
      </c>
      <c r="B318" s="8" t="n">
        <v>46049</v>
      </c>
      <c r="C318" s="2" t="s">
        <v>70</v>
      </c>
      <c r="D318" s="3" t="str">
        <f aca="false">INDEX(Vendedores!$C$2:$C$101,MATCH(C318,Vendedores!$A$2:$A$101,0))</f>
        <v>L02</v>
      </c>
      <c r="E318" s="3" t="str">
        <f aca="false">INDEX(Lojas!$E$2:$E$11,MATCH(D318,Lojas!$A$2:$A$11,0))</f>
        <v>Sudeste</v>
      </c>
      <c r="F318" s="2" t="s">
        <v>262</v>
      </c>
      <c r="G318" s="3" t="str">
        <f aca="false">INDEX(Produtos!$B$2:$B$11,MATCH(F318,Produtos!$A$2:$A$11,0))&amp;" "&amp;INDEX(Produtos!$C$2:$C$11,MATCH(F318,Produtos!$A$2:$A$11,0))</f>
        <v>Fone de Ouvido De Celular</v>
      </c>
      <c r="H318" s="2" t="n">
        <v>1</v>
      </c>
      <c r="I318" s="5" t="n">
        <f aca="false">INDEX(Produtos!$D$2:$D$11,MATCH(F318,Produtos!$A$2:$A$11,0))</f>
        <v>59.9</v>
      </c>
      <c r="J318" s="5" t="n">
        <f aca="false">H318*I318</f>
        <v>59.9</v>
      </c>
      <c r="K318" s="5" t="n">
        <f aca="false">INDEX(Produtos!$E$2:$E$11,MATCH(F318,Produtos!$A$2:$A$11,0))</f>
        <v>28</v>
      </c>
      <c r="L318" s="5" t="n">
        <f aca="false">H318*K318</f>
        <v>28</v>
      </c>
    </row>
    <row r="319" customFormat="false" ht="15" hidden="false" customHeight="false" outlineLevel="0" collapsed="false">
      <c r="A319" s="2" t="s">
        <v>601</v>
      </c>
      <c r="B319" s="8" t="n">
        <v>46049</v>
      </c>
      <c r="C319" s="2" t="s">
        <v>207</v>
      </c>
      <c r="D319" s="3" t="str">
        <f aca="false">INDEX(Vendedores!$C$2:$C$101,MATCH(C319,Vendedores!$A$2:$A$101,0))</f>
        <v>L09</v>
      </c>
      <c r="E319" s="3" t="str">
        <f aca="false">INDEX(Lojas!$E$2:$E$11,MATCH(D319,Lojas!$A$2:$A$11,0))</f>
        <v>Nordeste</v>
      </c>
      <c r="F319" s="2" t="s">
        <v>255</v>
      </c>
      <c r="G319" s="3" t="str">
        <f aca="false">INDEX(Produtos!$B$2:$B$11,MATCH(F319,Produtos!$A$2:$A$11,0))&amp;" "&amp;INDEX(Produtos!$C$2:$C$11,MATCH(F319,Produtos!$A$2:$A$11,0))</f>
        <v>Notebook Positivo</v>
      </c>
      <c r="H319" s="2" t="n">
        <v>1</v>
      </c>
      <c r="I319" s="5" t="n">
        <f aca="false">INDEX(Produtos!$D$2:$D$11,MATCH(F319,Produtos!$A$2:$A$11,0))</f>
        <v>2199</v>
      </c>
      <c r="J319" s="5" t="n">
        <f aca="false">H319*I319</f>
        <v>2199</v>
      </c>
      <c r="K319" s="5" t="n">
        <f aca="false">INDEX(Produtos!$E$2:$E$11,MATCH(F319,Produtos!$A$2:$A$11,0))</f>
        <v>1550</v>
      </c>
      <c r="L319" s="5" t="n">
        <f aca="false">H319*K319</f>
        <v>1550</v>
      </c>
    </row>
    <row r="320" customFormat="false" ht="15" hidden="false" customHeight="false" outlineLevel="0" collapsed="false">
      <c r="A320" s="2" t="s">
        <v>602</v>
      </c>
      <c r="B320" s="8" t="n">
        <v>46049</v>
      </c>
      <c r="C320" s="2" t="s">
        <v>133</v>
      </c>
      <c r="D320" s="3" t="str">
        <f aca="false">INDEX(Vendedores!$C$2:$C$101,MATCH(C320,Vendedores!$A$2:$A$101,0))</f>
        <v>L05</v>
      </c>
      <c r="E320" s="3" t="str">
        <f aca="false">INDEX(Lojas!$E$2:$E$11,MATCH(D320,Lojas!$A$2:$A$11,0))</f>
        <v>Sul</v>
      </c>
      <c r="F320" s="2" t="s">
        <v>275</v>
      </c>
      <c r="G320" s="3" t="str">
        <f aca="false">INDEX(Produtos!$B$2:$B$11,MATCH(F320,Produtos!$A$2:$A$11,0))&amp;" "&amp;INDEX(Produtos!$C$2:$C$11,MATCH(F320,Produtos!$A$2:$A$11,0))</f>
        <v>Controle de Videogame PS5</v>
      </c>
      <c r="H320" s="2" t="n">
        <v>1</v>
      </c>
      <c r="I320" s="5" t="n">
        <f aca="false">INDEX(Produtos!$D$2:$D$11,MATCH(F320,Produtos!$A$2:$A$11,0))</f>
        <v>379.9</v>
      </c>
      <c r="J320" s="5" t="n">
        <f aca="false">H320*I320</f>
        <v>379.9</v>
      </c>
      <c r="K320" s="5" t="n">
        <f aca="false">INDEX(Produtos!$E$2:$E$11,MATCH(F320,Produtos!$A$2:$A$11,0))</f>
        <v>235</v>
      </c>
      <c r="L320" s="5" t="n">
        <f aca="false">H320*K320</f>
        <v>235</v>
      </c>
    </row>
    <row r="321" customFormat="false" ht="15" hidden="false" customHeight="false" outlineLevel="0" collapsed="false">
      <c r="A321" s="2" t="s">
        <v>603</v>
      </c>
      <c r="B321" s="8" t="n">
        <v>46049</v>
      </c>
      <c r="C321" s="2" t="s">
        <v>189</v>
      </c>
      <c r="D321" s="3" t="str">
        <f aca="false">INDEX(Vendedores!$C$2:$C$101,MATCH(C321,Vendedores!$A$2:$A$101,0))</f>
        <v>L08</v>
      </c>
      <c r="E321" s="3" t="str">
        <f aca="false">INDEX(Lojas!$E$2:$E$11,MATCH(D321,Lojas!$A$2:$A$11,0))</f>
        <v>Nordeste</v>
      </c>
      <c r="F321" s="2" t="s">
        <v>267</v>
      </c>
      <c r="G321" s="3" t="str">
        <f aca="false">INDEX(Produtos!$B$2:$B$11,MATCH(F321,Produtos!$A$2:$A$11,0))&amp;" "&amp;INDEX(Produtos!$C$2:$C$11,MATCH(F321,Produtos!$A$2:$A$11,0))</f>
        <v>Carregador de Celular Tipo C</v>
      </c>
      <c r="H321" s="2" t="n">
        <v>1</v>
      </c>
      <c r="I321" s="5" t="n">
        <f aca="false">INDEX(Produtos!$D$2:$D$11,MATCH(F321,Produtos!$A$2:$A$11,0))</f>
        <v>44.9</v>
      </c>
      <c r="J321" s="5" t="n">
        <f aca="false">H321*I321</f>
        <v>44.9</v>
      </c>
      <c r="K321" s="5" t="n">
        <f aca="false">INDEX(Produtos!$E$2:$E$11,MATCH(F321,Produtos!$A$2:$A$11,0))</f>
        <v>18</v>
      </c>
      <c r="L321" s="5" t="n">
        <f aca="false">H321*K321</f>
        <v>18</v>
      </c>
    </row>
    <row r="322" customFormat="false" ht="15" hidden="false" customHeight="false" outlineLevel="0" collapsed="false">
      <c r="A322" s="2" t="s">
        <v>604</v>
      </c>
      <c r="B322" s="8" t="n">
        <v>46049</v>
      </c>
      <c r="C322" s="2" t="s">
        <v>129</v>
      </c>
      <c r="D322" s="3" t="str">
        <f aca="false">INDEX(Vendedores!$C$2:$C$101,MATCH(C322,Vendedores!$A$2:$A$101,0))</f>
        <v>L05</v>
      </c>
      <c r="E322" s="3" t="str">
        <f aca="false">INDEX(Lojas!$E$2:$E$11,MATCH(D322,Lojas!$A$2:$A$11,0))</f>
        <v>Sul</v>
      </c>
      <c r="F322" s="2" t="s">
        <v>262</v>
      </c>
      <c r="G322" s="3" t="str">
        <f aca="false">INDEX(Produtos!$B$2:$B$11,MATCH(F322,Produtos!$A$2:$A$11,0))&amp;" "&amp;INDEX(Produtos!$C$2:$C$11,MATCH(F322,Produtos!$A$2:$A$11,0))</f>
        <v>Fone de Ouvido De Celular</v>
      </c>
      <c r="H322" s="2" t="n">
        <v>1</v>
      </c>
      <c r="I322" s="5" t="n">
        <f aca="false">INDEX(Produtos!$D$2:$D$11,MATCH(F322,Produtos!$A$2:$A$11,0))</f>
        <v>59.9</v>
      </c>
      <c r="J322" s="5" t="n">
        <f aca="false">H322*I322</f>
        <v>59.9</v>
      </c>
      <c r="K322" s="5" t="n">
        <f aca="false">INDEX(Produtos!$E$2:$E$11,MATCH(F322,Produtos!$A$2:$A$11,0))</f>
        <v>28</v>
      </c>
      <c r="L322" s="5" t="n">
        <f aca="false">H322*K322</f>
        <v>28</v>
      </c>
    </row>
    <row r="323" customFormat="false" ht="15" hidden="false" customHeight="false" outlineLevel="0" collapsed="false">
      <c r="A323" s="2" t="s">
        <v>605</v>
      </c>
      <c r="B323" s="8" t="n">
        <v>46049</v>
      </c>
      <c r="C323" s="2" t="s">
        <v>219</v>
      </c>
      <c r="D323" s="3" t="str">
        <f aca="false">INDEX(Vendedores!$C$2:$C$101,MATCH(C323,Vendedores!$A$2:$A$101,0))</f>
        <v>L09</v>
      </c>
      <c r="E323" s="3" t="str">
        <f aca="false">INDEX(Lojas!$E$2:$E$11,MATCH(D323,Lojas!$A$2:$A$11,0))</f>
        <v>Nordeste</v>
      </c>
      <c r="F323" s="2" t="s">
        <v>255</v>
      </c>
      <c r="G323" s="3" t="str">
        <f aca="false">INDEX(Produtos!$B$2:$B$11,MATCH(F323,Produtos!$A$2:$A$11,0))&amp;" "&amp;INDEX(Produtos!$C$2:$C$11,MATCH(F323,Produtos!$A$2:$A$11,0))</f>
        <v>Notebook Positivo</v>
      </c>
      <c r="H323" s="2" t="n">
        <v>1</v>
      </c>
      <c r="I323" s="5" t="n">
        <f aca="false">INDEX(Produtos!$D$2:$D$11,MATCH(F323,Produtos!$A$2:$A$11,0))</f>
        <v>2199</v>
      </c>
      <c r="J323" s="5" t="n">
        <f aca="false">H323*I323</f>
        <v>2199</v>
      </c>
      <c r="K323" s="5" t="n">
        <f aca="false">INDEX(Produtos!$E$2:$E$11,MATCH(F323,Produtos!$A$2:$A$11,0))</f>
        <v>1550</v>
      </c>
      <c r="L323" s="5" t="n">
        <f aca="false">H323*K323</f>
        <v>1550</v>
      </c>
    </row>
    <row r="324" customFormat="false" ht="15" hidden="false" customHeight="false" outlineLevel="0" collapsed="false">
      <c r="A324" s="2" t="s">
        <v>606</v>
      </c>
      <c r="B324" s="8" t="n">
        <v>46049</v>
      </c>
      <c r="C324" s="2" t="s">
        <v>199</v>
      </c>
      <c r="D324" s="3" t="str">
        <f aca="false">INDEX(Vendedores!$C$2:$C$101,MATCH(C324,Vendedores!$A$2:$A$101,0))</f>
        <v>L08</v>
      </c>
      <c r="E324" s="3" t="str">
        <f aca="false">INDEX(Lojas!$E$2:$E$11,MATCH(D324,Lojas!$A$2:$A$11,0))</f>
        <v>Nordeste</v>
      </c>
      <c r="F324" s="2" t="s">
        <v>252</v>
      </c>
      <c r="G324" s="3" t="str">
        <f aca="false">INDEX(Produtos!$B$2:$B$11,MATCH(F324,Produtos!$A$2:$A$11,0))&amp;" "&amp;INDEX(Produtos!$C$2:$C$11,MATCH(F324,Produtos!$A$2:$A$11,0))</f>
        <v>Notebook Lenovo</v>
      </c>
      <c r="H324" s="2" t="n">
        <v>1</v>
      </c>
      <c r="I324" s="5" t="n">
        <f aca="false">INDEX(Produtos!$D$2:$D$11,MATCH(F324,Produtos!$A$2:$A$11,0))</f>
        <v>3199</v>
      </c>
      <c r="J324" s="5" t="n">
        <f aca="false">H324*I324</f>
        <v>3199</v>
      </c>
      <c r="K324" s="5" t="n">
        <f aca="false">INDEX(Produtos!$E$2:$E$11,MATCH(F324,Produtos!$A$2:$A$11,0))</f>
        <v>2350</v>
      </c>
      <c r="L324" s="5" t="n">
        <f aca="false">H324*K324</f>
        <v>2350</v>
      </c>
    </row>
    <row r="325" customFormat="false" ht="15" hidden="false" customHeight="false" outlineLevel="0" collapsed="false">
      <c r="A325" s="2" t="s">
        <v>607</v>
      </c>
      <c r="B325" s="8" t="n">
        <v>46049</v>
      </c>
      <c r="C325" s="2" t="s">
        <v>144</v>
      </c>
      <c r="D325" s="3" t="str">
        <f aca="false">INDEX(Vendedores!$C$2:$C$101,MATCH(C325,Vendedores!$A$2:$A$101,0))</f>
        <v>L05</v>
      </c>
      <c r="E325" s="3" t="str">
        <f aca="false">INDEX(Lojas!$E$2:$E$11,MATCH(D325,Lojas!$A$2:$A$11,0))</f>
        <v>Sul</v>
      </c>
      <c r="F325" s="2" t="s">
        <v>270</v>
      </c>
      <c r="G325" s="3" t="str">
        <f aca="false">INDEX(Produtos!$B$2:$B$11,MATCH(F325,Produtos!$A$2:$A$11,0))&amp;" "&amp;INDEX(Produtos!$C$2:$C$11,MATCH(F325,Produtos!$A$2:$A$11,0))</f>
        <v>Controle de Videogame Xbox</v>
      </c>
      <c r="H325" s="2" t="n">
        <v>1</v>
      </c>
      <c r="I325" s="5" t="n">
        <f aca="false">INDEX(Produtos!$D$2:$D$11,MATCH(F325,Produtos!$A$2:$A$11,0))</f>
        <v>349.9</v>
      </c>
      <c r="J325" s="5" t="n">
        <f aca="false">H325*I325</f>
        <v>349.9</v>
      </c>
      <c r="K325" s="5" t="n">
        <f aca="false">INDEX(Produtos!$E$2:$E$11,MATCH(F325,Produtos!$A$2:$A$11,0))</f>
        <v>215</v>
      </c>
      <c r="L325" s="5" t="n">
        <f aca="false">H325*K325</f>
        <v>215</v>
      </c>
    </row>
    <row r="326" customFormat="false" ht="15" hidden="false" customHeight="false" outlineLevel="0" collapsed="false">
      <c r="A326" s="2" t="s">
        <v>608</v>
      </c>
      <c r="B326" s="8" t="n">
        <v>46049</v>
      </c>
      <c r="C326" s="2" t="s">
        <v>164</v>
      </c>
      <c r="D326" s="3" t="str">
        <f aca="false">INDEX(Vendedores!$C$2:$C$101,MATCH(C326,Vendedores!$A$2:$A$101,0))</f>
        <v>L06</v>
      </c>
      <c r="E326" s="3" t="str">
        <f aca="false">INDEX(Lojas!$E$2:$E$11,MATCH(D326,Lojas!$A$2:$A$11,0))</f>
        <v>Sul</v>
      </c>
      <c r="F326" s="2" t="s">
        <v>262</v>
      </c>
      <c r="G326" s="3" t="str">
        <f aca="false">INDEX(Produtos!$B$2:$B$11,MATCH(F326,Produtos!$A$2:$A$11,0))&amp;" "&amp;INDEX(Produtos!$C$2:$C$11,MATCH(F326,Produtos!$A$2:$A$11,0))</f>
        <v>Fone de Ouvido De Celular</v>
      </c>
      <c r="H326" s="2" t="n">
        <v>1</v>
      </c>
      <c r="I326" s="5" t="n">
        <f aca="false">INDEX(Produtos!$D$2:$D$11,MATCH(F326,Produtos!$A$2:$A$11,0))</f>
        <v>59.9</v>
      </c>
      <c r="J326" s="5" t="n">
        <f aca="false">H326*I326</f>
        <v>59.9</v>
      </c>
      <c r="K326" s="5" t="n">
        <f aca="false">INDEX(Produtos!$E$2:$E$11,MATCH(F326,Produtos!$A$2:$A$11,0))</f>
        <v>28</v>
      </c>
      <c r="L326" s="5" t="n">
        <f aca="false">H326*K326</f>
        <v>28</v>
      </c>
    </row>
    <row r="327" customFormat="false" ht="15" hidden="false" customHeight="false" outlineLevel="0" collapsed="false">
      <c r="A327" s="2" t="s">
        <v>609</v>
      </c>
      <c r="B327" s="8" t="n">
        <v>46049</v>
      </c>
      <c r="C327" s="2" t="s">
        <v>211</v>
      </c>
      <c r="D327" s="3" t="str">
        <f aca="false">INDEX(Vendedores!$C$2:$C$101,MATCH(C327,Vendedores!$A$2:$A$101,0))</f>
        <v>L09</v>
      </c>
      <c r="E327" s="3" t="str">
        <f aca="false">INDEX(Lojas!$E$2:$E$11,MATCH(D327,Lojas!$A$2:$A$11,0))</f>
        <v>Nordeste</v>
      </c>
      <c r="F327" s="2" t="s">
        <v>267</v>
      </c>
      <c r="G327" s="3" t="str">
        <f aca="false">INDEX(Produtos!$B$2:$B$11,MATCH(F327,Produtos!$A$2:$A$11,0))&amp;" "&amp;INDEX(Produtos!$C$2:$C$11,MATCH(F327,Produtos!$A$2:$A$11,0))</f>
        <v>Carregador de Celular Tipo C</v>
      </c>
      <c r="H327" s="2" t="n">
        <v>1</v>
      </c>
      <c r="I327" s="5" t="n">
        <f aca="false">INDEX(Produtos!$D$2:$D$11,MATCH(F327,Produtos!$A$2:$A$11,0))</f>
        <v>44.9</v>
      </c>
      <c r="J327" s="5" t="n">
        <f aca="false">H327*I327</f>
        <v>44.9</v>
      </c>
      <c r="K327" s="5" t="n">
        <f aca="false">INDEX(Produtos!$E$2:$E$11,MATCH(F327,Produtos!$A$2:$A$11,0))</f>
        <v>18</v>
      </c>
      <c r="L327" s="5" t="n">
        <f aca="false">H327*K327</f>
        <v>18</v>
      </c>
    </row>
    <row r="328" customFormat="false" ht="15" hidden="false" customHeight="false" outlineLevel="0" collapsed="false">
      <c r="A328" s="2" t="s">
        <v>610</v>
      </c>
      <c r="B328" s="8" t="n">
        <v>46049</v>
      </c>
      <c r="C328" s="2" t="s">
        <v>137</v>
      </c>
      <c r="D328" s="3" t="str">
        <f aca="false">INDEX(Vendedores!$C$2:$C$101,MATCH(C328,Vendedores!$A$2:$A$101,0))</f>
        <v>L05</v>
      </c>
      <c r="E328" s="3" t="str">
        <f aca="false">INDEX(Lojas!$E$2:$E$11,MATCH(D328,Lojas!$A$2:$A$11,0))</f>
        <v>Sul</v>
      </c>
      <c r="F328" s="2" t="s">
        <v>265</v>
      </c>
      <c r="G328" s="3" t="str">
        <f aca="false">INDEX(Produtos!$B$2:$B$11,MATCH(F328,Produtos!$A$2:$A$11,0))&amp;" "&amp;INDEX(Produtos!$C$2:$C$11,MATCH(F328,Produtos!$A$2:$A$11,0))</f>
        <v>Fone de Ouvido Headset</v>
      </c>
      <c r="H328" s="2" t="n">
        <v>1</v>
      </c>
      <c r="I328" s="5" t="n">
        <f aca="false">INDEX(Produtos!$D$2:$D$11,MATCH(F328,Produtos!$A$2:$A$11,0))</f>
        <v>249.9</v>
      </c>
      <c r="J328" s="5" t="n">
        <f aca="false">H328*I328</f>
        <v>249.9</v>
      </c>
      <c r="K328" s="5" t="n">
        <f aca="false">INDEX(Produtos!$E$2:$E$11,MATCH(F328,Produtos!$A$2:$A$11,0))</f>
        <v>145</v>
      </c>
      <c r="L328" s="5" t="n">
        <f aca="false">H328*K328</f>
        <v>145</v>
      </c>
    </row>
    <row r="329" customFormat="false" ht="15" hidden="false" customHeight="false" outlineLevel="0" collapsed="false">
      <c r="A329" s="2" t="s">
        <v>611</v>
      </c>
      <c r="B329" s="8" t="n">
        <v>46049</v>
      </c>
      <c r="C329" s="2" t="s">
        <v>156</v>
      </c>
      <c r="D329" s="3" t="str">
        <f aca="false">INDEX(Vendedores!$C$2:$C$101,MATCH(C329,Vendedores!$A$2:$A$101,0))</f>
        <v>L06</v>
      </c>
      <c r="E329" s="3" t="str">
        <f aca="false">INDEX(Lojas!$E$2:$E$11,MATCH(D329,Lojas!$A$2:$A$11,0))</f>
        <v>Sul</v>
      </c>
      <c r="F329" s="2" t="s">
        <v>262</v>
      </c>
      <c r="G329" s="3" t="str">
        <f aca="false">INDEX(Produtos!$B$2:$B$11,MATCH(F329,Produtos!$A$2:$A$11,0))&amp;" "&amp;INDEX(Produtos!$C$2:$C$11,MATCH(F329,Produtos!$A$2:$A$11,0))</f>
        <v>Fone de Ouvido De Celular</v>
      </c>
      <c r="H329" s="2" t="n">
        <v>2</v>
      </c>
      <c r="I329" s="5" t="n">
        <f aca="false">INDEX(Produtos!$D$2:$D$11,MATCH(F329,Produtos!$A$2:$A$11,0))</f>
        <v>59.9</v>
      </c>
      <c r="J329" s="5" t="n">
        <f aca="false">H329*I329</f>
        <v>119.8</v>
      </c>
      <c r="K329" s="5" t="n">
        <f aca="false">INDEX(Produtos!$E$2:$E$11,MATCH(F329,Produtos!$A$2:$A$11,0))</f>
        <v>28</v>
      </c>
      <c r="L329" s="5" t="n">
        <f aca="false">H329*K329</f>
        <v>56</v>
      </c>
    </row>
    <row r="330" customFormat="false" ht="15" hidden="false" customHeight="false" outlineLevel="0" collapsed="false">
      <c r="A330" s="2" t="s">
        <v>612</v>
      </c>
      <c r="B330" s="8" t="n">
        <v>46050</v>
      </c>
      <c r="C330" s="2" t="s">
        <v>88</v>
      </c>
      <c r="D330" s="3" t="str">
        <f aca="false">INDEX(Vendedores!$C$2:$C$101,MATCH(C330,Vendedores!$A$2:$A$101,0))</f>
        <v>L02</v>
      </c>
      <c r="E330" s="3" t="str">
        <f aca="false">INDEX(Lojas!$E$2:$E$11,MATCH(D330,Lojas!$A$2:$A$11,0))</f>
        <v>Sudeste</v>
      </c>
      <c r="F330" s="2" t="s">
        <v>252</v>
      </c>
      <c r="G330" s="3" t="str">
        <f aca="false">INDEX(Produtos!$B$2:$B$11,MATCH(F330,Produtos!$A$2:$A$11,0))&amp;" "&amp;INDEX(Produtos!$C$2:$C$11,MATCH(F330,Produtos!$A$2:$A$11,0))</f>
        <v>Notebook Lenovo</v>
      </c>
      <c r="H330" s="2" t="n">
        <v>1</v>
      </c>
      <c r="I330" s="5" t="n">
        <f aca="false">INDEX(Produtos!$D$2:$D$11,MATCH(F330,Produtos!$A$2:$A$11,0))</f>
        <v>3199</v>
      </c>
      <c r="J330" s="5" t="n">
        <f aca="false">H330*I330</f>
        <v>3199</v>
      </c>
      <c r="K330" s="5" t="n">
        <f aca="false">INDEX(Produtos!$E$2:$E$11,MATCH(F330,Produtos!$A$2:$A$11,0))</f>
        <v>2350</v>
      </c>
      <c r="L330" s="5" t="n">
        <f aca="false">H330*K330</f>
        <v>2350</v>
      </c>
    </row>
    <row r="331" customFormat="false" ht="15" hidden="false" customHeight="false" outlineLevel="0" collapsed="false">
      <c r="A331" s="2" t="s">
        <v>613</v>
      </c>
      <c r="B331" s="8" t="n">
        <v>46050</v>
      </c>
      <c r="C331" s="2" t="s">
        <v>182</v>
      </c>
      <c r="D331" s="3" t="str">
        <f aca="false">INDEX(Vendedores!$C$2:$C$101,MATCH(C331,Vendedores!$A$2:$A$101,0))</f>
        <v>L07</v>
      </c>
      <c r="E331" s="3" t="str">
        <f aca="false">INDEX(Lojas!$E$2:$E$11,MATCH(D331,Lojas!$A$2:$A$11,0))</f>
        <v>Sul</v>
      </c>
      <c r="F331" s="2" t="s">
        <v>252</v>
      </c>
      <c r="G331" s="3" t="str">
        <f aca="false">INDEX(Produtos!$B$2:$B$11,MATCH(F331,Produtos!$A$2:$A$11,0))&amp;" "&amp;INDEX(Produtos!$C$2:$C$11,MATCH(F331,Produtos!$A$2:$A$11,0))</f>
        <v>Notebook Lenovo</v>
      </c>
      <c r="H331" s="2" t="n">
        <v>2</v>
      </c>
      <c r="I331" s="5" t="n">
        <f aca="false">INDEX(Produtos!$D$2:$D$11,MATCH(F331,Produtos!$A$2:$A$11,0))</f>
        <v>3199</v>
      </c>
      <c r="J331" s="5" t="n">
        <f aca="false">H331*I331</f>
        <v>6398</v>
      </c>
      <c r="K331" s="5" t="n">
        <f aca="false">INDEX(Produtos!$E$2:$E$11,MATCH(F331,Produtos!$A$2:$A$11,0))</f>
        <v>2350</v>
      </c>
      <c r="L331" s="5" t="n">
        <f aca="false">H331*K331</f>
        <v>4700</v>
      </c>
    </row>
    <row r="332" customFormat="false" ht="15" hidden="false" customHeight="false" outlineLevel="0" collapsed="false">
      <c r="A332" s="2" t="s">
        <v>614</v>
      </c>
      <c r="B332" s="8" t="n">
        <v>46050</v>
      </c>
      <c r="C332" s="2" t="s">
        <v>150</v>
      </c>
      <c r="D332" s="3" t="str">
        <f aca="false">INDEX(Vendedores!$C$2:$C$101,MATCH(C332,Vendedores!$A$2:$A$101,0))</f>
        <v>L06</v>
      </c>
      <c r="E332" s="3" t="str">
        <f aca="false">INDEX(Lojas!$E$2:$E$11,MATCH(D332,Lojas!$A$2:$A$11,0))</f>
        <v>Sul</v>
      </c>
      <c r="F332" s="2" t="s">
        <v>260</v>
      </c>
      <c r="G332" s="3" t="str">
        <f aca="false">INDEX(Produtos!$B$2:$B$11,MATCH(F332,Produtos!$A$2:$A$11,0))&amp;" "&amp;INDEX(Produtos!$C$2:$C$11,MATCH(F332,Produtos!$A$2:$A$11,0))</f>
        <v>Celular Motorola</v>
      </c>
      <c r="H332" s="2" t="n">
        <v>1</v>
      </c>
      <c r="I332" s="5" t="n">
        <f aca="false">INDEX(Produtos!$D$2:$D$11,MATCH(F332,Produtos!$A$2:$A$11,0))</f>
        <v>1799</v>
      </c>
      <c r="J332" s="5" t="n">
        <f aca="false">H332*I332</f>
        <v>1799</v>
      </c>
      <c r="K332" s="5" t="n">
        <f aca="false">INDEX(Produtos!$E$2:$E$11,MATCH(F332,Produtos!$A$2:$A$11,0))</f>
        <v>1250</v>
      </c>
      <c r="L332" s="5" t="n">
        <f aca="false">H332*K332</f>
        <v>1250</v>
      </c>
    </row>
    <row r="333" customFormat="false" ht="15" hidden="false" customHeight="false" outlineLevel="0" collapsed="false">
      <c r="A333" s="2" t="s">
        <v>615</v>
      </c>
      <c r="B333" s="8" t="n">
        <v>46050</v>
      </c>
      <c r="C333" s="2" t="s">
        <v>213</v>
      </c>
      <c r="D333" s="3" t="str">
        <f aca="false">INDEX(Vendedores!$C$2:$C$101,MATCH(C333,Vendedores!$A$2:$A$101,0))</f>
        <v>L09</v>
      </c>
      <c r="E333" s="3" t="str">
        <f aca="false">INDEX(Lojas!$E$2:$E$11,MATCH(D333,Lojas!$A$2:$A$11,0))</f>
        <v>Nordeste</v>
      </c>
      <c r="F333" s="2" t="s">
        <v>260</v>
      </c>
      <c r="G333" s="3" t="str">
        <f aca="false">INDEX(Produtos!$B$2:$B$11,MATCH(F333,Produtos!$A$2:$A$11,0))&amp;" "&amp;INDEX(Produtos!$C$2:$C$11,MATCH(F333,Produtos!$A$2:$A$11,0))</f>
        <v>Celular Motorola</v>
      </c>
      <c r="H333" s="2" t="n">
        <v>1</v>
      </c>
      <c r="I333" s="5" t="n">
        <f aca="false">INDEX(Produtos!$D$2:$D$11,MATCH(F333,Produtos!$A$2:$A$11,0))</f>
        <v>1799</v>
      </c>
      <c r="J333" s="5" t="n">
        <f aca="false">H333*I333</f>
        <v>1799</v>
      </c>
      <c r="K333" s="5" t="n">
        <f aca="false">INDEX(Produtos!$E$2:$E$11,MATCH(F333,Produtos!$A$2:$A$11,0))</f>
        <v>1250</v>
      </c>
      <c r="L333" s="5" t="n">
        <f aca="false">H333*K333</f>
        <v>1250</v>
      </c>
    </row>
    <row r="334" customFormat="false" ht="15" hidden="false" customHeight="false" outlineLevel="0" collapsed="false">
      <c r="A334" s="2" t="s">
        <v>616</v>
      </c>
      <c r="B334" s="8" t="n">
        <v>46050</v>
      </c>
      <c r="C334" s="2" t="s">
        <v>227</v>
      </c>
      <c r="D334" s="3" t="str">
        <f aca="false">INDEX(Vendedores!$C$2:$C$101,MATCH(C334,Vendedores!$A$2:$A$101,0))</f>
        <v>L10</v>
      </c>
      <c r="E334" s="3" t="str">
        <f aca="false">INDEX(Lojas!$E$2:$E$11,MATCH(D334,Lojas!$A$2:$A$11,0))</f>
        <v>Nordeste</v>
      </c>
      <c r="F334" s="2" t="s">
        <v>262</v>
      </c>
      <c r="G334" s="3" t="str">
        <f aca="false">INDEX(Produtos!$B$2:$B$11,MATCH(F334,Produtos!$A$2:$A$11,0))&amp;" "&amp;INDEX(Produtos!$C$2:$C$11,MATCH(F334,Produtos!$A$2:$A$11,0))</f>
        <v>Fone de Ouvido De Celular</v>
      </c>
      <c r="H334" s="2" t="n">
        <v>1</v>
      </c>
      <c r="I334" s="5" t="n">
        <f aca="false">INDEX(Produtos!$D$2:$D$11,MATCH(F334,Produtos!$A$2:$A$11,0))</f>
        <v>59.9</v>
      </c>
      <c r="J334" s="5" t="n">
        <f aca="false">H334*I334</f>
        <v>59.9</v>
      </c>
      <c r="K334" s="5" t="n">
        <f aca="false">INDEX(Produtos!$E$2:$E$11,MATCH(F334,Produtos!$A$2:$A$11,0))</f>
        <v>28</v>
      </c>
      <c r="L334" s="5" t="n">
        <f aca="false">H334*K334</f>
        <v>28</v>
      </c>
    </row>
    <row r="335" customFormat="false" ht="15" hidden="false" customHeight="false" outlineLevel="0" collapsed="false">
      <c r="A335" s="2" t="s">
        <v>617</v>
      </c>
      <c r="B335" s="8" t="n">
        <v>46050</v>
      </c>
      <c r="C335" s="2" t="s">
        <v>140</v>
      </c>
      <c r="D335" s="3" t="str">
        <f aca="false">INDEX(Vendedores!$C$2:$C$101,MATCH(C335,Vendedores!$A$2:$A$101,0))</f>
        <v>L05</v>
      </c>
      <c r="E335" s="3" t="str">
        <f aca="false">INDEX(Lojas!$E$2:$E$11,MATCH(D335,Lojas!$A$2:$A$11,0))</f>
        <v>Sul</v>
      </c>
      <c r="F335" s="2" t="s">
        <v>275</v>
      </c>
      <c r="G335" s="3" t="str">
        <f aca="false">INDEX(Produtos!$B$2:$B$11,MATCH(F335,Produtos!$A$2:$A$11,0))&amp;" "&amp;INDEX(Produtos!$C$2:$C$11,MATCH(F335,Produtos!$A$2:$A$11,0))</f>
        <v>Controle de Videogame PS5</v>
      </c>
      <c r="H335" s="2" t="n">
        <v>1</v>
      </c>
      <c r="I335" s="5" t="n">
        <f aca="false">INDEX(Produtos!$D$2:$D$11,MATCH(F335,Produtos!$A$2:$A$11,0))</f>
        <v>379.9</v>
      </c>
      <c r="J335" s="5" t="n">
        <f aca="false">H335*I335</f>
        <v>379.9</v>
      </c>
      <c r="K335" s="5" t="n">
        <f aca="false">INDEX(Produtos!$E$2:$E$11,MATCH(F335,Produtos!$A$2:$A$11,0))</f>
        <v>235</v>
      </c>
      <c r="L335" s="5" t="n">
        <f aca="false">H335*K335</f>
        <v>235</v>
      </c>
    </row>
    <row r="336" customFormat="false" ht="15" hidden="false" customHeight="false" outlineLevel="0" collapsed="false">
      <c r="A336" s="2" t="s">
        <v>618</v>
      </c>
      <c r="B336" s="8" t="n">
        <v>46050</v>
      </c>
      <c r="C336" s="2" t="s">
        <v>50</v>
      </c>
      <c r="D336" s="3" t="str">
        <f aca="false">INDEX(Vendedores!$C$2:$C$101,MATCH(C336,Vendedores!$A$2:$A$101,0))</f>
        <v>L01</v>
      </c>
      <c r="E336" s="3" t="str">
        <f aca="false">INDEX(Lojas!$E$2:$E$11,MATCH(D336,Lojas!$A$2:$A$11,0))</f>
        <v>Sudeste</v>
      </c>
      <c r="F336" s="2" t="s">
        <v>257</v>
      </c>
      <c r="G336" s="3" t="str">
        <f aca="false">INDEX(Produtos!$B$2:$B$11,MATCH(F336,Produtos!$A$2:$A$11,0))&amp;" "&amp;INDEX(Produtos!$C$2:$C$11,MATCH(F336,Produtos!$A$2:$A$11,0))</f>
        <v>Celular Samsung</v>
      </c>
      <c r="H336" s="2" t="n">
        <v>1</v>
      </c>
      <c r="I336" s="5" t="n">
        <f aca="false">INDEX(Produtos!$D$2:$D$11,MATCH(F336,Produtos!$A$2:$A$11,0))</f>
        <v>2499</v>
      </c>
      <c r="J336" s="5" t="n">
        <f aca="false">H336*I336</f>
        <v>2499</v>
      </c>
      <c r="K336" s="5" t="n">
        <f aca="false">INDEX(Produtos!$E$2:$E$11,MATCH(F336,Produtos!$A$2:$A$11,0))</f>
        <v>1800</v>
      </c>
      <c r="L336" s="5" t="n">
        <f aca="false">H336*K336</f>
        <v>1800</v>
      </c>
    </row>
    <row r="337" customFormat="false" ht="15" hidden="false" customHeight="false" outlineLevel="0" collapsed="false">
      <c r="A337" s="2" t="s">
        <v>619</v>
      </c>
      <c r="B337" s="8" t="n">
        <v>46050</v>
      </c>
      <c r="C337" s="2" t="s">
        <v>191</v>
      </c>
      <c r="D337" s="3" t="str">
        <f aca="false">INDEX(Vendedores!$C$2:$C$101,MATCH(C337,Vendedores!$A$2:$A$101,0))</f>
        <v>L08</v>
      </c>
      <c r="E337" s="3" t="str">
        <f aca="false">INDEX(Lojas!$E$2:$E$11,MATCH(D337,Lojas!$A$2:$A$11,0))</f>
        <v>Nordeste</v>
      </c>
      <c r="F337" s="2" t="s">
        <v>262</v>
      </c>
      <c r="G337" s="3" t="str">
        <f aca="false">INDEX(Produtos!$B$2:$B$11,MATCH(F337,Produtos!$A$2:$A$11,0))&amp;" "&amp;INDEX(Produtos!$C$2:$C$11,MATCH(F337,Produtos!$A$2:$A$11,0))</f>
        <v>Fone de Ouvido De Celular</v>
      </c>
      <c r="H337" s="2" t="n">
        <v>1</v>
      </c>
      <c r="I337" s="5" t="n">
        <f aca="false">INDEX(Produtos!$D$2:$D$11,MATCH(F337,Produtos!$A$2:$A$11,0))</f>
        <v>59.9</v>
      </c>
      <c r="J337" s="5" t="n">
        <f aca="false">H337*I337</f>
        <v>59.9</v>
      </c>
      <c r="K337" s="5" t="n">
        <f aca="false">INDEX(Produtos!$E$2:$E$11,MATCH(F337,Produtos!$A$2:$A$11,0))</f>
        <v>28</v>
      </c>
      <c r="L337" s="5" t="n">
        <f aca="false">H337*K337</f>
        <v>28</v>
      </c>
    </row>
    <row r="338" customFormat="false" ht="15" hidden="false" customHeight="false" outlineLevel="0" collapsed="false">
      <c r="A338" s="2" t="s">
        <v>620</v>
      </c>
      <c r="B338" s="8" t="n">
        <v>46050</v>
      </c>
      <c r="C338" s="2" t="s">
        <v>187</v>
      </c>
      <c r="D338" s="3" t="str">
        <f aca="false">INDEX(Vendedores!$C$2:$C$101,MATCH(C338,Vendedores!$A$2:$A$101,0))</f>
        <v>L08</v>
      </c>
      <c r="E338" s="3" t="str">
        <f aca="false">INDEX(Lojas!$E$2:$E$11,MATCH(D338,Lojas!$A$2:$A$11,0))</f>
        <v>Nordeste</v>
      </c>
      <c r="F338" s="2" t="s">
        <v>267</v>
      </c>
      <c r="G338" s="3" t="str">
        <f aca="false">INDEX(Produtos!$B$2:$B$11,MATCH(F338,Produtos!$A$2:$A$11,0))&amp;" "&amp;INDEX(Produtos!$C$2:$C$11,MATCH(F338,Produtos!$A$2:$A$11,0))</f>
        <v>Carregador de Celular Tipo C</v>
      </c>
      <c r="H338" s="2" t="n">
        <v>1</v>
      </c>
      <c r="I338" s="5" t="n">
        <f aca="false">INDEX(Produtos!$D$2:$D$11,MATCH(F338,Produtos!$A$2:$A$11,0))</f>
        <v>44.9</v>
      </c>
      <c r="J338" s="5" t="n">
        <f aca="false">H338*I338</f>
        <v>44.9</v>
      </c>
      <c r="K338" s="5" t="n">
        <f aca="false">INDEX(Produtos!$E$2:$E$11,MATCH(F338,Produtos!$A$2:$A$11,0))</f>
        <v>18</v>
      </c>
      <c r="L338" s="5" t="n">
        <f aca="false">H338*K338</f>
        <v>18</v>
      </c>
    </row>
    <row r="339" customFormat="false" ht="15" hidden="false" customHeight="false" outlineLevel="0" collapsed="false">
      <c r="A339" s="2" t="s">
        <v>621</v>
      </c>
      <c r="B339" s="8" t="n">
        <v>46050</v>
      </c>
      <c r="C339" s="2" t="s">
        <v>182</v>
      </c>
      <c r="D339" s="3" t="str">
        <f aca="false">INDEX(Vendedores!$C$2:$C$101,MATCH(C339,Vendedores!$A$2:$A$101,0))</f>
        <v>L07</v>
      </c>
      <c r="E339" s="3" t="str">
        <f aca="false">INDEX(Lojas!$E$2:$E$11,MATCH(D339,Lojas!$A$2:$A$11,0))</f>
        <v>Sul</v>
      </c>
      <c r="F339" s="2" t="s">
        <v>270</v>
      </c>
      <c r="G339" s="3" t="str">
        <f aca="false">INDEX(Produtos!$B$2:$B$11,MATCH(F339,Produtos!$A$2:$A$11,0))&amp;" "&amp;INDEX(Produtos!$C$2:$C$11,MATCH(F339,Produtos!$A$2:$A$11,0))</f>
        <v>Controle de Videogame Xbox</v>
      </c>
      <c r="H339" s="2" t="n">
        <v>1</v>
      </c>
      <c r="I339" s="5" t="n">
        <f aca="false">INDEX(Produtos!$D$2:$D$11,MATCH(F339,Produtos!$A$2:$A$11,0))</f>
        <v>349.9</v>
      </c>
      <c r="J339" s="5" t="n">
        <f aca="false">H339*I339</f>
        <v>349.9</v>
      </c>
      <c r="K339" s="5" t="n">
        <f aca="false">INDEX(Produtos!$E$2:$E$11,MATCH(F339,Produtos!$A$2:$A$11,0))</f>
        <v>215</v>
      </c>
      <c r="L339" s="5" t="n">
        <f aca="false">H339*K339</f>
        <v>215</v>
      </c>
    </row>
    <row r="340" customFormat="false" ht="15" hidden="false" customHeight="false" outlineLevel="0" collapsed="false">
      <c r="A340" s="2" t="s">
        <v>622</v>
      </c>
      <c r="B340" s="8" t="n">
        <v>46050</v>
      </c>
      <c r="C340" s="2" t="s">
        <v>187</v>
      </c>
      <c r="D340" s="3" t="str">
        <f aca="false">INDEX(Vendedores!$C$2:$C$101,MATCH(C340,Vendedores!$A$2:$A$101,0))</f>
        <v>L08</v>
      </c>
      <c r="E340" s="3" t="str">
        <f aca="false">INDEX(Lojas!$E$2:$E$11,MATCH(D340,Lojas!$A$2:$A$11,0))</f>
        <v>Nordeste</v>
      </c>
      <c r="F340" s="2" t="s">
        <v>252</v>
      </c>
      <c r="G340" s="3" t="str">
        <f aca="false">INDEX(Produtos!$B$2:$B$11,MATCH(F340,Produtos!$A$2:$A$11,0))&amp;" "&amp;INDEX(Produtos!$C$2:$C$11,MATCH(F340,Produtos!$A$2:$A$11,0))</f>
        <v>Notebook Lenovo</v>
      </c>
      <c r="H340" s="2" t="n">
        <v>1</v>
      </c>
      <c r="I340" s="5" t="n">
        <f aca="false">INDEX(Produtos!$D$2:$D$11,MATCH(F340,Produtos!$A$2:$A$11,0))</f>
        <v>3199</v>
      </c>
      <c r="J340" s="5" t="n">
        <f aca="false">H340*I340</f>
        <v>3199</v>
      </c>
      <c r="K340" s="5" t="n">
        <f aca="false">INDEX(Produtos!$E$2:$E$11,MATCH(F340,Produtos!$A$2:$A$11,0))</f>
        <v>2350</v>
      </c>
      <c r="L340" s="5" t="n">
        <f aca="false">H340*K340</f>
        <v>2350</v>
      </c>
    </row>
    <row r="341" customFormat="false" ht="15" hidden="false" customHeight="false" outlineLevel="0" collapsed="false">
      <c r="A341" s="2" t="s">
        <v>623</v>
      </c>
      <c r="B341" s="8" t="n">
        <v>46050</v>
      </c>
      <c r="C341" s="2" t="s">
        <v>133</v>
      </c>
      <c r="D341" s="3" t="str">
        <f aca="false">INDEX(Vendedores!$C$2:$C$101,MATCH(C341,Vendedores!$A$2:$A$101,0))</f>
        <v>L05</v>
      </c>
      <c r="E341" s="3" t="str">
        <f aca="false">INDEX(Lojas!$E$2:$E$11,MATCH(D341,Lojas!$A$2:$A$11,0))</f>
        <v>Sul</v>
      </c>
      <c r="F341" s="2" t="s">
        <v>270</v>
      </c>
      <c r="G341" s="3" t="str">
        <f aca="false">INDEX(Produtos!$B$2:$B$11,MATCH(F341,Produtos!$A$2:$A$11,0))&amp;" "&amp;INDEX(Produtos!$C$2:$C$11,MATCH(F341,Produtos!$A$2:$A$11,0))</f>
        <v>Controle de Videogame Xbox</v>
      </c>
      <c r="H341" s="2" t="n">
        <v>1</v>
      </c>
      <c r="I341" s="5" t="n">
        <f aca="false">INDEX(Produtos!$D$2:$D$11,MATCH(F341,Produtos!$A$2:$A$11,0))</f>
        <v>349.9</v>
      </c>
      <c r="J341" s="5" t="n">
        <f aca="false">H341*I341</f>
        <v>349.9</v>
      </c>
      <c r="K341" s="5" t="n">
        <f aca="false">INDEX(Produtos!$E$2:$E$11,MATCH(F341,Produtos!$A$2:$A$11,0))</f>
        <v>215</v>
      </c>
      <c r="L341" s="5" t="n">
        <f aca="false">H341*K341</f>
        <v>215</v>
      </c>
    </row>
    <row r="342" customFormat="false" ht="15" hidden="false" customHeight="false" outlineLevel="0" collapsed="false">
      <c r="A342" s="2" t="s">
        <v>624</v>
      </c>
      <c r="B342" s="8" t="n">
        <v>46050</v>
      </c>
      <c r="C342" s="2" t="s">
        <v>187</v>
      </c>
      <c r="D342" s="3" t="str">
        <f aca="false">INDEX(Vendedores!$C$2:$C$101,MATCH(C342,Vendedores!$A$2:$A$101,0))</f>
        <v>L08</v>
      </c>
      <c r="E342" s="3" t="str">
        <f aca="false">INDEX(Lojas!$E$2:$E$11,MATCH(D342,Lojas!$A$2:$A$11,0))</f>
        <v>Nordeste</v>
      </c>
      <c r="F342" s="2" t="s">
        <v>267</v>
      </c>
      <c r="G342" s="3" t="str">
        <f aca="false">INDEX(Produtos!$B$2:$B$11,MATCH(F342,Produtos!$A$2:$A$11,0))&amp;" "&amp;INDEX(Produtos!$C$2:$C$11,MATCH(F342,Produtos!$A$2:$A$11,0))</f>
        <v>Carregador de Celular Tipo C</v>
      </c>
      <c r="H342" s="2" t="n">
        <v>1</v>
      </c>
      <c r="I342" s="5" t="n">
        <f aca="false">INDEX(Produtos!$D$2:$D$11,MATCH(F342,Produtos!$A$2:$A$11,0))</f>
        <v>44.9</v>
      </c>
      <c r="J342" s="5" t="n">
        <f aca="false">H342*I342</f>
        <v>44.9</v>
      </c>
      <c r="K342" s="5" t="n">
        <f aca="false">INDEX(Produtos!$E$2:$E$11,MATCH(F342,Produtos!$A$2:$A$11,0))</f>
        <v>18</v>
      </c>
      <c r="L342" s="5" t="n">
        <f aca="false">H342*K342</f>
        <v>18</v>
      </c>
    </row>
    <row r="343" customFormat="false" ht="15" hidden="false" customHeight="false" outlineLevel="0" collapsed="false">
      <c r="A343" s="2" t="s">
        <v>625</v>
      </c>
      <c r="B343" s="8" t="n">
        <v>46050</v>
      </c>
      <c r="C343" s="2" t="s">
        <v>235</v>
      </c>
      <c r="D343" s="3" t="str">
        <f aca="false">INDEX(Vendedores!$C$2:$C$101,MATCH(C343,Vendedores!$A$2:$A$101,0))</f>
        <v>L10</v>
      </c>
      <c r="E343" s="3" t="str">
        <f aca="false">INDEX(Lojas!$E$2:$E$11,MATCH(D343,Lojas!$A$2:$A$11,0))</f>
        <v>Nordeste</v>
      </c>
      <c r="F343" s="2" t="s">
        <v>267</v>
      </c>
      <c r="G343" s="3" t="str">
        <f aca="false">INDEX(Produtos!$B$2:$B$11,MATCH(F343,Produtos!$A$2:$A$11,0))&amp;" "&amp;INDEX(Produtos!$C$2:$C$11,MATCH(F343,Produtos!$A$2:$A$11,0))</f>
        <v>Carregador de Celular Tipo C</v>
      </c>
      <c r="H343" s="2" t="n">
        <v>1</v>
      </c>
      <c r="I343" s="5" t="n">
        <f aca="false">INDEX(Produtos!$D$2:$D$11,MATCH(F343,Produtos!$A$2:$A$11,0))</f>
        <v>44.9</v>
      </c>
      <c r="J343" s="5" t="n">
        <f aca="false">H343*I343</f>
        <v>44.9</v>
      </c>
      <c r="K343" s="5" t="n">
        <f aca="false">INDEX(Produtos!$E$2:$E$11,MATCH(F343,Produtos!$A$2:$A$11,0))</f>
        <v>18</v>
      </c>
      <c r="L343" s="5" t="n">
        <f aca="false">H343*K343</f>
        <v>18</v>
      </c>
    </row>
    <row r="344" customFormat="false" ht="15" hidden="false" customHeight="false" outlineLevel="0" collapsed="false">
      <c r="A344" s="2" t="s">
        <v>626</v>
      </c>
      <c r="B344" s="8" t="n">
        <v>46051</v>
      </c>
      <c r="C344" s="2" t="s">
        <v>154</v>
      </c>
      <c r="D344" s="3" t="str">
        <f aca="false">INDEX(Vendedores!$C$2:$C$101,MATCH(C344,Vendedores!$A$2:$A$101,0))</f>
        <v>L06</v>
      </c>
      <c r="E344" s="3" t="str">
        <f aca="false">INDEX(Lojas!$E$2:$E$11,MATCH(D344,Lojas!$A$2:$A$11,0))</f>
        <v>Sul</v>
      </c>
      <c r="F344" s="2" t="s">
        <v>257</v>
      </c>
      <c r="G344" s="3" t="str">
        <f aca="false">INDEX(Produtos!$B$2:$B$11,MATCH(F344,Produtos!$A$2:$A$11,0))&amp;" "&amp;INDEX(Produtos!$C$2:$C$11,MATCH(F344,Produtos!$A$2:$A$11,0))</f>
        <v>Celular Samsung</v>
      </c>
      <c r="H344" s="2" t="n">
        <v>2</v>
      </c>
      <c r="I344" s="5" t="n">
        <f aca="false">INDEX(Produtos!$D$2:$D$11,MATCH(F344,Produtos!$A$2:$A$11,0))</f>
        <v>2499</v>
      </c>
      <c r="J344" s="5" t="n">
        <f aca="false">H344*I344</f>
        <v>4998</v>
      </c>
      <c r="K344" s="5" t="n">
        <f aca="false">INDEX(Produtos!$E$2:$E$11,MATCH(F344,Produtos!$A$2:$A$11,0))</f>
        <v>1800</v>
      </c>
      <c r="L344" s="5" t="n">
        <f aca="false">H344*K344</f>
        <v>3600</v>
      </c>
    </row>
    <row r="345" customFormat="false" ht="15" hidden="false" customHeight="false" outlineLevel="0" collapsed="false">
      <c r="A345" s="2" t="s">
        <v>627</v>
      </c>
      <c r="B345" s="8" t="n">
        <v>46051</v>
      </c>
      <c r="C345" s="2" t="s">
        <v>66</v>
      </c>
      <c r="D345" s="3" t="str">
        <f aca="false">INDEX(Vendedores!$C$2:$C$101,MATCH(C345,Vendedores!$A$2:$A$101,0))</f>
        <v>L01</v>
      </c>
      <c r="E345" s="3" t="str">
        <f aca="false">INDEX(Lojas!$E$2:$E$11,MATCH(D345,Lojas!$A$2:$A$11,0))</f>
        <v>Sudeste</v>
      </c>
      <c r="F345" s="2" t="s">
        <v>270</v>
      </c>
      <c r="G345" s="3" t="str">
        <f aca="false">INDEX(Produtos!$B$2:$B$11,MATCH(F345,Produtos!$A$2:$A$11,0))&amp;" "&amp;INDEX(Produtos!$C$2:$C$11,MATCH(F345,Produtos!$A$2:$A$11,0))</f>
        <v>Controle de Videogame Xbox</v>
      </c>
      <c r="H345" s="2" t="n">
        <v>2</v>
      </c>
      <c r="I345" s="5" t="n">
        <f aca="false">INDEX(Produtos!$D$2:$D$11,MATCH(F345,Produtos!$A$2:$A$11,0))</f>
        <v>349.9</v>
      </c>
      <c r="J345" s="5" t="n">
        <f aca="false">H345*I345</f>
        <v>699.8</v>
      </c>
      <c r="K345" s="5" t="n">
        <f aca="false">INDEX(Produtos!$E$2:$E$11,MATCH(F345,Produtos!$A$2:$A$11,0))</f>
        <v>215</v>
      </c>
      <c r="L345" s="5" t="n">
        <f aca="false">H345*K345</f>
        <v>430</v>
      </c>
    </row>
    <row r="346" customFormat="false" ht="15" hidden="false" customHeight="false" outlineLevel="0" collapsed="false">
      <c r="A346" s="2" t="s">
        <v>628</v>
      </c>
      <c r="B346" s="8" t="n">
        <v>46051</v>
      </c>
      <c r="C346" s="2" t="s">
        <v>185</v>
      </c>
      <c r="D346" s="3" t="str">
        <f aca="false">INDEX(Vendedores!$C$2:$C$101,MATCH(C346,Vendedores!$A$2:$A$101,0))</f>
        <v>L08</v>
      </c>
      <c r="E346" s="3" t="str">
        <f aca="false">INDEX(Lojas!$E$2:$E$11,MATCH(D346,Lojas!$A$2:$A$11,0))</f>
        <v>Nordeste</v>
      </c>
      <c r="F346" s="2" t="s">
        <v>270</v>
      </c>
      <c r="G346" s="3" t="str">
        <f aca="false">INDEX(Produtos!$B$2:$B$11,MATCH(F346,Produtos!$A$2:$A$11,0))&amp;" "&amp;INDEX(Produtos!$C$2:$C$11,MATCH(F346,Produtos!$A$2:$A$11,0))</f>
        <v>Controle de Videogame Xbox</v>
      </c>
      <c r="H346" s="2" t="n">
        <v>1</v>
      </c>
      <c r="I346" s="5" t="n">
        <f aca="false">INDEX(Produtos!$D$2:$D$11,MATCH(F346,Produtos!$A$2:$A$11,0))</f>
        <v>349.9</v>
      </c>
      <c r="J346" s="5" t="n">
        <f aca="false">H346*I346</f>
        <v>349.9</v>
      </c>
      <c r="K346" s="5" t="n">
        <f aca="false">INDEX(Produtos!$E$2:$E$11,MATCH(F346,Produtos!$A$2:$A$11,0))</f>
        <v>215</v>
      </c>
      <c r="L346" s="5" t="n">
        <f aca="false">H346*K346</f>
        <v>215</v>
      </c>
    </row>
    <row r="347" customFormat="false" ht="15" hidden="false" customHeight="false" outlineLevel="0" collapsed="false">
      <c r="A347" s="2" t="s">
        <v>629</v>
      </c>
      <c r="B347" s="8" t="n">
        <v>46051</v>
      </c>
      <c r="C347" s="2" t="s">
        <v>108</v>
      </c>
      <c r="D347" s="3" t="str">
        <f aca="false">INDEX(Vendedores!$C$2:$C$101,MATCH(C347,Vendedores!$A$2:$A$101,0))</f>
        <v>L03</v>
      </c>
      <c r="E347" s="3" t="str">
        <f aca="false">INDEX(Lojas!$E$2:$E$11,MATCH(D347,Lojas!$A$2:$A$11,0))</f>
        <v>Sudeste</v>
      </c>
      <c r="F347" s="2" t="s">
        <v>273</v>
      </c>
      <c r="G347" s="3" t="str">
        <f aca="false">INDEX(Produtos!$B$2:$B$11,MATCH(F347,Produtos!$A$2:$A$11,0))&amp;" "&amp;INDEX(Produtos!$C$2:$C$11,MATCH(F347,Produtos!$A$2:$A$11,0))</f>
        <v>Controle de Videogame PS4</v>
      </c>
      <c r="H347" s="2" t="n">
        <v>1</v>
      </c>
      <c r="I347" s="5" t="n">
        <f aca="false">INDEX(Produtos!$D$2:$D$11,MATCH(F347,Produtos!$A$2:$A$11,0))</f>
        <v>299.9</v>
      </c>
      <c r="J347" s="5" t="n">
        <f aca="false">H347*I347</f>
        <v>299.9</v>
      </c>
      <c r="K347" s="5" t="n">
        <f aca="false">INDEX(Produtos!$E$2:$E$11,MATCH(F347,Produtos!$A$2:$A$11,0))</f>
        <v>175</v>
      </c>
      <c r="L347" s="5" t="n">
        <f aca="false">H347*K347</f>
        <v>175</v>
      </c>
    </row>
    <row r="348" customFormat="false" ht="15" hidden="false" customHeight="false" outlineLevel="0" collapsed="false">
      <c r="A348" s="2" t="s">
        <v>630</v>
      </c>
      <c r="B348" s="8" t="n">
        <v>46051</v>
      </c>
      <c r="C348" s="2" t="s">
        <v>207</v>
      </c>
      <c r="D348" s="3" t="str">
        <f aca="false">INDEX(Vendedores!$C$2:$C$101,MATCH(C348,Vendedores!$A$2:$A$101,0))</f>
        <v>L09</v>
      </c>
      <c r="E348" s="3" t="str">
        <f aca="false">INDEX(Lojas!$E$2:$E$11,MATCH(D348,Lojas!$A$2:$A$11,0))</f>
        <v>Nordeste</v>
      </c>
      <c r="F348" s="2" t="s">
        <v>270</v>
      </c>
      <c r="G348" s="3" t="str">
        <f aca="false">INDEX(Produtos!$B$2:$B$11,MATCH(F348,Produtos!$A$2:$A$11,0))&amp;" "&amp;INDEX(Produtos!$C$2:$C$11,MATCH(F348,Produtos!$A$2:$A$11,0))</f>
        <v>Controle de Videogame Xbox</v>
      </c>
      <c r="H348" s="2" t="n">
        <v>2</v>
      </c>
      <c r="I348" s="5" t="n">
        <f aca="false">INDEX(Produtos!$D$2:$D$11,MATCH(F348,Produtos!$A$2:$A$11,0))</f>
        <v>349.9</v>
      </c>
      <c r="J348" s="5" t="n">
        <f aca="false">H348*I348</f>
        <v>699.8</v>
      </c>
      <c r="K348" s="5" t="n">
        <f aca="false">INDEX(Produtos!$E$2:$E$11,MATCH(F348,Produtos!$A$2:$A$11,0))</f>
        <v>215</v>
      </c>
      <c r="L348" s="5" t="n">
        <f aca="false">H348*K348</f>
        <v>430</v>
      </c>
    </row>
    <row r="349" customFormat="false" ht="15" hidden="false" customHeight="false" outlineLevel="0" collapsed="false">
      <c r="A349" s="2" t="s">
        <v>631</v>
      </c>
      <c r="B349" s="8" t="n">
        <v>46051</v>
      </c>
      <c r="C349" s="2" t="s">
        <v>110</v>
      </c>
      <c r="D349" s="3" t="str">
        <f aca="false">INDEX(Vendedores!$C$2:$C$101,MATCH(C349,Vendedores!$A$2:$A$101,0))</f>
        <v>L04</v>
      </c>
      <c r="E349" s="3" t="str">
        <f aca="false">INDEX(Lojas!$E$2:$E$11,MATCH(D349,Lojas!$A$2:$A$11,0))</f>
        <v>Sudeste</v>
      </c>
      <c r="F349" s="2" t="s">
        <v>267</v>
      </c>
      <c r="G349" s="3" t="str">
        <f aca="false">INDEX(Produtos!$B$2:$B$11,MATCH(F349,Produtos!$A$2:$A$11,0))&amp;" "&amp;INDEX(Produtos!$C$2:$C$11,MATCH(F349,Produtos!$A$2:$A$11,0))</f>
        <v>Carregador de Celular Tipo C</v>
      </c>
      <c r="H349" s="2" t="n">
        <v>1</v>
      </c>
      <c r="I349" s="5" t="n">
        <f aca="false">INDEX(Produtos!$D$2:$D$11,MATCH(F349,Produtos!$A$2:$A$11,0))</f>
        <v>44.9</v>
      </c>
      <c r="J349" s="5" t="n">
        <f aca="false">H349*I349</f>
        <v>44.9</v>
      </c>
      <c r="K349" s="5" t="n">
        <f aca="false">INDEX(Produtos!$E$2:$E$11,MATCH(F349,Produtos!$A$2:$A$11,0))</f>
        <v>18</v>
      </c>
      <c r="L349" s="5" t="n">
        <f aca="false">H349*K349</f>
        <v>18</v>
      </c>
    </row>
    <row r="350" customFormat="false" ht="15" hidden="false" customHeight="false" outlineLevel="0" collapsed="false">
      <c r="A350" s="2" t="s">
        <v>632</v>
      </c>
      <c r="B350" s="8" t="n">
        <v>46051</v>
      </c>
      <c r="C350" s="2" t="s">
        <v>74</v>
      </c>
      <c r="D350" s="3" t="str">
        <f aca="false">INDEX(Vendedores!$C$2:$C$101,MATCH(C350,Vendedores!$A$2:$A$101,0))</f>
        <v>L02</v>
      </c>
      <c r="E350" s="3" t="str">
        <f aca="false">INDEX(Lojas!$E$2:$E$11,MATCH(D350,Lojas!$A$2:$A$11,0))</f>
        <v>Sudeste</v>
      </c>
      <c r="F350" s="2" t="s">
        <v>275</v>
      </c>
      <c r="G350" s="3" t="str">
        <f aca="false">INDEX(Produtos!$B$2:$B$11,MATCH(F350,Produtos!$A$2:$A$11,0))&amp;" "&amp;INDEX(Produtos!$C$2:$C$11,MATCH(F350,Produtos!$A$2:$A$11,0))</f>
        <v>Controle de Videogame PS5</v>
      </c>
      <c r="H350" s="2" t="n">
        <v>2</v>
      </c>
      <c r="I350" s="5" t="n">
        <f aca="false">INDEX(Produtos!$D$2:$D$11,MATCH(F350,Produtos!$A$2:$A$11,0))</f>
        <v>379.9</v>
      </c>
      <c r="J350" s="5" t="n">
        <f aca="false">H350*I350</f>
        <v>759.8</v>
      </c>
      <c r="K350" s="5" t="n">
        <f aca="false">INDEX(Produtos!$E$2:$E$11,MATCH(F350,Produtos!$A$2:$A$11,0))</f>
        <v>235</v>
      </c>
      <c r="L350" s="5" t="n">
        <f aca="false">H350*K350</f>
        <v>470</v>
      </c>
    </row>
    <row r="351" customFormat="false" ht="15" hidden="false" customHeight="false" outlineLevel="0" collapsed="false">
      <c r="A351" s="2" t="s">
        <v>633</v>
      </c>
      <c r="B351" s="8" t="n">
        <v>46051</v>
      </c>
      <c r="C351" s="2" t="s">
        <v>74</v>
      </c>
      <c r="D351" s="3" t="str">
        <f aca="false">INDEX(Vendedores!$C$2:$C$101,MATCH(C351,Vendedores!$A$2:$A$101,0))</f>
        <v>L02</v>
      </c>
      <c r="E351" s="3" t="str">
        <f aca="false">INDEX(Lojas!$E$2:$E$11,MATCH(D351,Lojas!$A$2:$A$11,0))</f>
        <v>Sudeste</v>
      </c>
      <c r="F351" s="2" t="s">
        <v>257</v>
      </c>
      <c r="G351" s="3" t="str">
        <f aca="false">INDEX(Produtos!$B$2:$B$11,MATCH(F351,Produtos!$A$2:$A$11,0))&amp;" "&amp;INDEX(Produtos!$C$2:$C$11,MATCH(F351,Produtos!$A$2:$A$11,0))</f>
        <v>Celular Samsung</v>
      </c>
      <c r="H351" s="2" t="n">
        <v>1</v>
      </c>
      <c r="I351" s="5" t="n">
        <f aca="false">INDEX(Produtos!$D$2:$D$11,MATCH(F351,Produtos!$A$2:$A$11,0))</f>
        <v>2499</v>
      </c>
      <c r="J351" s="5" t="n">
        <f aca="false">H351*I351</f>
        <v>2499</v>
      </c>
      <c r="K351" s="5" t="n">
        <f aca="false">INDEX(Produtos!$E$2:$E$11,MATCH(F351,Produtos!$A$2:$A$11,0))</f>
        <v>1800</v>
      </c>
      <c r="L351" s="5" t="n">
        <f aca="false">H351*K351</f>
        <v>1800</v>
      </c>
    </row>
    <row r="352" customFormat="false" ht="15" hidden="false" customHeight="false" outlineLevel="0" collapsed="false">
      <c r="A352" s="2" t="s">
        <v>634</v>
      </c>
      <c r="B352" s="8" t="n">
        <v>46051</v>
      </c>
      <c r="C352" s="2" t="s">
        <v>76</v>
      </c>
      <c r="D352" s="3" t="str">
        <f aca="false">INDEX(Vendedores!$C$2:$C$101,MATCH(C352,Vendedores!$A$2:$A$101,0))</f>
        <v>L02</v>
      </c>
      <c r="E352" s="3" t="str">
        <f aca="false">INDEX(Lojas!$E$2:$E$11,MATCH(D352,Lojas!$A$2:$A$11,0))</f>
        <v>Sudeste</v>
      </c>
      <c r="F352" s="2" t="s">
        <v>267</v>
      </c>
      <c r="G352" s="3" t="str">
        <f aca="false">INDEX(Produtos!$B$2:$B$11,MATCH(F352,Produtos!$A$2:$A$11,0))&amp;" "&amp;INDEX(Produtos!$C$2:$C$11,MATCH(F352,Produtos!$A$2:$A$11,0))</f>
        <v>Carregador de Celular Tipo C</v>
      </c>
      <c r="H352" s="2" t="n">
        <v>1</v>
      </c>
      <c r="I352" s="5" t="n">
        <f aca="false">INDEX(Produtos!$D$2:$D$11,MATCH(F352,Produtos!$A$2:$A$11,0))</f>
        <v>44.9</v>
      </c>
      <c r="J352" s="5" t="n">
        <f aca="false">H352*I352</f>
        <v>44.9</v>
      </c>
      <c r="K352" s="5" t="n">
        <f aca="false">INDEX(Produtos!$E$2:$E$11,MATCH(F352,Produtos!$A$2:$A$11,0))</f>
        <v>18</v>
      </c>
      <c r="L352" s="5" t="n">
        <f aca="false">H352*K352</f>
        <v>18</v>
      </c>
    </row>
    <row r="353" customFormat="false" ht="15" hidden="false" customHeight="false" outlineLevel="0" collapsed="false">
      <c r="A353" s="2" t="s">
        <v>635</v>
      </c>
      <c r="B353" s="8" t="n">
        <v>46051</v>
      </c>
      <c r="C353" s="2" t="s">
        <v>102</v>
      </c>
      <c r="D353" s="3" t="str">
        <f aca="false">INDEX(Vendedores!$C$2:$C$101,MATCH(C353,Vendedores!$A$2:$A$101,0))</f>
        <v>L03</v>
      </c>
      <c r="E353" s="3" t="str">
        <f aca="false">INDEX(Lojas!$E$2:$E$11,MATCH(D353,Lojas!$A$2:$A$11,0))</f>
        <v>Sudeste</v>
      </c>
      <c r="F353" s="2" t="s">
        <v>273</v>
      </c>
      <c r="G353" s="3" t="str">
        <f aca="false">INDEX(Produtos!$B$2:$B$11,MATCH(F353,Produtos!$A$2:$A$11,0))&amp;" "&amp;INDEX(Produtos!$C$2:$C$11,MATCH(F353,Produtos!$A$2:$A$11,0))</f>
        <v>Controle de Videogame PS4</v>
      </c>
      <c r="H353" s="2" t="n">
        <v>2</v>
      </c>
      <c r="I353" s="5" t="n">
        <f aca="false">INDEX(Produtos!$D$2:$D$11,MATCH(F353,Produtos!$A$2:$A$11,0))</f>
        <v>299.9</v>
      </c>
      <c r="J353" s="5" t="n">
        <f aca="false">H353*I353</f>
        <v>599.8</v>
      </c>
      <c r="K353" s="5" t="n">
        <f aca="false">INDEX(Produtos!$E$2:$E$11,MATCH(F353,Produtos!$A$2:$A$11,0))</f>
        <v>175</v>
      </c>
      <c r="L353" s="5" t="n">
        <f aca="false">H353*K353</f>
        <v>350</v>
      </c>
    </row>
    <row r="354" customFormat="false" ht="15" hidden="false" customHeight="false" outlineLevel="0" collapsed="false">
      <c r="A354" s="2" t="s">
        <v>636</v>
      </c>
      <c r="B354" s="8" t="n">
        <v>46051</v>
      </c>
      <c r="C354" s="2" t="s">
        <v>68</v>
      </c>
      <c r="D354" s="3" t="str">
        <f aca="false">INDEX(Vendedores!$C$2:$C$101,MATCH(C354,Vendedores!$A$2:$A$101,0))</f>
        <v>L01</v>
      </c>
      <c r="E354" s="3" t="str">
        <f aca="false">INDEX(Lojas!$E$2:$E$11,MATCH(D354,Lojas!$A$2:$A$11,0))</f>
        <v>Sudeste</v>
      </c>
      <c r="F354" s="2" t="s">
        <v>262</v>
      </c>
      <c r="G354" s="3" t="str">
        <f aca="false">INDEX(Produtos!$B$2:$B$11,MATCH(F354,Produtos!$A$2:$A$11,0))&amp;" "&amp;INDEX(Produtos!$C$2:$C$11,MATCH(F354,Produtos!$A$2:$A$11,0))</f>
        <v>Fone de Ouvido De Celular</v>
      </c>
      <c r="H354" s="2" t="n">
        <v>2</v>
      </c>
      <c r="I354" s="5" t="n">
        <f aca="false">INDEX(Produtos!$D$2:$D$11,MATCH(F354,Produtos!$A$2:$A$11,0))</f>
        <v>59.9</v>
      </c>
      <c r="J354" s="5" t="n">
        <f aca="false">H354*I354</f>
        <v>119.8</v>
      </c>
      <c r="K354" s="5" t="n">
        <f aca="false">INDEX(Produtos!$E$2:$E$11,MATCH(F354,Produtos!$A$2:$A$11,0))</f>
        <v>28</v>
      </c>
      <c r="L354" s="5" t="n">
        <f aca="false">H354*K354</f>
        <v>56</v>
      </c>
    </row>
    <row r="355" customFormat="false" ht="15" hidden="false" customHeight="false" outlineLevel="0" collapsed="false">
      <c r="A355" s="2" t="s">
        <v>637</v>
      </c>
      <c r="B355" s="8" t="n">
        <v>46051</v>
      </c>
      <c r="C355" s="2" t="s">
        <v>231</v>
      </c>
      <c r="D355" s="3" t="str">
        <f aca="false">INDEX(Vendedores!$C$2:$C$101,MATCH(C355,Vendedores!$A$2:$A$101,0))</f>
        <v>L10</v>
      </c>
      <c r="E355" s="3" t="str">
        <f aca="false">INDEX(Lojas!$E$2:$E$11,MATCH(D355,Lojas!$A$2:$A$11,0))</f>
        <v>Nordeste</v>
      </c>
      <c r="F355" s="2" t="s">
        <v>257</v>
      </c>
      <c r="G355" s="3" t="str">
        <f aca="false">INDEX(Produtos!$B$2:$B$11,MATCH(F355,Produtos!$A$2:$A$11,0))&amp;" "&amp;INDEX(Produtos!$C$2:$C$11,MATCH(F355,Produtos!$A$2:$A$11,0))</f>
        <v>Celular Samsung</v>
      </c>
      <c r="H355" s="2" t="n">
        <v>1</v>
      </c>
      <c r="I355" s="5" t="n">
        <f aca="false">INDEX(Produtos!$D$2:$D$11,MATCH(F355,Produtos!$A$2:$A$11,0))</f>
        <v>2499</v>
      </c>
      <c r="J355" s="5" t="n">
        <f aca="false">H355*I355</f>
        <v>2499</v>
      </c>
      <c r="K355" s="5" t="n">
        <f aca="false">INDEX(Produtos!$E$2:$E$11,MATCH(F355,Produtos!$A$2:$A$11,0))</f>
        <v>1800</v>
      </c>
      <c r="L355" s="5" t="n">
        <f aca="false">H355*K355</f>
        <v>1800</v>
      </c>
    </row>
    <row r="356" customFormat="false" ht="15" hidden="false" customHeight="false" outlineLevel="0" collapsed="false">
      <c r="A356" s="2" t="s">
        <v>638</v>
      </c>
      <c r="B356" s="8" t="n">
        <v>46052</v>
      </c>
      <c r="C356" s="2" t="s">
        <v>152</v>
      </c>
      <c r="D356" s="3" t="str">
        <f aca="false">INDEX(Vendedores!$C$2:$C$101,MATCH(C356,Vendedores!$A$2:$A$101,0))</f>
        <v>L06</v>
      </c>
      <c r="E356" s="3" t="str">
        <f aca="false">INDEX(Lojas!$E$2:$E$11,MATCH(D356,Lojas!$A$2:$A$11,0))</f>
        <v>Sul</v>
      </c>
      <c r="F356" s="2" t="s">
        <v>275</v>
      </c>
      <c r="G356" s="3" t="str">
        <f aca="false">INDEX(Produtos!$B$2:$B$11,MATCH(F356,Produtos!$A$2:$A$11,0))&amp;" "&amp;INDEX(Produtos!$C$2:$C$11,MATCH(F356,Produtos!$A$2:$A$11,0))</f>
        <v>Controle de Videogame PS5</v>
      </c>
      <c r="H356" s="2" t="n">
        <v>1</v>
      </c>
      <c r="I356" s="5" t="n">
        <f aca="false">INDEX(Produtos!$D$2:$D$11,MATCH(F356,Produtos!$A$2:$A$11,0))</f>
        <v>379.9</v>
      </c>
      <c r="J356" s="5" t="n">
        <f aca="false">H356*I356</f>
        <v>379.9</v>
      </c>
      <c r="K356" s="5" t="n">
        <f aca="false">INDEX(Produtos!$E$2:$E$11,MATCH(F356,Produtos!$A$2:$A$11,0))</f>
        <v>235</v>
      </c>
      <c r="L356" s="5" t="n">
        <f aca="false">H356*K356</f>
        <v>235</v>
      </c>
    </row>
    <row r="357" customFormat="false" ht="15" hidden="false" customHeight="false" outlineLevel="0" collapsed="false">
      <c r="A357" s="2" t="s">
        <v>639</v>
      </c>
      <c r="B357" s="8" t="n">
        <v>46052</v>
      </c>
      <c r="C357" s="2" t="s">
        <v>158</v>
      </c>
      <c r="D357" s="3" t="str">
        <f aca="false">INDEX(Vendedores!$C$2:$C$101,MATCH(C357,Vendedores!$A$2:$A$101,0))</f>
        <v>L06</v>
      </c>
      <c r="E357" s="3" t="str">
        <f aca="false">INDEX(Lojas!$E$2:$E$11,MATCH(D357,Lojas!$A$2:$A$11,0))</f>
        <v>Sul</v>
      </c>
      <c r="F357" s="2" t="s">
        <v>255</v>
      </c>
      <c r="G357" s="3" t="str">
        <f aca="false">INDEX(Produtos!$B$2:$B$11,MATCH(F357,Produtos!$A$2:$A$11,0))&amp;" "&amp;INDEX(Produtos!$C$2:$C$11,MATCH(F357,Produtos!$A$2:$A$11,0))</f>
        <v>Notebook Positivo</v>
      </c>
      <c r="H357" s="2" t="n">
        <v>1</v>
      </c>
      <c r="I357" s="5" t="n">
        <f aca="false">INDEX(Produtos!$D$2:$D$11,MATCH(F357,Produtos!$A$2:$A$11,0))</f>
        <v>2199</v>
      </c>
      <c r="J357" s="5" t="n">
        <f aca="false">H357*I357</f>
        <v>2199</v>
      </c>
      <c r="K357" s="5" t="n">
        <f aca="false">INDEX(Produtos!$E$2:$E$11,MATCH(F357,Produtos!$A$2:$A$11,0))</f>
        <v>1550</v>
      </c>
      <c r="L357" s="5" t="n">
        <f aca="false">H357*K357</f>
        <v>1550</v>
      </c>
    </row>
    <row r="358" customFormat="false" ht="15" hidden="false" customHeight="false" outlineLevel="0" collapsed="false">
      <c r="A358" s="2" t="s">
        <v>640</v>
      </c>
      <c r="B358" s="8" t="n">
        <v>46052</v>
      </c>
      <c r="C358" s="2" t="s">
        <v>114</v>
      </c>
      <c r="D358" s="3" t="str">
        <f aca="false">INDEX(Vendedores!$C$2:$C$101,MATCH(C358,Vendedores!$A$2:$A$101,0))</f>
        <v>L04</v>
      </c>
      <c r="E358" s="3" t="str">
        <f aca="false">INDEX(Lojas!$E$2:$E$11,MATCH(D358,Lojas!$A$2:$A$11,0))</f>
        <v>Sudeste</v>
      </c>
      <c r="F358" s="2" t="s">
        <v>270</v>
      </c>
      <c r="G358" s="3" t="str">
        <f aca="false">INDEX(Produtos!$B$2:$B$11,MATCH(F358,Produtos!$A$2:$A$11,0))&amp;" "&amp;INDEX(Produtos!$C$2:$C$11,MATCH(F358,Produtos!$A$2:$A$11,0))</f>
        <v>Controle de Videogame Xbox</v>
      </c>
      <c r="H358" s="2" t="n">
        <v>1</v>
      </c>
      <c r="I358" s="5" t="n">
        <f aca="false">INDEX(Produtos!$D$2:$D$11,MATCH(F358,Produtos!$A$2:$A$11,0))</f>
        <v>349.9</v>
      </c>
      <c r="J358" s="5" t="n">
        <f aca="false">H358*I358</f>
        <v>349.9</v>
      </c>
      <c r="K358" s="5" t="n">
        <f aca="false">INDEX(Produtos!$E$2:$E$11,MATCH(F358,Produtos!$A$2:$A$11,0))</f>
        <v>215</v>
      </c>
      <c r="L358" s="5" t="n">
        <f aca="false">H358*K358</f>
        <v>215</v>
      </c>
    </row>
    <row r="359" customFormat="false" ht="15" hidden="false" customHeight="false" outlineLevel="0" collapsed="false">
      <c r="A359" s="2" t="s">
        <v>641</v>
      </c>
      <c r="B359" s="8" t="n">
        <v>46052</v>
      </c>
      <c r="C359" s="2" t="s">
        <v>166</v>
      </c>
      <c r="D359" s="3" t="str">
        <f aca="false">INDEX(Vendedores!$C$2:$C$101,MATCH(C359,Vendedores!$A$2:$A$101,0))</f>
        <v>L06</v>
      </c>
      <c r="E359" s="3" t="str">
        <f aca="false">INDEX(Lojas!$E$2:$E$11,MATCH(D359,Lojas!$A$2:$A$11,0))</f>
        <v>Sul</v>
      </c>
      <c r="F359" s="2" t="s">
        <v>267</v>
      </c>
      <c r="G359" s="3" t="str">
        <f aca="false">INDEX(Produtos!$B$2:$B$11,MATCH(F359,Produtos!$A$2:$A$11,0))&amp;" "&amp;INDEX(Produtos!$C$2:$C$11,MATCH(F359,Produtos!$A$2:$A$11,0))</f>
        <v>Carregador de Celular Tipo C</v>
      </c>
      <c r="H359" s="2" t="n">
        <v>2</v>
      </c>
      <c r="I359" s="5" t="n">
        <f aca="false">INDEX(Produtos!$D$2:$D$11,MATCH(F359,Produtos!$A$2:$A$11,0))</f>
        <v>44.9</v>
      </c>
      <c r="J359" s="5" t="n">
        <f aca="false">H359*I359</f>
        <v>89.8</v>
      </c>
      <c r="K359" s="5" t="n">
        <f aca="false">INDEX(Produtos!$E$2:$E$11,MATCH(F359,Produtos!$A$2:$A$11,0))</f>
        <v>18</v>
      </c>
      <c r="L359" s="5" t="n">
        <f aca="false">H359*K359</f>
        <v>36</v>
      </c>
    </row>
    <row r="360" customFormat="false" ht="15" hidden="false" customHeight="false" outlineLevel="0" collapsed="false">
      <c r="A360" s="2" t="s">
        <v>642</v>
      </c>
      <c r="B360" s="8" t="n">
        <v>46052</v>
      </c>
      <c r="C360" s="2" t="s">
        <v>174</v>
      </c>
      <c r="D360" s="3" t="str">
        <f aca="false">INDEX(Vendedores!$C$2:$C$101,MATCH(C360,Vendedores!$A$2:$A$101,0))</f>
        <v>L07</v>
      </c>
      <c r="E360" s="3" t="str">
        <f aca="false">INDEX(Lojas!$E$2:$E$11,MATCH(D360,Lojas!$A$2:$A$11,0))</f>
        <v>Sul</v>
      </c>
      <c r="F360" s="2" t="s">
        <v>252</v>
      </c>
      <c r="G360" s="3" t="str">
        <f aca="false">INDEX(Produtos!$B$2:$B$11,MATCH(F360,Produtos!$A$2:$A$11,0))&amp;" "&amp;INDEX(Produtos!$C$2:$C$11,MATCH(F360,Produtos!$A$2:$A$11,0))</f>
        <v>Notebook Lenovo</v>
      </c>
      <c r="H360" s="2" t="n">
        <v>2</v>
      </c>
      <c r="I360" s="5" t="n">
        <f aca="false">INDEX(Produtos!$D$2:$D$11,MATCH(F360,Produtos!$A$2:$A$11,0))</f>
        <v>3199</v>
      </c>
      <c r="J360" s="5" t="n">
        <f aca="false">H360*I360</f>
        <v>6398</v>
      </c>
      <c r="K360" s="5" t="n">
        <f aca="false">INDEX(Produtos!$E$2:$E$11,MATCH(F360,Produtos!$A$2:$A$11,0))</f>
        <v>2350</v>
      </c>
      <c r="L360" s="5" t="n">
        <f aca="false">H360*K360</f>
        <v>4700</v>
      </c>
    </row>
    <row r="361" customFormat="false" ht="15" hidden="false" customHeight="false" outlineLevel="0" collapsed="false">
      <c r="A361" s="2" t="s">
        <v>643</v>
      </c>
      <c r="B361" s="8" t="n">
        <v>46052</v>
      </c>
      <c r="C361" s="2" t="s">
        <v>156</v>
      </c>
      <c r="D361" s="3" t="str">
        <f aca="false">INDEX(Vendedores!$C$2:$C$101,MATCH(C361,Vendedores!$A$2:$A$101,0))</f>
        <v>L06</v>
      </c>
      <c r="E361" s="3" t="str">
        <f aca="false">INDEX(Lojas!$E$2:$E$11,MATCH(D361,Lojas!$A$2:$A$11,0))</f>
        <v>Sul</v>
      </c>
      <c r="F361" s="2" t="s">
        <v>260</v>
      </c>
      <c r="G361" s="3" t="str">
        <f aca="false">INDEX(Produtos!$B$2:$B$11,MATCH(F361,Produtos!$A$2:$A$11,0))&amp;" "&amp;INDEX(Produtos!$C$2:$C$11,MATCH(F361,Produtos!$A$2:$A$11,0))</f>
        <v>Celular Motorola</v>
      </c>
      <c r="H361" s="2" t="n">
        <v>1</v>
      </c>
      <c r="I361" s="5" t="n">
        <f aca="false">INDEX(Produtos!$D$2:$D$11,MATCH(F361,Produtos!$A$2:$A$11,0))</f>
        <v>1799</v>
      </c>
      <c r="J361" s="5" t="n">
        <f aca="false">H361*I361</f>
        <v>1799</v>
      </c>
      <c r="K361" s="5" t="n">
        <f aca="false">INDEX(Produtos!$E$2:$E$11,MATCH(F361,Produtos!$A$2:$A$11,0))</f>
        <v>1250</v>
      </c>
      <c r="L361" s="5" t="n">
        <f aca="false">H361*K361</f>
        <v>1250</v>
      </c>
    </row>
    <row r="362" customFormat="false" ht="15" hidden="false" customHeight="false" outlineLevel="0" collapsed="false">
      <c r="A362" s="2" t="s">
        <v>644</v>
      </c>
      <c r="B362" s="8" t="n">
        <v>46052</v>
      </c>
      <c r="C362" s="2" t="s">
        <v>201</v>
      </c>
      <c r="D362" s="3" t="str">
        <f aca="false">INDEX(Vendedores!$C$2:$C$101,MATCH(C362,Vendedores!$A$2:$A$101,0))</f>
        <v>L08</v>
      </c>
      <c r="E362" s="3" t="str">
        <f aca="false">INDEX(Lojas!$E$2:$E$11,MATCH(D362,Lojas!$A$2:$A$11,0))</f>
        <v>Nordeste</v>
      </c>
      <c r="F362" s="2" t="s">
        <v>252</v>
      </c>
      <c r="G362" s="3" t="str">
        <f aca="false">INDEX(Produtos!$B$2:$B$11,MATCH(F362,Produtos!$A$2:$A$11,0))&amp;" "&amp;INDEX(Produtos!$C$2:$C$11,MATCH(F362,Produtos!$A$2:$A$11,0))</f>
        <v>Notebook Lenovo</v>
      </c>
      <c r="H362" s="2" t="n">
        <v>2</v>
      </c>
      <c r="I362" s="5" t="n">
        <f aca="false">INDEX(Produtos!$D$2:$D$11,MATCH(F362,Produtos!$A$2:$A$11,0))</f>
        <v>3199</v>
      </c>
      <c r="J362" s="5" t="n">
        <f aca="false">H362*I362</f>
        <v>6398</v>
      </c>
      <c r="K362" s="5" t="n">
        <f aca="false">INDEX(Produtos!$E$2:$E$11,MATCH(F362,Produtos!$A$2:$A$11,0))</f>
        <v>2350</v>
      </c>
      <c r="L362" s="5" t="n">
        <f aca="false">H362*K362</f>
        <v>4700</v>
      </c>
    </row>
    <row r="363" customFormat="false" ht="15" hidden="false" customHeight="false" outlineLevel="0" collapsed="false">
      <c r="A363" s="2" t="s">
        <v>645</v>
      </c>
      <c r="B363" s="8" t="n">
        <v>46052</v>
      </c>
      <c r="C363" s="2" t="s">
        <v>179</v>
      </c>
      <c r="D363" s="3" t="str">
        <f aca="false">INDEX(Vendedores!$C$2:$C$101,MATCH(C363,Vendedores!$A$2:$A$101,0))</f>
        <v>L07</v>
      </c>
      <c r="E363" s="3" t="str">
        <f aca="false">INDEX(Lojas!$E$2:$E$11,MATCH(D363,Lojas!$A$2:$A$11,0))</f>
        <v>Sul</v>
      </c>
      <c r="F363" s="2" t="s">
        <v>255</v>
      </c>
      <c r="G363" s="3" t="str">
        <f aca="false">INDEX(Produtos!$B$2:$B$11,MATCH(F363,Produtos!$A$2:$A$11,0))&amp;" "&amp;INDEX(Produtos!$C$2:$C$11,MATCH(F363,Produtos!$A$2:$A$11,0))</f>
        <v>Notebook Positivo</v>
      </c>
      <c r="H363" s="2" t="n">
        <v>1</v>
      </c>
      <c r="I363" s="5" t="n">
        <f aca="false">INDEX(Produtos!$D$2:$D$11,MATCH(F363,Produtos!$A$2:$A$11,0))</f>
        <v>2199</v>
      </c>
      <c r="J363" s="5" t="n">
        <f aca="false">H363*I363</f>
        <v>2199</v>
      </c>
      <c r="K363" s="5" t="n">
        <f aca="false">INDEX(Produtos!$E$2:$E$11,MATCH(F363,Produtos!$A$2:$A$11,0))</f>
        <v>1550</v>
      </c>
      <c r="L363" s="5" t="n">
        <f aca="false">H363*K363</f>
        <v>1550</v>
      </c>
    </row>
    <row r="364" customFormat="false" ht="15" hidden="false" customHeight="false" outlineLevel="0" collapsed="false">
      <c r="A364" s="2" t="s">
        <v>646</v>
      </c>
      <c r="B364" s="8" t="n">
        <v>46052</v>
      </c>
      <c r="C364" s="2" t="s">
        <v>178</v>
      </c>
      <c r="D364" s="3" t="str">
        <f aca="false">INDEX(Vendedores!$C$2:$C$101,MATCH(C364,Vendedores!$A$2:$A$101,0))</f>
        <v>L07</v>
      </c>
      <c r="E364" s="3" t="str">
        <f aca="false">INDEX(Lojas!$E$2:$E$11,MATCH(D364,Lojas!$A$2:$A$11,0))</f>
        <v>Sul</v>
      </c>
      <c r="F364" s="2" t="s">
        <v>273</v>
      </c>
      <c r="G364" s="3" t="str">
        <f aca="false">INDEX(Produtos!$B$2:$B$11,MATCH(F364,Produtos!$A$2:$A$11,0))&amp;" "&amp;INDEX(Produtos!$C$2:$C$11,MATCH(F364,Produtos!$A$2:$A$11,0))</f>
        <v>Controle de Videogame PS4</v>
      </c>
      <c r="H364" s="2" t="n">
        <v>1</v>
      </c>
      <c r="I364" s="5" t="n">
        <f aca="false">INDEX(Produtos!$D$2:$D$11,MATCH(F364,Produtos!$A$2:$A$11,0))</f>
        <v>299.9</v>
      </c>
      <c r="J364" s="5" t="n">
        <f aca="false">H364*I364</f>
        <v>299.9</v>
      </c>
      <c r="K364" s="5" t="n">
        <f aca="false">INDEX(Produtos!$E$2:$E$11,MATCH(F364,Produtos!$A$2:$A$11,0))</f>
        <v>175</v>
      </c>
      <c r="L364" s="5" t="n">
        <f aca="false">H364*K364</f>
        <v>175</v>
      </c>
    </row>
    <row r="365" customFormat="false" ht="15" hidden="false" customHeight="false" outlineLevel="0" collapsed="false">
      <c r="A365" s="2" t="s">
        <v>647</v>
      </c>
      <c r="B365" s="8" t="n">
        <v>46052</v>
      </c>
      <c r="C365" s="2" t="s">
        <v>189</v>
      </c>
      <c r="D365" s="3" t="str">
        <f aca="false">INDEX(Vendedores!$C$2:$C$101,MATCH(C365,Vendedores!$A$2:$A$101,0))</f>
        <v>L08</v>
      </c>
      <c r="E365" s="3" t="str">
        <f aca="false">INDEX(Lojas!$E$2:$E$11,MATCH(D365,Lojas!$A$2:$A$11,0))</f>
        <v>Nordeste</v>
      </c>
      <c r="F365" s="2" t="s">
        <v>260</v>
      </c>
      <c r="G365" s="3" t="str">
        <f aca="false">INDEX(Produtos!$B$2:$B$11,MATCH(F365,Produtos!$A$2:$A$11,0))&amp;" "&amp;INDEX(Produtos!$C$2:$C$11,MATCH(F365,Produtos!$A$2:$A$11,0))</f>
        <v>Celular Motorola</v>
      </c>
      <c r="H365" s="2" t="n">
        <v>2</v>
      </c>
      <c r="I365" s="5" t="n">
        <f aca="false">INDEX(Produtos!$D$2:$D$11,MATCH(F365,Produtos!$A$2:$A$11,0))</f>
        <v>1799</v>
      </c>
      <c r="J365" s="5" t="n">
        <f aca="false">H365*I365</f>
        <v>3598</v>
      </c>
      <c r="K365" s="5" t="n">
        <f aca="false">INDEX(Produtos!$E$2:$E$11,MATCH(F365,Produtos!$A$2:$A$11,0))</f>
        <v>1250</v>
      </c>
      <c r="L365" s="5" t="n">
        <f aca="false">H365*K365</f>
        <v>2500</v>
      </c>
    </row>
    <row r="366" customFormat="false" ht="15" hidden="false" customHeight="false" outlineLevel="0" collapsed="false">
      <c r="A366" s="2" t="s">
        <v>648</v>
      </c>
      <c r="B366" s="8" t="n">
        <v>46052</v>
      </c>
      <c r="C366" s="2" t="s">
        <v>50</v>
      </c>
      <c r="D366" s="3" t="str">
        <f aca="false">INDEX(Vendedores!$C$2:$C$101,MATCH(C366,Vendedores!$A$2:$A$101,0))</f>
        <v>L01</v>
      </c>
      <c r="E366" s="3" t="str">
        <f aca="false">INDEX(Lojas!$E$2:$E$11,MATCH(D366,Lojas!$A$2:$A$11,0))</f>
        <v>Sudeste</v>
      </c>
      <c r="F366" s="2" t="s">
        <v>265</v>
      </c>
      <c r="G366" s="3" t="str">
        <f aca="false">INDEX(Produtos!$B$2:$B$11,MATCH(F366,Produtos!$A$2:$A$11,0))&amp;" "&amp;INDEX(Produtos!$C$2:$C$11,MATCH(F366,Produtos!$A$2:$A$11,0))</f>
        <v>Fone de Ouvido Headset</v>
      </c>
      <c r="H366" s="2" t="n">
        <v>1</v>
      </c>
      <c r="I366" s="5" t="n">
        <f aca="false">INDEX(Produtos!$D$2:$D$11,MATCH(F366,Produtos!$A$2:$A$11,0))</f>
        <v>249.9</v>
      </c>
      <c r="J366" s="5" t="n">
        <f aca="false">H366*I366</f>
        <v>249.9</v>
      </c>
      <c r="K366" s="5" t="n">
        <f aca="false">INDEX(Produtos!$E$2:$E$11,MATCH(F366,Produtos!$A$2:$A$11,0))</f>
        <v>145</v>
      </c>
      <c r="L366" s="5" t="n">
        <f aca="false">H366*K366</f>
        <v>145</v>
      </c>
    </row>
    <row r="367" customFormat="false" ht="15" hidden="false" customHeight="false" outlineLevel="0" collapsed="false">
      <c r="A367" s="2" t="s">
        <v>649</v>
      </c>
      <c r="B367" s="8" t="n">
        <v>46052</v>
      </c>
      <c r="C367" s="2" t="s">
        <v>104</v>
      </c>
      <c r="D367" s="3" t="str">
        <f aca="false">INDEX(Vendedores!$C$2:$C$101,MATCH(C367,Vendedores!$A$2:$A$101,0))</f>
        <v>L03</v>
      </c>
      <c r="E367" s="3" t="str">
        <f aca="false">INDEX(Lojas!$E$2:$E$11,MATCH(D367,Lojas!$A$2:$A$11,0))</f>
        <v>Sudeste</v>
      </c>
      <c r="F367" s="2" t="s">
        <v>262</v>
      </c>
      <c r="G367" s="3" t="str">
        <f aca="false">INDEX(Produtos!$B$2:$B$11,MATCH(F367,Produtos!$A$2:$A$11,0))&amp;" "&amp;INDEX(Produtos!$C$2:$C$11,MATCH(F367,Produtos!$A$2:$A$11,0))</f>
        <v>Fone de Ouvido De Celular</v>
      </c>
      <c r="H367" s="2" t="n">
        <v>1</v>
      </c>
      <c r="I367" s="5" t="n">
        <f aca="false">INDEX(Produtos!$D$2:$D$11,MATCH(F367,Produtos!$A$2:$A$11,0))</f>
        <v>59.9</v>
      </c>
      <c r="J367" s="5" t="n">
        <f aca="false">H367*I367</f>
        <v>59.9</v>
      </c>
      <c r="K367" s="5" t="n">
        <f aca="false">INDEX(Produtos!$E$2:$E$11,MATCH(F367,Produtos!$A$2:$A$11,0))</f>
        <v>28</v>
      </c>
      <c r="L367" s="5" t="n">
        <f aca="false">H367*K367</f>
        <v>28</v>
      </c>
    </row>
    <row r="368" customFormat="false" ht="15" hidden="false" customHeight="false" outlineLevel="0" collapsed="false">
      <c r="A368" s="2" t="s">
        <v>650</v>
      </c>
      <c r="B368" s="8" t="n">
        <v>46052</v>
      </c>
      <c r="C368" s="2" t="s">
        <v>110</v>
      </c>
      <c r="D368" s="3" t="str">
        <f aca="false">INDEX(Vendedores!$C$2:$C$101,MATCH(C368,Vendedores!$A$2:$A$101,0))</f>
        <v>L04</v>
      </c>
      <c r="E368" s="3" t="str">
        <f aca="false">INDEX(Lojas!$E$2:$E$11,MATCH(D368,Lojas!$A$2:$A$11,0))</f>
        <v>Sudeste</v>
      </c>
      <c r="F368" s="2" t="s">
        <v>252</v>
      </c>
      <c r="G368" s="3" t="str">
        <f aca="false">INDEX(Produtos!$B$2:$B$11,MATCH(F368,Produtos!$A$2:$A$11,0))&amp;" "&amp;INDEX(Produtos!$C$2:$C$11,MATCH(F368,Produtos!$A$2:$A$11,0))</f>
        <v>Notebook Lenovo</v>
      </c>
      <c r="H368" s="2" t="n">
        <v>2</v>
      </c>
      <c r="I368" s="5" t="n">
        <f aca="false">INDEX(Produtos!$D$2:$D$11,MATCH(F368,Produtos!$A$2:$A$11,0))</f>
        <v>3199</v>
      </c>
      <c r="J368" s="5" t="n">
        <f aca="false">H368*I368</f>
        <v>6398</v>
      </c>
      <c r="K368" s="5" t="n">
        <f aca="false">INDEX(Produtos!$E$2:$E$11,MATCH(F368,Produtos!$A$2:$A$11,0))</f>
        <v>2350</v>
      </c>
      <c r="L368" s="5" t="n">
        <f aca="false">H368*K368</f>
        <v>4700</v>
      </c>
    </row>
    <row r="369" customFormat="false" ht="15" hidden="false" customHeight="false" outlineLevel="0" collapsed="false">
      <c r="A369" s="2" t="s">
        <v>651</v>
      </c>
      <c r="B369" s="8" t="n">
        <v>46052</v>
      </c>
      <c r="C369" s="2" t="s">
        <v>92</v>
      </c>
      <c r="D369" s="3" t="str">
        <f aca="false">INDEX(Vendedores!$C$2:$C$101,MATCH(C369,Vendedores!$A$2:$A$101,0))</f>
        <v>L03</v>
      </c>
      <c r="E369" s="3" t="str">
        <f aca="false">INDEX(Lojas!$E$2:$E$11,MATCH(D369,Lojas!$A$2:$A$11,0))</f>
        <v>Sudeste</v>
      </c>
      <c r="F369" s="2" t="s">
        <v>265</v>
      </c>
      <c r="G369" s="3" t="str">
        <f aca="false">INDEX(Produtos!$B$2:$B$11,MATCH(F369,Produtos!$A$2:$A$11,0))&amp;" "&amp;INDEX(Produtos!$C$2:$C$11,MATCH(F369,Produtos!$A$2:$A$11,0))</f>
        <v>Fone de Ouvido Headset</v>
      </c>
      <c r="H369" s="2" t="n">
        <v>1</v>
      </c>
      <c r="I369" s="5" t="n">
        <f aca="false">INDEX(Produtos!$D$2:$D$11,MATCH(F369,Produtos!$A$2:$A$11,0))</f>
        <v>249.9</v>
      </c>
      <c r="J369" s="5" t="n">
        <f aca="false">H369*I369</f>
        <v>249.9</v>
      </c>
      <c r="K369" s="5" t="n">
        <f aca="false">INDEX(Produtos!$E$2:$E$11,MATCH(F369,Produtos!$A$2:$A$11,0))</f>
        <v>145</v>
      </c>
      <c r="L369" s="5" t="n">
        <f aca="false">H369*K369</f>
        <v>145</v>
      </c>
    </row>
    <row r="370" customFormat="false" ht="15" hidden="false" customHeight="false" outlineLevel="0" collapsed="false">
      <c r="A370" s="2" t="s">
        <v>652</v>
      </c>
      <c r="B370" s="8" t="n">
        <v>46052</v>
      </c>
      <c r="C370" s="2" t="s">
        <v>62</v>
      </c>
      <c r="D370" s="3" t="str">
        <f aca="false">INDEX(Vendedores!$C$2:$C$101,MATCH(C370,Vendedores!$A$2:$A$101,0))</f>
        <v>L01</v>
      </c>
      <c r="E370" s="3" t="str">
        <f aca="false">INDEX(Lojas!$E$2:$E$11,MATCH(D370,Lojas!$A$2:$A$11,0))</f>
        <v>Sudeste</v>
      </c>
      <c r="F370" s="2" t="s">
        <v>270</v>
      </c>
      <c r="G370" s="3" t="str">
        <f aca="false">INDEX(Produtos!$B$2:$B$11,MATCH(F370,Produtos!$A$2:$A$11,0))&amp;" "&amp;INDEX(Produtos!$C$2:$C$11,MATCH(F370,Produtos!$A$2:$A$11,0))</f>
        <v>Controle de Videogame Xbox</v>
      </c>
      <c r="H370" s="2" t="n">
        <v>1</v>
      </c>
      <c r="I370" s="5" t="n">
        <f aca="false">INDEX(Produtos!$D$2:$D$11,MATCH(F370,Produtos!$A$2:$A$11,0))</f>
        <v>349.9</v>
      </c>
      <c r="J370" s="5" t="n">
        <f aca="false">H370*I370</f>
        <v>349.9</v>
      </c>
      <c r="K370" s="5" t="n">
        <f aca="false">INDEX(Produtos!$E$2:$E$11,MATCH(F370,Produtos!$A$2:$A$11,0))</f>
        <v>215</v>
      </c>
      <c r="L370" s="5" t="n">
        <f aca="false">H370*K370</f>
        <v>215</v>
      </c>
    </row>
    <row r="371" customFormat="false" ht="15" hidden="false" customHeight="false" outlineLevel="0" collapsed="false">
      <c r="A371" s="2" t="s">
        <v>653</v>
      </c>
      <c r="B371" s="8" t="n">
        <v>46053</v>
      </c>
      <c r="C371" s="2" t="s">
        <v>211</v>
      </c>
      <c r="D371" s="3" t="str">
        <f aca="false">INDEX(Vendedores!$C$2:$C$101,MATCH(C371,Vendedores!$A$2:$A$101,0))</f>
        <v>L09</v>
      </c>
      <c r="E371" s="3" t="str">
        <f aca="false">INDEX(Lojas!$E$2:$E$11,MATCH(D371,Lojas!$A$2:$A$11,0))</f>
        <v>Nordeste</v>
      </c>
      <c r="F371" s="2" t="s">
        <v>267</v>
      </c>
      <c r="G371" s="3" t="str">
        <f aca="false">INDEX(Produtos!$B$2:$B$11,MATCH(F371,Produtos!$A$2:$A$11,0))&amp;" "&amp;INDEX(Produtos!$C$2:$C$11,MATCH(F371,Produtos!$A$2:$A$11,0))</f>
        <v>Carregador de Celular Tipo C</v>
      </c>
      <c r="H371" s="2" t="n">
        <v>2</v>
      </c>
      <c r="I371" s="5" t="n">
        <f aca="false">INDEX(Produtos!$D$2:$D$11,MATCH(F371,Produtos!$A$2:$A$11,0))</f>
        <v>44.9</v>
      </c>
      <c r="J371" s="5" t="n">
        <f aca="false">H371*I371</f>
        <v>89.8</v>
      </c>
      <c r="K371" s="5" t="n">
        <f aca="false">INDEX(Produtos!$E$2:$E$11,MATCH(F371,Produtos!$A$2:$A$11,0))</f>
        <v>18</v>
      </c>
      <c r="L371" s="5" t="n">
        <f aca="false">H371*K371</f>
        <v>36</v>
      </c>
    </row>
    <row r="372" customFormat="false" ht="15" hidden="false" customHeight="false" outlineLevel="0" collapsed="false">
      <c r="A372" s="2" t="s">
        <v>654</v>
      </c>
      <c r="B372" s="8" t="n">
        <v>46053</v>
      </c>
      <c r="C372" s="2" t="s">
        <v>160</v>
      </c>
      <c r="D372" s="3" t="str">
        <f aca="false">INDEX(Vendedores!$C$2:$C$101,MATCH(C372,Vendedores!$A$2:$A$101,0))</f>
        <v>L06</v>
      </c>
      <c r="E372" s="3" t="str">
        <f aca="false">INDEX(Lojas!$E$2:$E$11,MATCH(D372,Lojas!$A$2:$A$11,0))</f>
        <v>Sul</v>
      </c>
      <c r="F372" s="2" t="s">
        <v>275</v>
      </c>
      <c r="G372" s="3" t="str">
        <f aca="false">INDEX(Produtos!$B$2:$B$11,MATCH(F372,Produtos!$A$2:$A$11,0))&amp;" "&amp;INDEX(Produtos!$C$2:$C$11,MATCH(F372,Produtos!$A$2:$A$11,0))</f>
        <v>Controle de Videogame PS5</v>
      </c>
      <c r="H372" s="2" t="n">
        <v>1</v>
      </c>
      <c r="I372" s="5" t="n">
        <f aca="false">INDEX(Produtos!$D$2:$D$11,MATCH(F372,Produtos!$A$2:$A$11,0))</f>
        <v>379.9</v>
      </c>
      <c r="J372" s="5" t="n">
        <f aca="false">H372*I372</f>
        <v>379.9</v>
      </c>
      <c r="K372" s="5" t="n">
        <f aca="false">INDEX(Produtos!$E$2:$E$11,MATCH(F372,Produtos!$A$2:$A$11,0))</f>
        <v>235</v>
      </c>
      <c r="L372" s="5" t="n">
        <f aca="false">H372*K372</f>
        <v>235</v>
      </c>
    </row>
    <row r="373" customFormat="false" ht="15" hidden="false" customHeight="false" outlineLevel="0" collapsed="false">
      <c r="A373" s="2" t="s">
        <v>655</v>
      </c>
      <c r="B373" s="8" t="n">
        <v>46053</v>
      </c>
      <c r="C373" s="2" t="s">
        <v>126</v>
      </c>
      <c r="D373" s="3" t="str">
        <f aca="false">INDEX(Vendedores!$C$2:$C$101,MATCH(C373,Vendedores!$A$2:$A$101,0))</f>
        <v>L04</v>
      </c>
      <c r="E373" s="3" t="str">
        <f aca="false">INDEX(Lojas!$E$2:$E$11,MATCH(D373,Lojas!$A$2:$A$11,0))</f>
        <v>Sudeste</v>
      </c>
      <c r="F373" s="2" t="s">
        <v>252</v>
      </c>
      <c r="G373" s="3" t="str">
        <f aca="false">INDEX(Produtos!$B$2:$B$11,MATCH(F373,Produtos!$A$2:$A$11,0))&amp;" "&amp;INDEX(Produtos!$C$2:$C$11,MATCH(F373,Produtos!$A$2:$A$11,0))</f>
        <v>Notebook Lenovo</v>
      </c>
      <c r="H373" s="2" t="n">
        <v>2</v>
      </c>
      <c r="I373" s="5" t="n">
        <f aca="false">INDEX(Produtos!$D$2:$D$11,MATCH(F373,Produtos!$A$2:$A$11,0))</f>
        <v>3199</v>
      </c>
      <c r="J373" s="5" t="n">
        <f aca="false">H373*I373</f>
        <v>6398</v>
      </c>
      <c r="K373" s="5" t="n">
        <f aca="false">INDEX(Produtos!$E$2:$E$11,MATCH(F373,Produtos!$A$2:$A$11,0))</f>
        <v>2350</v>
      </c>
      <c r="L373" s="5" t="n">
        <f aca="false">H373*K373</f>
        <v>4700</v>
      </c>
    </row>
    <row r="374" customFormat="false" ht="15" hidden="false" customHeight="false" outlineLevel="0" collapsed="false">
      <c r="A374" s="2" t="s">
        <v>656</v>
      </c>
      <c r="B374" s="8" t="n">
        <v>46053</v>
      </c>
      <c r="C374" s="2" t="s">
        <v>166</v>
      </c>
      <c r="D374" s="3" t="str">
        <f aca="false">INDEX(Vendedores!$C$2:$C$101,MATCH(C374,Vendedores!$A$2:$A$101,0))</f>
        <v>L06</v>
      </c>
      <c r="E374" s="3" t="str">
        <f aca="false">INDEX(Lojas!$E$2:$E$11,MATCH(D374,Lojas!$A$2:$A$11,0))</f>
        <v>Sul</v>
      </c>
      <c r="F374" s="2" t="s">
        <v>257</v>
      </c>
      <c r="G374" s="3" t="str">
        <f aca="false">INDEX(Produtos!$B$2:$B$11,MATCH(F374,Produtos!$A$2:$A$11,0))&amp;" "&amp;INDEX(Produtos!$C$2:$C$11,MATCH(F374,Produtos!$A$2:$A$11,0))</f>
        <v>Celular Samsung</v>
      </c>
      <c r="H374" s="2" t="n">
        <v>1</v>
      </c>
      <c r="I374" s="5" t="n">
        <f aca="false">INDEX(Produtos!$D$2:$D$11,MATCH(F374,Produtos!$A$2:$A$11,0))</f>
        <v>2499</v>
      </c>
      <c r="J374" s="5" t="n">
        <f aca="false">H374*I374</f>
        <v>2499</v>
      </c>
      <c r="K374" s="5" t="n">
        <f aca="false">INDEX(Produtos!$E$2:$E$11,MATCH(F374,Produtos!$A$2:$A$11,0))</f>
        <v>1800</v>
      </c>
      <c r="L374" s="5" t="n">
        <f aca="false">H374*K374</f>
        <v>1800</v>
      </c>
    </row>
    <row r="375" customFormat="false" ht="15" hidden="false" customHeight="false" outlineLevel="0" collapsed="false">
      <c r="A375" s="2" t="s">
        <v>657</v>
      </c>
      <c r="B375" s="8" t="n">
        <v>46053</v>
      </c>
      <c r="C375" s="2" t="s">
        <v>148</v>
      </c>
      <c r="D375" s="3" t="str">
        <f aca="false">INDEX(Vendedores!$C$2:$C$101,MATCH(C375,Vendedores!$A$2:$A$101,0))</f>
        <v>L06</v>
      </c>
      <c r="E375" s="3" t="str">
        <f aca="false">INDEX(Lojas!$E$2:$E$11,MATCH(D375,Lojas!$A$2:$A$11,0))</f>
        <v>Sul</v>
      </c>
      <c r="F375" s="2" t="s">
        <v>262</v>
      </c>
      <c r="G375" s="3" t="str">
        <f aca="false">INDEX(Produtos!$B$2:$B$11,MATCH(F375,Produtos!$A$2:$A$11,0))&amp;" "&amp;INDEX(Produtos!$C$2:$C$11,MATCH(F375,Produtos!$A$2:$A$11,0))</f>
        <v>Fone de Ouvido De Celular</v>
      </c>
      <c r="H375" s="2" t="n">
        <v>3</v>
      </c>
      <c r="I375" s="5" t="n">
        <f aca="false">INDEX(Produtos!$D$2:$D$11,MATCH(F375,Produtos!$A$2:$A$11,0))</f>
        <v>59.9</v>
      </c>
      <c r="J375" s="5" t="n">
        <f aca="false">H375*I375</f>
        <v>179.7</v>
      </c>
      <c r="K375" s="5" t="n">
        <f aca="false">INDEX(Produtos!$E$2:$E$11,MATCH(F375,Produtos!$A$2:$A$11,0))</f>
        <v>28</v>
      </c>
      <c r="L375" s="5" t="n">
        <f aca="false">H375*K375</f>
        <v>84</v>
      </c>
    </row>
    <row r="376" customFormat="false" ht="15" hidden="false" customHeight="false" outlineLevel="0" collapsed="false">
      <c r="A376" s="2" t="s">
        <v>658</v>
      </c>
      <c r="B376" s="8" t="n">
        <v>46053</v>
      </c>
      <c r="C376" s="2" t="s">
        <v>84</v>
      </c>
      <c r="D376" s="3" t="str">
        <f aca="false">INDEX(Vendedores!$C$2:$C$101,MATCH(C376,Vendedores!$A$2:$A$101,0))</f>
        <v>L02</v>
      </c>
      <c r="E376" s="3" t="str">
        <f aca="false">INDEX(Lojas!$E$2:$E$11,MATCH(D376,Lojas!$A$2:$A$11,0))</f>
        <v>Sudeste</v>
      </c>
      <c r="F376" s="2" t="s">
        <v>262</v>
      </c>
      <c r="G376" s="3" t="str">
        <f aca="false">INDEX(Produtos!$B$2:$B$11,MATCH(F376,Produtos!$A$2:$A$11,0))&amp;" "&amp;INDEX(Produtos!$C$2:$C$11,MATCH(F376,Produtos!$A$2:$A$11,0))</f>
        <v>Fone de Ouvido De Celular</v>
      </c>
      <c r="H376" s="2" t="n">
        <v>2</v>
      </c>
      <c r="I376" s="5" t="n">
        <f aca="false">INDEX(Produtos!$D$2:$D$11,MATCH(F376,Produtos!$A$2:$A$11,0))</f>
        <v>59.9</v>
      </c>
      <c r="J376" s="5" t="n">
        <f aca="false">H376*I376</f>
        <v>119.8</v>
      </c>
      <c r="K376" s="5" t="n">
        <f aca="false">INDEX(Produtos!$E$2:$E$11,MATCH(F376,Produtos!$A$2:$A$11,0))</f>
        <v>28</v>
      </c>
      <c r="L376" s="5" t="n">
        <f aca="false">H376*K376</f>
        <v>56</v>
      </c>
    </row>
    <row r="377" customFormat="false" ht="15" hidden="false" customHeight="false" outlineLevel="0" collapsed="false">
      <c r="A377" s="2" t="s">
        <v>659</v>
      </c>
      <c r="B377" s="8" t="n">
        <v>46053</v>
      </c>
      <c r="C377" s="2" t="s">
        <v>140</v>
      </c>
      <c r="D377" s="3" t="str">
        <f aca="false">INDEX(Vendedores!$C$2:$C$101,MATCH(C377,Vendedores!$A$2:$A$101,0))</f>
        <v>L05</v>
      </c>
      <c r="E377" s="3" t="str">
        <f aca="false">INDEX(Lojas!$E$2:$E$11,MATCH(D377,Lojas!$A$2:$A$11,0))</f>
        <v>Sul</v>
      </c>
      <c r="F377" s="2" t="s">
        <v>262</v>
      </c>
      <c r="G377" s="3" t="str">
        <f aca="false">INDEX(Produtos!$B$2:$B$11,MATCH(F377,Produtos!$A$2:$A$11,0))&amp;" "&amp;INDEX(Produtos!$C$2:$C$11,MATCH(F377,Produtos!$A$2:$A$11,0))</f>
        <v>Fone de Ouvido De Celular</v>
      </c>
      <c r="H377" s="2" t="n">
        <v>2</v>
      </c>
      <c r="I377" s="5" t="n">
        <f aca="false">INDEX(Produtos!$D$2:$D$11,MATCH(F377,Produtos!$A$2:$A$11,0))</f>
        <v>59.9</v>
      </c>
      <c r="J377" s="5" t="n">
        <f aca="false">H377*I377</f>
        <v>119.8</v>
      </c>
      <c r="K377" s="5" t="n">
        <f aca="false">INDEX(Produtos!$E$2:$E$11,MATCH(F377,Produtos!$A$2:$A$11,0))</f>
        <v>28</v>
      </c>
      <c r="L377" s="5" t="n">
        <f aca="false">H377*K377</f>
        <v>56</v>
      </c>
    </row>
    <row r="378" customFormat="false" ht="15" hidden="false" customHeight="false" outlineLevel="0" collapsed="false">
      <c r="A378" s="2" t="s">
        <v>660</v>
      </c>
      <c r="B378" s="8" t="n">
        <v>46053</v>
      </c>
      <c r="C378" s="2" t="s">
        <v>179</v>
      </c>
      <c r="D378" s="3" t="str">
        <f aca="false">INDEX(Vendedores!$C$2:$C$101,MATCH(C378,Vendedores!$A$2:$A$101,0))</f>
        <v>L07</v>
      </c>
      <c r="E378" s="3" t="str">
        <f aca="false">INDEX(Lojas!$E$2:$E$11,MATCH(D378,Lojas!$A$2:$A$11,0))</f>
        <v>Sul</v>
      </c>
      <c r="F378" s="2" t="s">
        <v>265</v>
      </c>
      <c r="G378" s="3" t="str">
        <f aca="false">INDEX(Produtos!$B$2:$B$11,MATCH(F378,Produtos!$A$2:$A$11,0))&amp;" "&amp;INDEX(Produtos!$C$2:$C$11,MATCH(F378,Produtos!$A$2:$A$11,0))</f>
        <v>Fone de Ouvido Headset</v>
      </c>
      <c r="H378" s="2" t="n">
        <v>1</v>
      </c>
      <c r="I378" s="5" t="n">
        <f aca="false">INDEX(Produtos!$D$2:$D$11,MATCH(F378,Produtos!$A$2:$A$11,0))</f>
        <v>249.9</v>
      </c>
      <c r="J378" s="5" t="n">
        <f aca="false">H378*I378</f>
        <v>249.9</v>
      </c>
      <c r="K378" s="5" t="n">
        <f aca="false">INDEX(Produtos!$E$2:$E$11,MATCH(F378,Produtos!$A$2:$A$11,0))</f>
        <v>145</v>
      </c>
      <c r="L378" s="5" t="n">
        <f aca="false">H378*K378</f>
        <v>145</v>
      </c>
    </row>
    <row r="379" customFormat="false" ht="15" hidden="false" customHeight="false" outlineLevel="0" collapsed="false">
      <c r="A379" s="2" t="s">
        <v>661</v>
      </c>
      <c r="B379" s="8" t="n">
        <v>46053</v>
      </c>
      <c r="C379" s="2" t="s">
        <v>96</v>
      </c>
      <c r="D379" s="3" t="str">
        <f aca="false">INDEX(Vendedores!$C$2:$C$101,MATCH(C379,Vendedores!$A$2:$A$101,0))</f>
        <v>L03</v>
      </c>
      <c r="E379" s="3" t="str">
        <f aca="false">INDEX(Lojas!$E$2:$E$11,MATCH(D379,Lojas!$A$2:$A$11,0))</f>
        <v>Sudeste</v>
      </c>
      <c r="F379" s="2" t="s">
        <v>262</v>
      </c>
      <c r="G379" s="3" t="str">
        <f aca="false">INDEX(Produtos!$B$2:$B$11,MATCH(F379,Produtos!$A$2:$A$11,0))&amp;" "&amp;INDEX(Produtos!$C$2:$C$11,MATCH(F379,Produtos!$A$2:$A$11,0))</f>
        <v>Fone de Ouvido De Celular</v>
      </c>
      <c r="H379" s="2" t="n">
        <v>1</v>
      </c>
      <c r="I379" s="5" t="n">
        <f aca="false">INDEX(Produtos!$D$2:$D$11,MATCH(F379,Produtos!$A$2:$A$11,0))</f>
        <v>59.9</v>
      </c>
      <c r="J379" s="5" t="n">
        <f aca="false">H379*I379</f>
        <v>59.9</v>
      </c>
      <c r="K379" s="5" t="n">
        <f aca="false">INDEX(Produtos!$E$2:$E$11,MATCH(F379,Produtos!$A$2:$A$11,0))</f>
        <v>28</v>
      </c>
      <c r="L379" s="5" t="n">
        <f aca="false">H379*K379</f>
        <v>28</v>
      </c>
    </row>
    <row r="380" customFormat="false" ht="15" hidden="false" customHeight="false" outlineLevel="0" collapsed="false">
      <c r="A380" s="2" t="s">
        <v>662</v>
      </c>
      <c r="B380" s="8" t="n">
        <v>46053</v>
      </c>
      <c r="C380" s="2" t="s">
        <v>152</v>
      </c>
      <c r="D380" s="3" t="str">
        <f aca="false">INDEX(Vendedores!$C$2:$C$101,MATCH(C380,Vendedores!$A$2:$A$101,0))</f>
        <v>L06</v>
      </c>
      <c r="E380" s="3" t="str">
        <f aca="false">INDEX(Lojas!$E$2:$E$11,MATCH(D380,Lojas!$A$2:$A$11,0))</f>
        <v>Sul</v>
      </c>
      <c r="F380" s="2" t="s">
        <v>270</v>
      </c>
      <c r="G380" s="3" t="str">
        <f aca="false">INDEX(Produtos!$B$2:$B$11,MATCH(F380,Produtos!$A$2:$A$11,0))&amp;" "&amp;INDEX(Produtos!$C$2:$C$11,MATCH(F380,Produtos!$A$2:$A$11,0))</f>
        <v>Controle de Videogame Xbox</v>
      </c>
      <c r="H380" s="2" t="n">
        <v>1</v>
      </c>
      <c r="I380" s="5" t="n">
        <f aca="false">INDEX(Produtos!$D$2:$D$11,MATCH(F380,Produtos!$A$2:$A$11,0))</f>
        <v>349.9</v>
      </c>
      <c r="J380" s="5" t="n">
        <f aca="false">H380*I380</f>
        <v>349.9</v>
      </c>
      <c r="K380" s="5" t="n">
        <f aca="false">INDEX(Produtos!$E$2:$E$11,MATCH(F380,Produtos!$A$2:$A$11,0))</f>
        <v>215</v>
      </c>
      <c r="L380" s="5" t="n">
        <f aca="false">H380*K380</f>
        <v>215</v>
      </c>
    </row>
    <row r="381" customFormat="false" ht="15" hidden="false" customHeight="false" outlineLevel="0" collapsed="false">
      <c r="A381" s="2" t="s">
        <v>663</v>
      </c>
      <c r="B381" s="8" t="n">
        <v>46053</v>
      </c>
      <c r="C381" s="2" t="s">
        <v>122</v>
      </c>
      <c r="D381" s="3" t="str">
        <f aca="false">INDEX(Vendedores!$C$2:$C$101,MATCH(C381,Vendedores!$A$2:$A$101,0))</f>
        <v>L04</v>
      </c>
      <c r="E381" s="3" t="str">
        <f aca="false">INDEX(Lojas!$E$2:$E$11,MATCH(D381,Lojas!$A$2:$A$11,0))</f>
        <v>Sudeste</v>
      </c>
      <c r="F381" s="2" t="s">
        <v>273</v>
      </c>
      <c r="G381" s="3" t="str">
        <f aca="false">INDEX(Produtos!$B$2:$B$11,MATCH(F381,Produtos!$A$2:$A$11,0))&amp;" "&amp;INDEX(Produtos!$C$2:$C$11,MATCH(F381,Produtos!$A$2:$A$11,0))</f>
        <v>Controle de Videogame PS4</v>
      </c>
      <c r="H381" s="2" t="n">
        <v>1</v>
      </c>
      <c r="I381" s="5" t="n">
        <f aca="false">INDEX(Produtos!$D$2:$D$11,MATCH(F381,Produtos!$A$2:$A$11,0))</f>
        <v>299.9</v>
      </c>
      <c r="J381" s="5" t="n">
        <f aca="false">H381*I381</f>
        <v>299.9</v>
      </c>
      <c r="K381" s="5" t="n">
        <f aca="false">INDEX(Produtos!$E$2:$E$11,MATCH(F381,Produtos!$A$2:$A$11,0))</f>
        <v>175</v>
      </c>
      <c r="L381" s="5" t="n">
        <f aca="false">H381*K381</f>
        <v>175</v>
      </c>
    </row>
    <row r="382" customFormat="false" ht="15" hidden="false" customHeight="false" outlineLevel="0" collapsed="false">
      <c r="A382" s="2" t="s">
        <v>664</v>
      </c>
      <c r="B382" s="8" t="n">
        <v>46053</v>
      </c>
      <c r="C382" s="2" t="s">
        <v>154</v>
      </c>
      <c r="D382" s="3" t="str">
        <f aca="false">INDEX(Vendedores!$C$2:$C$101,MATCH(C382,Vendedores!$A$2:$A$101,0))</f>
        <v>L06</v>
      </c>
      <c r="E382" s="3" t="str">
        <f aca="false">INDEX(Lojas!$E$2:$E$11,MATCH(D382,Lojas!$A$2:$A$11,0))</f>
        <v>Sul</v>
      </c>
      <c r="F382" s="2" t="s">
        <v>273</v>
      </c>
      <c r="G382" s="3" t="str">
        <f aca="false">INDEX(Produtos!$B$2:$B$11,MATCH(F382,Produtos!$A$2:$A$11,0))&amp;" "&amp;INDEX(Produtos!$C$2:$C$11,MATCH(F382,Produtos!$A$2:$A$11,0))</f>
        <v>Controle de Videogame PS4</v>
      </c>
      <c r="H382" s="2" t="n">
        <v>1</v>
      </c>
      <c r="I382" s="5" t="n">
        <f aca="false">INDEX(Produtos!$D$2:$D$11,MATCH(F382,Produtos!$A$2:$A$11,0))</f>
        <v>299.9</v>
      </c>
      <c r="J382" s="5" t="n">
        <f aca="false">H382*I382</f>
        <v>299.9</v>
      </c>
      <c r="K382" s="5" t="n">
        <f aca="false">INDEX(Produtos!$E$2:$E$11,MATCH(F382,Produtos!$A$2:$A$11,0))</f>
        <v>175</v>
      </c>
      <c r="L382" s="5" t="n">
        <f aca="false">H382*K382</f>
        <v>175</v>
      </c>
    </row>
    <row r="383" customFormat="false" ht="15" hidden="false" customHeight="false" outlineLevel="0" collapsed="false">
      <c r="A383" s="2" t="s">
        <v>665</v>
      </c>
      <c r="B383" s="8" t="n">
        <v>46053</v>
      </c>
      <c r="C383" s="2" t="s">
        <v>185</v>
      </c>
      <c r="D383" s="3" t="str">
        <f aca="false">INDEX(Vendedores!$C$2:$C$101,MATCH(C383,Vendedores!$A$2:$A$101,0))</f>
        <v>L08</v>
      </c>
      <c r="E383" s="3" t="str">
        <f aca="false">INDEX(Lojas!$E$2:$E$11,MATCH(D383,Lojas!$A$2:$A$11,0))</f>
        <v>Nordeste</v>
      </c>
      <c r="F383" s="2" t="s">
        <v>267</v>
      </c>
      <c r="G383" s="3" t="str">
        <f aca="false">INDEX(Produtos!$B$2:$B$11,MATCH(F383,Produtos!$A$2:$A$11,0))&amp;" "&amp;INDEX(Produtos!$C$2:$C$11,MATCH(F383,Produtos!$A$2:$A$11,0))</f>
        <v>Carregador de Celular Tipo C</v>
      </c>
      <c r="H383" s="2" t="n">
        <v>1</v>
      </c>
      <c r="I383" s="5" t="n">
        <f aca="false">INDEX(Produtos!$D$2:$D$11,MATCH(F383,Produtos!$A$2:$A$11,0))</f>
        <v>44.9</v>
      </c>
      <c r="J383" s="5" t="n">
        <f aca="false">H383*I383</f>
        <v>44.9</v>
      </c>
      <c r="K383" s="5" t="n">
        <f aca="false">INDEX(Produtos!$E$2:$E$11,MATCH(F383,Produtos!$A$2:$A$11,0))</f>
        <v>18</v>
      </c>
      <c r="L383" s="5" t="n">
        <f aca="false">H383*K383</f>
        <v>18</v>
      </c>
    </row>
    <row r="384" customFormat="false" ht="15" hidden="false" customHeight="false" outlineLevel="0" collapsed="false">
      <c r="A384" s="2" t="s">
        <v>666</v>
      </c>
      <c r="B384" s="8" t="n">
        <v>46053</v>
      </c>
      <c r="C384" s="2" t="s">
        <v>172</v>
      </c>
      <c r="D384" s="3" t="str">
        <f aca="false">INDEX(Vendedores!$C$2:$C$101,MATCH(C384,Vendedores!$A$2:$A$101,0))</f>
        <v>L07</v>
      </c>
      <c r="E384" s="3" t="str">
        <f aca="false">INDEX(Lojas!$E$2:$E$11,MATCH(D384,Lojas!$A$2:$A$11,0))</f>
        <v>Sul</v>
      </c>
      <c r="F384" s="2" t="s">
        <v>270</v>
      </c>
      <c r="G384" s="3" t="str">
        <f aca="false">INDEX(Produtos!$B$2:$B$11,MATCH(F384,Produtos!$A$2:$A$11,0))&amp;" "&amp;INDEX(Produtos!$C$2:$C$11,MATCH(F384,Produtos!$A$2:$A$11,0))</f>
        <v>Controle de Videogame Xbox</v>
      </c>
      <c r="H384" s="2" t="n">
        <v>1</v>
      </c>
      <c r="I384" s="5" t="n">
        <f aca="false">INDEX(Produtos!$D$2:$D$11,MATCH(F384,Produtos!$A$2:$A$11,0))</f>
        <v>349.9</v>
      </c>
      <c r="J384" s="5" t="n">
        <f aca="false">H384*I384</f>
        <v>349.9</v>
      </c>
      <c r="K384" s="5" t="n">
        <f aca="false">INDEX(Produtos!$E$2:$E$11,MATCH(F384,Produtos!$A$2:$A$11,0))</f>
        <v>215</v>
      </c>
      <c r="L384" s="5" t="n">
        <f aca="false">H384*K384</f>
        <v>215</v>
      </c>
    </row>
    <row r="385" customFormat="false" ht="15" hidden="false" customHeight="false" outlineLevel="0" collapsed="false">
      <c r="A385" s="2" t="s">
        <v>667</v>
      </c>
      <c r="B385" s="8" t="n">
        <v>46053</v>
      </c>
      <c r="C385" s="2" t="s">
        <v>80</v>
      </c>
      <c r="D385" s="3" t="str">
        <f aca="false">INDEX(Vendedores!$C$2:$C$101,MATCH(C385,Vendedores!$A$2:$A$101,0))</f>
        <v>L02</v>
      </c>
      <c r="E385" s="3" t="str">
        <f aca="false">INDEX(Lojas!$E$2:$E$11,MATCH(D385,Lojas!$A$2:$A$11,0))</f>
        <v>Sudeste</v>
      </c>
      <c r="F385" s="2" t="s">
        <v>252</v>
      </c>
      <c r="G385" s="3" t="str">
        <f aca="false">INDEX(Produtos!$B$2:$B$11,MATCH(F385,Produtos!$A$2:$A$11,0))&amp;" "&amp;INDEX(Produtos!$C$2:$C$11,MATCH(F385,Produtos!$A$2:$A$11,0))</f>
        <v>Notebook Lenovo</v>
      </c>
      <c r="H385" s="2" t="n">
        <v>1</v>
      </c>
      <c r="I385" s="5" t="n">
        <f aca="false">INDEX(Produtos!$D$2:$D$11,MATCH(F385,Produtos!$A$2:$A$11,0))</f>
        <v>3199</v>
      </c>
      <c r="J385" s="5" t="n">
        <f aca="false">H385*I385</f>
        <v>3199</v>
      </c>
      <c r="K385" s="5" t="n">
        <f aca="false">INDEX(Produtos!$E$2:$E$11,MATCH(F385,Produtos!$A$2:$A$11,0))</f>
        <v>2350</v>
      </c>
      <c r="L385" s="5" t="n">
        <f aca="false">H385*K385</f>
        <v>2350</v>
      </c>
    </row>
    <row r="386" customFormat="false" ht="15" hidden="false" customHeight="false" outlineLevel="0" collapsed="false">
      <c r="A386" s="2" t="s">
        <v>668</v>
      </c>
      <c r="B386" s="8" t="n">
        <v>46053</v>
      </c>
      <c r="C386" s="2" t="s">
        <v>180</v>
      </c>
      <c r="D386" s="3" t="str">
        <f aca="false">INDEX(Vendedores!$C$2:$C$101,MATCH(C386,Vendedores!$A$2:$A$101,0))</f>
        <v>L07</v>
      </c>
      <c r="E386" s="3" t="str">
        <f aca="false">INDEX(Lojas!$E$2:$E$11,MATCH(D386,Lojas!$A$2:$A$11,0))</f>
        <v>Sul</v>
      </c>
      <c r="F386" s="2" t="s">
        <v>262</v>
      </c>
      <c r="G386" s="3" t="str">
        <f aca="false">INDEX(Produtos!$B$2:$B$11,MATCH(F386,Produtos!$A$2:$A$11,0))&amp;" "&amp;INDEX(Produtos!$C$2:$C$11,MATCH(F386,Produtos!$A$2:$A$11,0))</f>
        <v>Fone de Ouvido De Celular</v>
      </c>
      <c r="H386" s="2" t="n">
        <v>1</v>
      </c>
      <c r="I386" s="5" t="n">
        <f aca="false">INDEX(Produtos!$D$2:$D$11,MATCH(F386,Produtos!$A$2:$A$11,0))</f>
        <v>59.9</v>
      </c>
      <c r="J386" s="5" t="n">
        <f aca="false">H386*I386</f>
        <v>59.9</v>
      </c>
      <c r="K386" s="5" t="n">
        <f aca="false">INDEX(Produtos!$E$2:$E$11,MATCH(F386,Produtos!$A$2:$A$11,0))</f>
        <v>28</v>
      </c>
      <c r="L386" s="5" t="n">
        <f aca="false">H386*K386</f>
        <v>28</v>
      </c>
    </row>
    <row r="387" customFormat="false" ht="15" hidden="false" customHeight="false" outlineLevel="0" collapsed="false">
      <c r="A387" s="2" t="s">
        <v>669</v>
      </c>
      <c r="B387" s="8" t="n">
        <v>46053</v>
      </c>
      <c r="C387" s="2" t="s">
        <v>231</v>
      </c>
      <c r="D387" s="3" t="str">
        <f aca="false">INDEX(Vendedores!$C$2:$C$101,MATCH(C387,Vendedores!$A$2:$A$101,0))</f>
        <v>L10</v>
      </c>
      <c r="E387" s="3" t="str">
        <f aca="false">INDEX(Lojas!$E$2:$E$11,MATCH(D387,Lojas!$A$2:$A$11,0))</f>
        <v>Nordeste</v>
      </c>
      <c r="F387" s="2" t="s">
        <v>267</v>
      </c>
      <c r="G387" s="3" t="str">
        <f aca="false">INDEX(Produtos!$B$2:$B$11,MATCH(F387,Produtos!$A$2:$A$11,0))&amp;" "&amp;INDEX(Produtos!$C$2:$C$11,MATCH(F387,Produtos!$A$2:$A$11,0))</f>
        <v>Carregador de Celular Tipo C</v>
      </c>
      <c r="H387" s="2" t="n">
        <v>1</v>
      </c>
      <c r="I387" s="5" t="n">
        <f aca="false">INDEX(Produtos!$D$2:$D$11,MATCH(F387,Produtos!$A$2:$A$11,0))</f>
        <v>44.9</v>
      </c>
      <c r="J387" s="5" t="n">
        <f aca="false">H387*I387</f>
        <v>44.9</v>
      </c>
      <c r="K387" s="5" t="n">
        <f aca="false">INDEX(Produtos!$E$2:$E$11,MATCH(F387,Produtos!$A$2:$A$11,0))</f>
        <v>18</v>
      </c>
      <c r="L387" s="5" t="n">
        <f aca="false">H387*K387</f>
        <v>18</v>
      </c>
    </row>
    <row r="388" customFormat="false" ht="15" hidden="false" customHeight="false" outlineLevel="0" collapsed="false">
      <c r="A388" s="2" t="s">
        <v>670</v>
      </c>
      <c r="B388" s="8" t="n">
        <v>46053</v>
      </c>
      <c r="C388" s="2" t="s">
        <v>217</v>
      </c>
      <c r="D388" s="3" t="str">
        <f aca="false">INDEX(Vendedores!$C$2:$C$101,MATCH(C388,Vendedores!$A$2:$A$101,0))</f>
        <v>L09</v>
      </c>
      <c r="E388" s="3" t="str">
        <f aca="false">INDEX(Lojas!$E$2:$E$11,MATCH(D388,Lojas!$A$2:$A$11,0))</f>
        <v>Nordeste</v>
      </c>
      <c r="F388" s="2" t="s">
        <v>262</v>
      </c>
      <c r="G388" s="3" t="str">
        <f aca="false">INDEX(Produtos!$B$2:$B$11,MATCH(F388,Produtos!$A$2:$A$11,0))&amp;" "&amp;INDEX(Produtos!$C$2:$C$11,MATCH(F388,Produtos!$A$2:$A$11,0))</f>
        <v>Fone de Ouvido De Celular</v>
      </c>
      <c r="H388" s="2" t="n">
        <v>2</v>
      </c>
      <c r="I388" s="5" t="n">
        <f aca="false">INDEX(Produtos!$D$2:$D$11,MATCH(F388,Produtos!$A$2:$A$11,0))</f>
        <v>59.9</v>
      </c>
      <c r="J388" s="5" t="n">
        <f aca="false">H388*I388</f>
        <v>119.8</v>
      </c>
      <c r="K388" s="5" t="n">
        <f aca="false">INDEX(Produtos!$E$2:$E$11,MATCH(F388,Produtos!$A$2:$A$11,0))</f>
        <v>28</v>
      </c>
      <c r="L388" s="5" t="n">
        <f aca="false">H388*K388</f>
        <v>56</v>
      </c>
    </row>
    <row r="389" customFormat="false" ht="15" hidden="false" customHeight="false" outlineLevel="0" collapsed="false">
      <c r="A389" s="2" t="s">
        <v>671</v>
      </c>
      <c r="B389" s="8" t="n">
        <v>46053</v>
      </c>
      <c r="C389" s="2" t="s">
        <v>114</v>
      </c>
      <c r="D389" s="3" t="str">
        <f aca="false">INDEX(Vendedores!$C$2:$C$101,MATCH(C389,Vendedores!$A$2:$A$101,0))</f>
        <v>L04</v>
      </c>
      <c r="E389" s="3" t="str">
        <f aca="false">INDEX(Lojas!$E$2:$E$11,MATCH(D389,Lojas!$A$2:$A$11,0))</f>
        <v>Sudeste</v>
      </c>
      <c r="F389" s="2" t="s">
        <v>273</v>
      </c>
      <c r="G389" s="3" t="str">
        <f aca="false">INDEX(Produtos!$B$2:$B$11,MATCH(F389,Produtos!$A$2:$A$11,0))&amp;" "&amp;INDEX(Produtos!$C$2:$C$11,MATCH(F389,Produtos!$A$2:$A$11,0))</f>
        <v>Controle de Videogame PS4</v>
      </c>
      <c r="H389" s="2" t="n">
        <v>1</v>
      </c>
      <c r="I389" s="5" t="n">
        <f aca="false">INDEX(Produtos!$D$2:$D$11,MATCH(F389,Produtos!$A$2:$A$11,0))</f>
        <v>299.9</v>
      </c>
      <c r="J389" s="5" t="n">
        <f aca="false">H389*I389</f>
        <v>299.9</v>
      </c>
      <c r="K389" s="5" t="n">
        <f aca="false">INDEX(Produtos!$E$2:$E$11,MATCH(F389,Produtos!$A$2:$A$11,0))</f>
        <v>175</v>
      </c>
      <c r="L389" s="5" t="n">
        <f aca="false">H389*K389</f>
        <v>175</v>
      </c>
    </row>
    <row r="390" customFormat="false" ht="15" hidden="false" customHeight="false" outlineLevel="0" collapsed="false">
      <c r="A390" s="2" t="s">
        <v>672</v>
      </c>
      <c r="B390" s="8" t="n">
        <v>46054</v>
      </c>
      <c r="C390" s="2" t="s">
        <v>138</v>
      </c>
      <c r="D390" s="3" t="str">
        <f aca="false">INDEX(Vendedores!$C$2:$C$101,MATCH(C390,Vendedores!$A$2:$A$101,0))</f>
        <v>L05</v>
      </c>
      <c r="E390" s="3" t="str">
        <f aca="false">INDEX(Lojas!$E$2:$E$11,MATCH(D390,Lojas!$A$2:$A$11,0))</f>
        <v>Sul</v>
      </c>
      <c r="F390" s="2" t="s">
        <v>262</v>
      </c>
      <c r="G390" s="3" t="str">
        <f aca="false">INDEX(Produtos!$B$2:$B$11,MATCH(F390,Produtos!$A$2:$A$11,0))&amp;" "&amp;INDEX(Produtos!$C$2:$C$11,MATCH(F390,Produtos!$A$2:$A$11,0))</f>
        <v>Fone de Ouvido De Celular</v>
      </c>
      <c r="H390" s="2" t="n">
        <v>1</v>
      </c>
      <c r="I390" s="5" t="n">
        <f aca="false">INDEX(Produtos!$D$2:$D$11,MATCH(F390,Produtos!$A$2:$A$11,0))</f>
        <v>59.9</v>
      </c>
      <c r="J390" s="5" t="n">
        <f aca="false">H390*I390</f>
        <v>59.9</v>
      </c>
      <c r="K390" s="5" t="n">
        <f aca="false">INDEX(Produtos!$E$2:$E$11,MATCH(F390,Produtos!$A$2:$A$11,0))</f>
        <v>28</v>
      </c>
      <c r="L390" s="5" t="n">
        <f aca="false">H390*K390</f>
        <v>28</v>
      </c>
    </row>
    <row r="391" customFormat="false" ht="15" hidden="false" customHeight="false" outlineLevel="0" collapsed="false">
      <c r="A391" s="2" t="s">
        <v>673</v>
      </c>
      <c r="B391" s="8" t="n">
        <v>46054</v>
      </c>
      <c r="C391" s="2" t="s">
        <v>237</v>
      </c>
      <c r="D391" s="3" t="str">
        <f aca="false">INDEX(Vendedores!$C$2:$C$101,MATCH(C391,Vendedores!$A$2:$A$101,0))</f>
        <v>L10</v>
      </c>
      <c r="E391" s="3" t="str">
        <f aca="false">INDEX(Lojas!$E$2:$E$11,MATCH(D391,Lojas!$A$2:$A$11,0))</f>
        <v>Nordeste</v>
      </c>
      <c r="F391" s="2" t="s">
        <v>257</v>
      </c>
      <c r="G391" s="3" t="str">
        <f aca="false">INDEX(Produtos!$B$2:$B$11,MATCH(F391,Produtos!$A$2:$A$11,0))&amp;" "&amp;INDEX(Produtos!$C$2:$C$11,MATCH(F391,Produtos!$A$2:$A$11,0))</f>
        <v>Celular Samsung</v>
      </c>
      <c r="H391" s="2" t="n">
        <v>1</v>
      </c>
      <c r="I391" s="5" t="n">
        <f aca="false">INDEX(Produtos!$D$2:$D$11,MATCH(F391,Produtos!$A$2:$A$11,0))</f>
        <v>2499</v>
      </c>
      <c r="J391" s="5" t="n">
        <f aca="false">H391*I391</f>
        <v>2499</v>
      </c>
      <c r="K391" s="5" t="n">
        <f aca="false">INDEX(Produtos!$E$2:$E$11,MATCH(F391,Produtos!$A$2:$A$11,0))</f>
        <v>1800</v>
      </c>
      <c r="L391" s="5" t="n">
        <f aca="false">H391*K391</f>
        <v>1800</v>
      </c>
    </row>
    <row r="392" customFormat="false" ht="15" hidden="false" customHeight="false" outlineLevel="0" collapsed="false">
      <c r="A392" s="2" t="s">
        <v>674</v>
      </c>
      <c r="B392" s="8" t="n">
        <v>46054</v>
      </c>
      <c r="C392" s="2" t="s">
        <v>221</v>
      </c>
      <c r="D392" s="3" t="str">
        <f aca="false">INDEX(Vendedores!$C$2:$C$101,MATCH(C392,Vendedores!$A$2:$A$101,0))</f>
        <v>L09</v>
      </c>
      <c r="E392" s="3" t="str">
        <f aca="false">INDEX(Lojas!$E$2:$E$11,MATCH(D392,Lojas!$A$2:$A$11,0))</f>
        <v>Nordeste</v>
      </c>
      <c r="F392" s="2" t="s">
        <v>262</v>
      </c>
      <c r="G392" s="3" t="str">
        <f aca="false">INDEX(Produtos!$B$2:$B$11,MATCH(F392,Produtos!$A$2:$A$11,0))&amp;" "&amp;INDEX(Produtos!$C$2:$C$11,MATCH(F392,Produtos!$A$2:$A$11,0))</f>
        <v>Fone de Ouvido De Celular</v>
      </c>
      <c r="H392" s="2" t="n">
        <v>2</v>
      </c>
      <c r="I392" s="5" t="n">
        <f aca="false">INDEX(Produtos!$D$2:$D$11,MATCH(F392,Produtos!$A$2:$A$11,0))</f>
        <v>59.9</v>
      </c>
      <c r="J392" s="5" t="n">
        <f aca="false">H392*I392</f>
        <v>119.8</v>
      </c>
      <c r="K392" s="5" t="n">
        <f aca="false">INDEX(Produtos!$E$2:$E$11,MATCH(F392,Produtos!$A$2:$A$11,0))</f>
        <v>28</v>
      </c>
      <c r="L392" s="5" t="n">
        <f aca="false">H392*K392</f>
        <v>56</v>
      </c>
    </row>
    <row r="393" customFormat="false" ht="15" hidden="false" customHeight="false" outlineLevel="0" collapsed="false">
      <c r="A393" s="2" t="s">
        <v>675</v>
      </c>
      <c r="B393" s="8" t="n">
        <v>46054</v>
      </c>
      <c r="C393" s="2" t="s">
        <v>215</v>
      </c>
      <c r="D393" s="3" t="str">
        <f aca="false">INDEX(Vendedores!$C$2:$C$101,MATCH(C393,Vendedores!$A$2:$A$101,0))</f>
        <v>L09</v>
      </c>
      <c r="E393" s="3" t="str">
        <f aca="false">INDEX(Lojas!$E$2:$E$11,MATCH(D393,Lojas!$A$2:$A$11,0))</f>
        <v>Nordeste</v>
      </c>
      <c r="F393" s="2" t="s">
        <v>273</v>
      </c>
      <c r="G393" s="3" t="str">
        <f aca="false">INDEX(Produtos!$B$2:$B$11,MATCH(F393,Produtos!$A$2:$A$11,0))&amp;" "&amp;INDEX(Produtos!$C$2:$C$11,MATCH(F393,Produtos!$A$2:$A$11,0))</f>
        <v>Controle de Videogame PS4</v>
      </c>
      <c r="H393" s="2" t="n">
        <v>1</v>
      </c>
      <c r="I393" s="5" t="n">
        <f aca="false">INDEX(Produtos!$D$2:$D$11,MATCH(F393,Produtos!$A$2:$A$11,0))</f>
        <v>299.9</v>
      </c>
      <c r="J393" s="5" t="n">
        <f aca="false">H393*I393</f>
        <v>299.9</v>
      </c>
      <c r="K393" s="5" t="n">
        <f aca="false">INDEX(Produtos!$E$2:$E$11,MATCH(F393,Produtos!$A$2:$A$11,0))</f>
        <v>175</v>
      </c>
      <c r="L393" s="5" t="n">
        <f aca="false">H393*K393</f>
        <v>175</v>
      </c>
    </row>
    <row r="394" customFormat="false" ht="15" hidden="false" customHeight="false" outlineLevel="0" collapsed="false">
      <c r="A394" s="2" t="s">
        <v>676</v>
      </c>
      <c r="B394" s="8" t="n">
        <v>46054</v>
      </c>
      <c r="C394" s="2" t="s">
        <v>195</v>
      </c>
      <c r="D394" s="3" t="str">
        <f aca="false">INDEX(Vendedores!$C$2:$C$101,MATCH(C394,Vendedores!$A$2:$A$101,0))</f>
        <v>L08</v>
      </c>
      <c r="E394" s="3" t="str">
        <f aca="false">INDEX(Lojas!$E$2:$E$11,MATCH(D394,Lojas!$A$2:$A$11,0))</f>
        <v>Nordeste</v>
      </c>
      <c r="F394" s="2" t="s">
        <v>267</v>
      </c>
      <c r="G394" s="3" t="str">
        <f aca="false">INDEX(Produtos!$B$2:$B$11,MATCH(F394,Produtos!$A$2:$A$11,0))&amp;" "&amp;INDEX(Produtos!$C$2:$C$11,MATCH(F394,Produtos!$A$2:$A$11,0))</f>
        <v>Carregador de Celular Tipo C</v>
      </c>
      <c r="H394" s="2" t="n">
        <v>1</v>
      </c>
      <c r="I394" s="5" t="n">
        <f aca="false">INDEX(Produtos!$D$2:$D$11,MATCH(F394,Produtos!$A$2:$A$11,0))</f>
        <v>44.9</v>
      </c>
      <c r="J394" s="5" t="n">
        <f aca="false">H394*I394</f>
        <v>44.9</v>
      </c>
      <c r="K394" s="5" t="n">
        <f aca="false">INDEX(Produtos!$E$2:$E$11,MATCH(F394,Produtos!$A$2:$A$11,0))</f>
        <v>18</v>
      </c>
      <c r="L394" s="5" t="n">
        <f aca="false">H394*K394</f>
        <v>18</v>
      </c>
    </row>
    <row r="395" customFormat="false" ht="15" hidden="false" customHeight="false" outlineLevel="0" collapsed="false">
      <c r="A395" s="2" t="s">
        <v>677</v>
      </c>
      <c r="B395" s="8" t="n">
        <v>46054</v>
      </c>
      <c r="C395" s="2" t="s">
        <v>110</v>
      </c>
      <c r="D395" s="3" t="str">
        <f aca="false">INDEX(Vendedores!$C$2:$C$101,MATCH(C395,Vendedores!$A$2:$A$101,0))</f>
        <v>L04</v>
      </c>
      <c r="E395" s="3" t="str">
        <f aca="false">INDEX(Lojas!$E$2:$E$11,MATCH(D395,Lojas!$A$2:$A$11,0))</f>
        <v>Sudeste</v>
      </c>
      <c r="F395" s="2" t="s">
        <v>270</v>
      </c>
      <c r="G395" s="3" t="str">
        <f aca="false">INDEX(Produtos!$B$2:$B$11,MATCH(F395,Produtos!$A$2:$A$11,0))&amp;" "&amp;INDEX(Produtos!$C$2:$C$11,MATCH(F395,Produtos!$A$2:$A$11,0))</f>
        <v>Controle de Videogame Xbox</v>
      </c>
      <c r="H395" s="2" t="n">
        <v>1</v>
      </c>
      <c r="I395" s="5" t="n">
        <f aca="false">INDEX(Produtos!$D$2:$D$11,MATCH(F395,Produtos!$A$2:$A$11,0))</f>
        <v>349.9</v>
      </c>
      <c r="J395" s="5" t="n">
        <f aca="false">H395*I395</f>
        <v>349.9</v>
      </c>
      <c r="K395" s="5" t="n">
        <f aca="false">INDEX(Produtos!$E$2:$E$11,MATCH(F395,Produtos!$A$2:$A$11,0))</f>
        <v>215</v>
      </c>
      <c r="L395" s="5" t="n">
        <f aca="false">H395*K395</f>
        <v>215</v>
      </c>
    </row>
    <row r="396" customFormat="false" ht="15" hidden="false" customHeight="false" outlineLevel="0" collapsed="false">
      <c r="A396" s="2" t="s">
        <v>678</v>
      </c>
      <c r="B396" s="8" t="n">
        <v>46054</v>
      </c>
      <c r="C396" s="2" t="s">
        <v>185</v>
      </c>
      <c r="D396" s="3" t="str">
        <f aca="false">INDEX(Vendedores!$C$2:$C$101,MATCH(C396,Vendedores!$A$2:$A$101,0))</f>
        <v>L08</v>
      </c>
      <c r="E396" s="3" t="str">
        <f aca="false">INDEX(Lojas!$E$2:$E$11,MATCH(D396,Lojas!$A$2:$A$11,0))</f>
        <v>Nordeste</v>
      </c>
      <c r="F396" s="2" t="s">
        <v>260</v>
      </c>
      <c r="G396" s="3" t="str">
        <f aca="false">INDEX(Produtos!$B$2:$B$11,MATCH(F396,Produtos!$A$2:$A$11,0))&amp;" "&amp;INDEX(Produtos!$C$2:$C$11,MATCH(F396,Produtos!$A$2:$A$11,0))</f>
        <v>Celular Motorola</v>
      </c>
      <c r="H396" s="2" t="n">
        <v>2</v>
      </c>
      <c r="I396" s="5" t="n">
        <f aca="false">INDEX(Produtos!$D$2:$D$11,MATCH(F396,Produtos!$A$2:$A$11,0))</f>
        <v>1799</v>
      </c>
      <c r="J396" s="5" t="n">
        <f aca="false">H396*I396</f>
        <v>3598</v>
      </c>
      <c r="K396" s="5" t="n">
        <f aca="false">INDEX(Produtos!$E$2:$E$11,MATCH(F396,Produtos!$A$2:$A$11,0))</f>
        <v>1250</v>
      </c>
      <c r="L396" s="5" t="n">
        <f aca="false">H396*K396</f>
        <v>2500</v>
      </c>
    </row>
    <row r="397" customFormat="false" ht="15" hidden="false" customHeight="false" outlineLevel="0" collapsed="false">
      <c r="A397" s="2" t="s">
        <v>679</v>
      </c>
      <c r="B397" s="8" t="n">
        <v>46054</v>
      </c>
      <c r="C397" s="2" t="s">
        <v>88</v>
      </c>
      <c r="D397" s="3" t="str">
        <f aca="false">INDEX(Vendedores!$C$2:$C$101,MATCH(C397,Vendedores!$A$2:$A$101,0))</f>
        <v>L02</v>
      </c>
      <c r="E397" s="3" t="str">
        <f aca="false">INDEX(Lojas!$E$2:$E$11,MATCH(D397,Lojas!$A$2:$A$11,0))</f>
        <v>Sudeste</v>
      </c>
      <c r="F397" s="2" t="s">
        <v>273</v>
      </c>
      <c r="G397" s="3" t="str">
        <f aca="false">INDEX(Produtos!$B$2:$B$11,MATCH(F397,Produtos!$A$2:$A$11,0))&amp;" "&amp;INDEX(Produtos!$C$2:$C$11,MATCH(F397,Produtos!$A$2:$A$11,0))</f>
        <v>Controle de Videogame PS4</v>
      </c>
      <c r="H397" s="2" t="n">
        <v>2</v>
      </c>
      <c r="I397" s="5" t="n">
        <f aca="false">INDEX(Produtos!$D$2:$D$11,MATCH(F397,Produtos!$A$2:$A$11,0))</f>
        <v>299.9</v>
      </c>
      <c r="J397" s="5" t="n">
        <f aca="false">H397*I397</f>
        <v>599.8</v>
      </c>
      <c r="K397" s="5" t="n">
        <f aca="false">INDEX(Produtos!$E$2:$E$11,MATCH(F397,Produtos!$A$2:$A$11,0))</f>
        <v>175</v>
      </c>
      <c r="L397" s="5" t="n">
        <f aca="false">H397*K397</f>
        <v>350</v>
      </c>
    </row>
    <row r="398" customFormat="false" ht="15" hidden="false" customHeight="false" outlineLevel="0" collapsed="false">
      <c r="A398" s="2" t="s">
        <v>680</v>
      </c>
      <c r="B398" s="8" t="n">
        <v>46054</v>
      </c>
      <c r="C398" s="2" t="s">
        <v>168</v>
      </c>
      <c r="D398" s="3" t="str">
        <f aca="false">INDEX(Vendedores!$C$2:$C$101,MATCH(C398,Vendedores!$A$2:$A$101,0))</f>
        <v>L07</v>
      </c>
      <c r="E398" s="3" t="str">
        <f aca="false">INDEX(Lojas!$E$2:$E$11,MATCH(D398,Lojas!$A$2:$A$11,0))</f>
        <v>Sul</v>
      </c>
      <c r="F398" s="2" t="s">
        <v>262</v>
      </c>
      <c r="G398" s="3" t="str">
        <f aca="false">INDEX(Produtos!$B$2:$B$11,MATCH(F398,Produtos!$A$2:$A$11,0))&amp;" "&amp;INDEX(Produtos!$C$2:$C$11,MATCH(F398,Produtos!$A$2:$A$11,0))</f>
        <v>Fone de Ouvido De Celular</v>
      </c>
      <c r="H398" s="2" t="n">
        <v>1</v>
      </c>
      <c r="I398" s="5" t="n">
        <f aca="false">INDEX(Produtos!$D$2:$D$11,MATCH(F398,Produtos!$A$2:$A$11,0))</f>
        <v>59.9</v>
      </c>
      <c r="J398" s="5" t="n">
        <f aca="false">H398*I398</f>
        <v>59.9</v>
      </c>
      <c r="K398" s="5" t="n">
        <f aca="false">INDEX(Produtos!$E$2:$E$11,MATCH(F398,Produtos!$A$2:$A$11,0))</f>
        <v>28</v>
      </c>
      <c r="L398" s="5" t="n">
        <f aca="false">H398*K398</f>
        <v>28</v>
      </c>
    </row>
    <row r="399" customFormat="false" ht="15" hidden="false" customHeight="false" outlineLevel="0" collapsed="false">
      <c r="A399" s="2" t="s">
        <v>681</v>
      </c>
      <c r="B399" s="8" t="n">
        <v>46054</v>
      </c>
      <c r="C399" s="2" t="s">
        <v>108</v>
      </c>
      <c r="D399" s="3" t="str">
        <f aca="false">INDEX(Vendedores!$C$2:$C$101,MATCH(C399,Vendedores!$A$2:$A$101,0))</f>
        <v>L03</v>
      </c>
      <c r="E399" s="3" t="str">
        <f aca="false">INDEX(Lojas!$E$2:$E$11,MATCH(D399,Lojas!$A$2:$A$11,0))</f>
        <v>Sudeste</v>
      </c>
      <c r="F399" s="2" t="s">
        <v>257</v>
      </c>
      <c r="G399" s="3" t="str">
        <f aca="false">INDEX(Produtos!$B$2:$B$11,MATCH(F399,Produtos!$A$2:$A$11,0))&amp;" "&amp;INDEX(Produtos!$C$2:$C$11,MATCH(F399,Produtos!$A$2:$A$11,0))</f>
        <v>Celular Samsung</v>
      </c>
      <c r="H399" s="2" t="n">
        <v>1</v>
      </c>
      <c r="I399" s="5" t="n">
        <f aca="false">INDEX(Produtos!$D$2:$D$11,MATCH(F399,Produtos!$A$2:$A$11,0))</f>
        <v>2499</v>
      </c>
      <c r="J399" s="5" t="n">
        <f aca="false">H399*I399</f>
        <v>2499</v>
      </c>
      <c r="K399" s="5" t="n">
        <f aca="false">INDEX(Produtos!$E$2:$E$11,MATCH(F399,Produtos!$A$2:$A$11,0))</f>
        <v>1800</v>
      </c>
      <c r="L399" s="5" t="n">
        <f aca="false">H399*K399</f>
        <v>1800</v>
      </c>
    </row>
    <row r="400" customFormat="false" ht="15" hidden="false" customHeight="false" outlineLevel="0" collapsed="false">
      <c r="A400" s="2" t="s">
        <v>682</v>
      </c>
      <c r="B400" s="8" t="n">
        <v>46054</v>
      </c>
      <c r="C400" s="2" t="s">
        <v>50</v>
      </c>
      <c r="D400" s="3" t="str">
        <f aca="false">INDEX(Vendedores!$C$2:$C$101,MATCH(C400,Vendedores!$A$2:$A$101,0))</f>
        <v>L01</v>
      </c>
      <c r="E400" s="3" t="str">
        <f aca="false">INDEX(Lojas!$E$2:$E$11,MATCH(D400,Lojas!$A$2:$A$11,0))</f>
        <v>Sudeste</v>
      </c>
      <c r="F400" s="2" t="s">
        <v>275</v>
      </c>
      <c r="G400" s="3" t="str">
        <f aca="false">INDEX(Produtos!$B$2:$B$11,MATCH(F400,Produtos!$A$2:$A$11,0))&amp;" "&amp;INDEX(Produtos!$C$2:$C$11,MATCH(F400,Produtos!$A$2:$A$11,0))</f>
        <v>Controle de Videogame PS5</v>
      </c>
      <c r="H400" s="2" t="n">
        <v>1</v>
      </c>
      <c r="I400" s="5" t="n">
        <f aca="false">INDEX(Produtos!$D$2:$D$11,MATCH(F400,Produtos!$A$2:$A$11,0))</f>
        <v>379.9</v>
      </c>
      <c r="J400" s="5" t="n">
        <f aca="false">H400*I400</f>
        <v>379.9</v>
      </c>
      <c r="K400" s="5" t="n">
        <f aca="false">INDEX(Produtos!$E$2:$E$11,MATCH(F400,Produtos!$A$2:$A$11,0))</f>
        <v>235</v>
      </c>
      <c r="L400" s="5" t="n">
        <f aca="false">H400*K400</f>
        <v>235</v>
      </c>
    </row>
    <row r="401" customFormat="false" ht="15" hidden="false" customHeight="false" outlineLevel="0" collapsed="false">
      <c r="A401" s="2" t="s">
        <v>683</v>
      </c>
      <c r="B401" s="8" t="n">
        <v>46055</v>
      </c>
      <c r="C401" s="2" t="s">
        <v>189</v>
      </c>
      <c r="D401" s="3" t="str">
        <f aca="false">INDEX(Vendedores!$C$2:$C$101,MATCH(C401,Vendedores!$A$2:$A$101,0))</f>
        <v>L08</v>
      </c>
      <c r="E401" s="3" t="str">
        <f aca="false">INDEX(Lojas!$E$2:$E$11,MATCH(D401,Lojas!$A$2:$A$11,0))</f>
        <v>Nordeste</v>
      </c>
      <c r="F401" s="2" t="s">
        <v>257</v>
      </c>
      <c r="G401" s="3" t="str">
        <f aca="false">INDEX(Produtos!$B$2:$B$11,MATCH(F401,Produtos!$A$2:$A$11,0))&amp;" "&amp;INDEX(Produtos!$C$2:$C$11,MATCH(F401,Produtos!$A$2:$A$11,0))</f>
        <v>Celular Samsung</v>
      </c>
      <c r="H401" s="2" t="n">
        <v>3</v>
      </c>
      <c r="I401" s="5" t="n">
        <f aca="false">INDEX(Produtos!$D$2:$D$11,MATCH(F401,Produtos!$A$2:$A$11,0))</f>
        <v>2499</v>
      </c>
      <c r="J401" s="5" t="n">
        <f aca="false">H401*I401</f>
        <v>7497</v>
      </c>
      <c r="K401" s="5" t="n">
        <f aca="false">INDEX(Produtos!$E$2:$E$11,MATCH(F401,Produtos!$A$2:$A$11,0))</f>
        <v>1800</v>
      </c>
      <c r="L401" s="5" t="n">
        <f aca="false">H401*K401</f>
        <v>5400</v>
      </c>
    </row>
    <row r="402" customFormat="false" ht="15" hidden="false" customHeight="false" outlineLevel="0" collapsed="false">
      <c r="A402" s="2" t="s">
        <v>684</v>
      </c>
      <c r="B402" s="8" t="n">
        <v>46055</v>
      </c>
      <c r="C402" s="2" t="s">
        <v>205</v>
      </c>
      <c r="D402" s="3" t="str">
        <f aca="false">INDEX(Vendedores!$C$2:$C$101,MATCH(C402,Vendedores!$A$2:$A$101,0))</f>
        <v>L09</v>
      </c>
      <c r="E402" s="3" t="str">
        <f aca="false">INDEX(Lojas!$E$2:$E$11,MATCH(D402,Lojas!$A$2:$A$11,0))</f>
        <v>Nordeste</v>
      </c>
      <c r="F402" s="2" t="s">
        <v>255</v>
      </c>
      <c r="G402" s="3" t="str">
        <f aca="false">INDEX(Produtos!$B$2:$B$11,MATCH(F402,Produtos!$A$2:$A$11,0))&amp;" "&amp;INDEX(Produtos!$C$2:$C$11,MATCH(F402,Produtos!$A$2:$A$11,0))</f>
        <v>Notebook Positivo</v>
      </c>
      <c r="H402" s="2" t="n">
        <v>1</v>
      </c>
      <c r="I402" s="5" t="n">
        <f aca="false">INDEX(Produtos!$D$2:$D$11,MATCH(F402,Produtos!$A$2:$A$11,0))</f>
        <v>2199</v>
      </c>
      <c r="J402" s="5" t="n">
        <f aca="false">H402*I402</f>
        <v>2199</v>
      </c>
      <c r="K402" s="5" t="n">
        <f aca="false">INDEX(Produtos!$E$2:$E$11,MATCH(F402,Produtos!$A$2:$A$11,0))</f>
        <v>1550</v>
      </c>
      <c r="L402" s="5" t="n">
        <f aca="false">H402*K402</f>
        <v>1550</v>
      </c>
    </row>
    <row r="403" customFormat="false" ht="15" hidden="false" customHeight="false" outlineLevel="0" collapsed="false">
      <c r="A403" s="2" t="s">
        <v>685</v>
      </c>
      <c r="B403" s="8" t="n">
        <v>46055</v>
      </c>
      <c r="C403" s="2" t="s">
        <v>146</v>
      </c>
      <c r="D403" s="3" t="str">
        <f aca="false">INDEX(Vendedores!$C$2:$C$101,MATCH(C403,Vendedores!$A$2:$A$101,0))</f>
        <v>L05</v>
      </c>
      <c r="E403" s="3" t="str">
        <f aca="false">INDEX(Lojas!$E$2:$E$11,MATCH(D403,Lojas!$A$2:$A$11,0))</f>
        <v>Sul</v>
      </c>
      <c r="F403" s="2" t="s">
        <v>262</v>
      </c>
      <c r="G403" s="3" t="str">
        <f aca="false">INDEX(Produtos!$B$2:$B$11,MATCH(F403,Produtos!$A$2:$A$11,0))&amp;" "&amp;INDEX(Produtos!$C$2:$C$11,MATCH(F403,Produtos!$A$2:$A$11,0))</f>
        <v>Fone de Ouvido De Celular</v>
      </c>
      <c r="H403" s="2" t="n">
        <v>1</v>
      </c>
      <c r="I403" s="5" t="n">
        <f aca="false">INDEX(Produtos!$D$2:$D$11,MATCH(F403,Produtos!$A$2:$A$11,0))</f>
        <v>59.9</v>
      </c>
      <c r="J403" s="5" t="n">
        <f aca="false">H403*I403</f>
        <v>59.9</v>
      </c>
      <c r="K403" s="5" t="n">
        <f aca="false">INDEX(Produtos!$E$2:$E$11,MATCH(F403,Produtos!$A$2:$A$11,0))</f>
        <v>28</v>
      </c>
      <c r="L403" s="5" t="n">
        <f aca="false">H403*K403</f>
        <v>28</v>
      </c>
    </row>
    <row r="404" customFormat="false" ht="15" hidden="false" customHeight="false" outlineLevel="0" collapsed="false">
      <c r="A404" s="2" t="s">
        <v>686</v>
      </c>
      <c r="B404" s="8" t="n">
        <v>46055</v>
      </c>
      <c r="C404" s="2" t="s">
        <v>164</v>
      </c>
      <c r="D404" s="3" t="str">
        <f aca="false">INDEX(Vendedores!$C$2:$C$101,MATCH(C404,Vendedores!$A$2:$A$101,0))</f>
        <v>L06</v>
      </c>
      <c r="E404" s="3" t="str">
        <f aca="false">INDEX(Lojas!$E$2:$E$11,MATCH(D404,Lojas!$A$2:$A$11,0))</f>
        <v>Sul</v>
      </c>
      <c r="F404" s="2" t="s">
        <v>267</v>
      </c>
      <c r="G404" s="3" t="str">
        <f aca="false">INDEX(Produtos!$B$2:$B$11,MATCH(F404,Produtos!$A$2:$A$11,0))&amp;" "&amp;INDEX(Produtos!$C$2:$C$11,MATCH(F404,Produtos!$A$2:$A$11,0))</f>
        <v>Carregador de Celular Tipo C</v>
      </c>
      <c r="H404" s="2" t="n">
        <v>1</v>
      </c>
      <c r="I404" s="5" t="n">
        <f aca="false">INDEX(Produtos!$D$2:$D$11,MATCH(F404,Produtos!$A$2:$A$11,0))</f>
        <v>44.9</v>
      </c>
      <c r="J404" s="5" t="n">
        <f aca="false">H404*I404</f>
        <v>44.9</v>
      </c>
      <c r="K404" s="5" t="n">
        <f aca="false">INDEX(Produtos!$E$2:$E$11,MATCH(F404,Produtos!$A$2:$A$11,0))</f>
        <v>18</v>
      </c>
      <c r="L404" s="5" t="n">
        <f aca="false">H404*K404</f>
        <v>18</v>
      </c>
    </row>
    <row r="405" customFormat="false" ht="15" hidden="false" customHeight="false" outlineLevel="0" collapsed="false">
      <c r="A405" s="2" t="s">
        <v>687</v>
      </c>
      <c r="B405" s="8" t="n">
        <v>46055</v>
      </c>
      <c r="C405" s="2" t="s">
        <v>106</v>
      </c>
      <c r="D405" s="3" t="str">
        <f aca="false">INDEX(Vendedores!$C$2:$C$101,MATCH(C405,Vendedores!$A$2:$A$101,0))</f>
        <v>L03</v>
      </c>
      <c r="E405" s="3" t="str">
        <f aca="false">INDEX(Lojas!$E$2:$E$11,MATCH(D405,Lojas!$A$2:$A$11,0))</f>
        <v>Sudeste</v>
      </c>
      <c r="F405" s="2" t="s">
        <v>262</v>
      </c>
      <c r="G405" s="3" t="str">
        <f aca="false">INDEX(Produtos!$B$2:$B$11,MATCH(F405,Produtos!$A$2:$A$11,0))&amp;" "&amp;INDEX(Produtos!$C$2:$C$11,MATCH(F405,Produtos!$A$2:$A$11,0))</f>
        <v>Fone de Ouvido De Celular</v>
      </c>
      <c r="H405" s="2" t="n">
        <v>1</v>
      </c>
      <c r="I405" s="5" t="n">
        <f aca="false">INDEX(Produtos!$D$2:$D$11,MATCH(F405,Produtos!$A$2:$A$11,0))</f>
        <v>59.9</v>
      </c>
      <c r="J405" s="5" t="n">
        <f aca="false">H405*I405</f>
        <v>59.9</v>
      </c>
      <c r="K405" s="5" t="n">
        <f aca="false">INDEX(Produtos!$E$2:$E$11,MATCH(F405,Produtos!$A$2:$A$11,0))</f>
        <v>28</v>
      </c>
      <c r="L405" s="5" t="n">
        <f aca="false">H405*K405</f>
        <v>28</v>
      </c>
    </row>
    <row r="406" customFormat="false" ht="15" hidden="false" customHeight="false" outlineLevel="0" collapsed="false">
      <c r="A406" s="2" t="s">
        <v>688</v>
      </c>
      <c r="B406" s="8" t="n">
        <v>46055</v>
      </c>
      <c r="C406" s="2" t="s">
        <v>174</v>
      </c>
      <c r="D406" s="3" t="str">
        <f aca="false">INDEX(Vendedores!$C$2:$C$101,MATCH(C406,Vendedores!$A$2:$A$101,0))</f>
        <v>L07</v>
      </c>
      <c r="E406" s="3" t="str">
        <f aca="false">INDEX(Lojas!$E$2:$E$11,MATCH(D406,Lojas!$A$2:$A$11,0))</f>
        <v>Sul</v>
      </c>
      <c r="F406" s="2" t="s">
        <v>275</v>
      </c>
      <c r="G406" s="3" t="str">
        <f aca="false">INDEX(Produtos!$B$2:$B$11,MATCH(F406,Produtos!$A$2:$A$11,0))&amp;" "&amp;INDEX(Produtos!$C$2:$C$11,MATCH(F406,Produtos!$A$2:$A$11,0))</f>
        <v>Controle de Videogame PS5</v>
      </c>
      <c r="H406" s="2" t="n">
        <v>1</v>
      </c>
      <c r="I406" s="5" t="n">
        <f aca="false">INDEX(Produtos!$D$2:$D$11,MATCH(F406,Produtos!$A$2:$A$11,0))</f>
        <v>379.9</v>
      </c>
      <c r="J406" s="5" t="n">
        <f aca="false">H406*I406</f>
        <v>379.9</v>
      </c>
      <c r="K406" s="5" t="n">
        <f aca="false">INDEX(Produtos!$E$2:$E$11,MATCH(F406,Produtos!$A$2:$A$11,0))</f>
        <v>235</v>
      </c>
      <c r="L406" s="5" t="n">
        <f aca="false">H406*K406</f>
        <v>235</v>
      </c>
    </row>
    <row r="407" customFormat="false" ht="15" hidden="false" customHeight="false" outlineLevel="0" collapsed="false">
      <c r="A407" s="2" t="s">
        <v>689</v>
      </c>
      <c r="B407" s="8" t="n">
        <v>46055</v>
      </c>
      <c r="C407" s="2" t="s">
        <v>178</v>
      </c>
      <c r="D407" s="3" t="str">
        <f aca="false">INDEX(Vendedores!$C$2:$C$101,MATCH(C407,Vendedores!$A$2:$A$101,0))</f>
        <v>L07</v>
      </c>
      <c r="E407" s="3" t="str">
        <f aca="false">INDEX(Lojas!$E$2:$E$11,MATCH(D407,Lojas!$A$2:$A$11,0))</f>
        <v>Sul</v>
      </c>
      <c r="F407" s="2" t="s">
        <v>275</v>
      </c>
      <c r="G407" s="3" t="str">
        <f aca="false">INDEX(Produtos!$B$2:$B$11,MATCH(F407,Produtos!$A$2:$A$11,0))&amp;" "&amp;INDEX(Produtos!$C$2:$C$11,MATCH(F407,Produtos!$A$2:$A$11,0))</f>
        <v>Controle de Videogame PS5</v>
      </c>
      <c r="H407" s="2" t="n">
        <v>1</v>
      </c>
      <c r="I407" s="5" t="n">
        <f aca="false">INDEX(Produtos!$D$2:$D$11,MATCH(F407,Produtos!$A$2:$A$11,0))</f>
        <v>379.9</v>
      </c>
      <c r="J407" s="5" t="n">
        <f aca="false">H407*I407</f>
        <v>379.9</v>
      </c>
      <c r="K407" s="5" t="n">
        <f aca="false">INDEX(Produtos!$E$2:$E$11,MATCH(F407,Produtos!$A$2:$A$11,0))</f>
        <v>235</v>
      </c>
      <c r="L407" s="5" t="n">
        <f aca="false">H407*K407</f>
        <v>235</v>
      </c>
    </row>
    <row r="408" customFormat="false" ht="15" hidden="false" customHeight="false" outlineLevel="0" collapsed="false">
      <c r="A408" s="2" t="s">
        <v>690</v>
      </c>
      <c r="B408" s="8" t="n">
        <v>46055</v>
      </c>
      <c r="C408" s="2" t="s">
        <v>172</v>
      </c>
      <c r="D408" s="3" t="str">
        <f aca="false">INDEX(Vendedores!$C$2:$C$101,MATCH(C408,Vendedores!$A$2:$A$101,0))</f>
        <v>L07</v>
      </c>
      <c r="E408" s="3" t="str">
        <f aca="false">INDEX(Lojas!$E$2:$E$11,MATCH(D408,Lojas!$A$2:$A$11,0))</f>
        <v>Sul</v>
      </c>
      <c r="F408" s="2" t="s">
        <v>270</v>
      </c>
      <c r="G408" s="3" t="str">
        <f aca="false">INDEX(Produtos!$B$2:$B$11,MATCH(F408,Produtos!$A$2:$A$11,0))&amp;" "&amp;INDEX(Produtos!$C$2:$C$11,MATCH(F408,Produtos!$A$2:$A$11,0))</f>
        <v>Controle de Videogame Xbox</v>
      </c>
      <c r="H408" s="2" t="n">
        <v>1</v>
      </c>
      <c r="I408" s="5" t="n">
        <f aca="false">INDEX(Produtos!$D$2:$D$11,MATCH(F408,Produtos!$A$2:$A$11,0))</f>
        <v>349.9</v>
      </c>
      <c r="J408" s="5" t="n">
        <f aca="false">H408*I408</f>
        <v>349.9</v>
      </c>
      <c r="K408" s="5" t="n">
        <f aca="false">INDEX(Produtos!$E$2:$E$11,MATCH(F408,Produtos!$A$2:$A$11,0))</f>
        <v>215</v>
      </c>
      <c r="L408" s="5" t="n">
        <f aca="false">H408*K408</f>
        <v>215</v>
      </c>
    </row>
    <row r="409" customFormat="false" ht="15" hidden="false" customHeight="false" outlineLevel="0" collapsed="false">
      <c r="A409" s="2" t="s">
        <v>691</v>
      </c>
      <c r="B409" s="8" t="n">
        <v>46055</v>
      </c>
      <c r="C409" s="2" t="s">
        <v>199</v>
      </c>
      <c r="D409" s="3" t="str">
        <f aca="false">INDEX(Vendedores!$C$2:$C$101,MATCH(C409,Vendedores!$A$2:$A$101,0))</f>
        <v>L08</v>
      </c>
      <c r="E409" s="3" t="str">
        <f aca="false">INDEX(Lojas!$E$2:$E$11,MATCH(D409,Lojas!$A$2:$A$11,0))</f>
        <v>Nordeste</v>
      </c>
      <c r="F409" s="2" t="s">
        <v>273</v>
      </c>
      <c r="G409" s="3" t="str">
        <f aca="false">INDEX(Produtos!$B$2:$B$11,MATCH(F409,Produtos!$A$2:$A$11,0))&amp;" "&amp;INDEX(Produtos!$C$2:$C$11,MATCH(F409,Produtos!$A$2:$A$11,0))</f>
        <v>Controle de Videogame PS4</v>
      </c>
      <c r="H409" s="2" t="n">
        <v>2</v>
      </c>
      <c r="I409" s="5" t="n">
        <f aca="false">INDEX(Produtos!$D$2:$D$11,MATCH(F409,Produtos!$A$2:$A$11,0))</f>
        <v>299.9</v>
      </c>
      <c r="J409" s="5" t="n">
        <f aca="false">H409*I409</f>
        <v>599.8</v>
      </c>
      <c r="K409" s="5" t="n">
        <f aca="false">INDEX(Produtos!$E$2:$E$11,MATCH(F409,Produtos!$A$2:$A$11,0))</f>
        <v>175</v>
      </c>
      <c r="L409" s="5" t="n">
        <f aca="false">H409*K409</f>
        <v>350</v>
      </c>
    </row>
    <row r="410" customFormat="false" ht="15" hidden="false" customHeight="false" outlineLevel="0" collapsed="false">
      <c r="A410" s="2" t="s">
        <v>692</v>
      </c>
      <c r="B410" s="8" t="n">
        <v>46056</v>
      </c>
      <c r="C410" s="2" t="s">
        <v>229</v>
      </c>
      <c r="D410" s="3" t="str">
        <f aca="false">INDEX(Vendedores!$C$2:$C$101,MATCH(C410,Vendedores!$A$2:$A$101,0))</f>
        <v>L10</v>
      </c>
      <c r="E410" s="3" t="str">
        <f aca="false">INDEX(Lojas!$E$2:$E$11,MATCH(D410,Lojas!$A$2:$A$11,0))</f>
        <v>Nordeste</v>
      </c>
      <c r="F410" s="2" t="s">
        <v>260</v>
      </c>
      <c r="G410" s="3" t="str">
        <f aca="false">INDEX(Produtos!$B$2:$B$11,MATCH(F410,Produtos!$A$2:$A$11,0))&amp;" "&amp;INDEX(Produtos!$C$2:$C$11,MATCH(F410,Produtos!$A$2:$A$11,0))</f>
        <v>Celular Motorola</v>
      </c>
      <c r="H410" s="2" t="n">
        <v>2</v>
      </c>
      <c r="I410" s="5" t="n">
        <f aca="false">INDEX(Produtos!$D$2:$D$11,MATCH(F410,Produtos!$A$2:$A$11,0))</f>
        <v>1799</v>
      </c>
      <c r="J410" s="5" t="n">
        <f aca="false">H410*I410</f>
        <v>3598</v>
      </c>
      <c r="K410" s="5" t="n">
        <f aca="false">INDEX(Produtos!$E$2:$E$11,MATCH(F410,Produtos!$A$2:$A$11,0))</f>
        <v>1250</v>
      </c>
      <c r="L410" s="5" t="n">
        <f aca="false">H410*K410</f>
        <v>2500</v>
      </c>
    </row>
    <row r="411" customFormat="false" ht="15" hidden="false" customHeight="false" outlineLevel="0" collapsed="false">
      <c r="A411" s="2" t="s">
        <v>693</v>
      </c>
      <c r="B411" s="8" t="n">
        <v>46056</v>
      </c>
      <c r="C411" s="2" t="s">
        <v>219</v>
      </c>
      <c r="D411" s="3" t="str">
        <f aca="false">INDEX(Vendedores!$C$2:$C$101,MATCH(C411,Vendedores!$A$2:$A$101,0))</f>
        <v>L09</v>
      </c>
      <c r="E411" s="3" t="str">
        <f aca="false">INDEX(Lojas!$E$2:$E$11,MATCH(D411,Lojas!$A$2:$A$11,0))</f>
        <v>Nordeste</v>
      </c>
      <c r="F411" s="2" t="s">
        <v>270</v>
      </c>
      <c r="G411" s="3" t="str">
        <f aca="false">INDEX(Produtos!$B$2:$B$11,MATCH(F411,Produtos!$A$2:$A$11,0))&amp;" "&amp;INDEX(Produtos!$C$2:$C$11,MATCH(F411,Produtos!$A$2:$A$11,0))</f>
        <v>Controle de Videogame Xbox</v>
      </c>
      <c r="H411" s="2" t="n">
        <v>1</v>
      </c>
      <c r="I411" s="5" t="n">
        <f aca="false">INDEX(Produtos!$D$2:$D$11,MATCH(F411,Produtos!$A$2:$A$11,0))</f>
        <v>349.9</v>
      </c>
      <c r="J411" s="5" t="n">
        <f aca="false">H411*I411</f>
        <v>349.9</v>
      </c>
      <c r="K411" s="5" t="n">
        <f aca="false">INDEX(Produtos!$E$2:$E$11,MATCH(F411,Produtos!$A$2:$A$11,0))</f>
        <v>215</v>
      </c>
      <c r="L411" s="5" t="n">
        <f aca="false">H411*K411</f>
        <v>215</v>
      </c>
    </row>
    <row r="412" customFormat="false" ht="15" hidden="false" customHeight="false" outlineLevel="0" collapsed="false">
      <c r="A412" s="2" t="s">
        <v>694</v>
      </c>
      <c r="B412" s="8" t="n">
        <v>46056</v>
      </c>
      <c r="C412" s="2" t="s">
        <v>187</v>
      </c>
      <c r="D412" s="3" t="str">
        <f aca="false">INDEX(Vendedores!$C$2:$C$101,MATCH(C412,Vendedores!$A$2:$A$101,0))</f>
        <v>L08</v>
      </c>
      <c r="E412" s="3" t="str">
        <f aca="false">INDEX(Lojas!$E$2:$E$11,MATCH(D412,Lojas!$A$2:$A$11,0))</f>
        <v>Nordeste</v>
      </c>
      <c r="F412" s="2" t="s">
        <v>267</v>
      </c>
      <c r="G412" s="3" t="str">
        <f aca="false">INDEX(Produtos!$B$2:$B$11,MATCH(F412,Produtos!$A$2:$A$11,0))&amp;" "&amp;INDEX(Produtos!$C$2:$C$11,MATCH(F412,Produtos!$A$2:$A$11,0))</f>
        <v>Carregador de Celular Tipo C</v>
      </c>
      <c r="H412" s="2" t="n">
        <v>1</v>
      </c>
      <c r="I412" s="5" t="n">
        <f aca="false">INDEX(Produtos!$D$2:$D$11,MATCH(F412,Produtos!$A$2:$A$11,0))</f>
        <v>44.9</v>
      </c>
      <c r="J412" s="5" t="n">
        <f aca="false">H412*I412</f>
        <v>44.9</v>
      </c>
      <c r="K412" s="5" t="n">
        <f aca="false">INDEX(Produtos!$E$2:$E$11,MATCH(F412,Produtos!$A$2:$A$11,0))</f>
        <v>18</v>
      </c>
      <c r="L412" s="5" t="n">
        <f aca="false">H412*K412</f>
        <v>18</v>
      </c>
    </row>
    <row r="413" customFormat="false" ht="15" hidden="false" customHeight="false" outlineLevel="0" collapsed="false">
      <c r="A413" s="2" t="s">
        <v>695</v>
      </c>
      <c r="B413" s="8" t="n">
        <v>46056</v>
      </c>
      <c r="C413" s="2" t="s">
        <v>108</v>
      </c>
      <c r="D413" s="3" t="str">
        <f aca="false">INDEX(Vendedores!$C$2:$C$101,MATCH(C413,Vendedores!$A$2:$A$101,0))</f>
        <v>L03</v>
      </c>
      <c r="E413" s="3" t="str">
        <f aca="false">INDEX(Lojas!$E$2:$E$11,MATCH(D413,Lojas!$A$2:$A$11,0))</f>
        <v>Sudeste</v>
      </c>
      <c r="F413" s="2" t="s">
        <v>275</v>
      </c>
      <c r="G413" s="3" t="str">
        <f aca="false">INDEX(Produtos!$B$2:$B$11,MATCH(F413,Produtos!$A$2:$A$11,0))&amp;" "&amp;INDEX(Produtos!$C$2:$C$11,MATCH(F413,Produtos!$A$2:$A$11,0))</f>
        <v>Controle de Videogame PS5</v>
      </c>
      <c r="H413" s="2" t="n">
        <v>3</v>
      </c>
      <c r="I413" s="5" t="n">
        <f aca="false">INDEX(Produtos!$D$2:$D$11,MATCH(F413,Produtos!$A$2:$A$11,0))</f>
        <v>379.9</v>
      </c>
      <c r="J413" s="5" t="n">
        <f aca="false">H413*I413</f>
        <v>1139.7</v>
      </c>
      <c r="K413" s="5" t="n">
        <f aca="false">INDEX(Produtos!$E$2:$E$11,MATCH(F413,Produtos!$A$2:$A$11,0))</f>
        <v>235</v>
      </c>
      <c r="L413" s="5" t="n">
        <f aca="false">H413*K413</f>
        <v>705</v>
      </c>
    </row>
    <row r="414" customFormat="false" ht="15" hidden="false" customHeight="false" outlineLevel="0" collapsed="false">
      <c r="A414" s="2" t="s">
        <v>696</v>
      </c>
      <c r="B414" s="8" t="n">
        <v>46056</v>
      </c>
      <c r="C414" s="2" t="s">
        <v>219</v>
      </c>
      <c r="D414" s="3" t="str">
        <f aca="false">INDEX(Vendedores!$C$2:$C$101,MATCH(C414,Vendedores!$A$2:$A$101,0))</f>
        <v>L09</v>
      </c>
      <c r="E414" s="3" t="str">
        <f aca="false">INDEX(Lojas!$E$2:$E$11,MATCH(D414,Lojas!$A$2:$A$11,0))</f>
        <v>Nordeste</v>
      </c>
      <c r="F414" s="2" t="s">
        <v>257</v>
      </c>
      <c r="G414" s="3" t="str">
        <f aca="false">INDEX(Produtos!$B$2:$B$11,MATCH(F414,Produtos!$A$2:$A$11,0))&amp;" "&amp;INDEX(Produtos!$C$2:$C$11,MATCH(F414,Produtos!$A$2:$A$11,0))</f>
        <v>Celular Samsung</v>
      </c>
      <c r="H414" s="2" t="n">
        <v>1</v>
      </c>
      <c r="I414" s="5" t="n">
        <f aca="false">INDEX(Produtos!$D$2:$D$11,MATCH(F414,Produtos!$A$2:$A$11,0))</f>
        <v>2499</v>
      </c>
      <c r="J414" s="5" t="n">
        <f aca="false">H414*I414</f>
        <v>2499</v>
      </c>
      <c r="K414" s="5" t="n">
        <f aca="false">INDEX(Produtos!$E$2:$E$11,MATCH(F414,Produtos!$A$2:$A$11,0))</f>
        <v>1800</v>
      </c>
      <c r="L414" s="5" t="n">
        <f aca="false">H414*K414</f>
        <v>1800</v>
      </c>
    </row>
    <row r="415" customFormat="false" ht="15" hidden="false" customHeight="false" outlineLevel="0" collapsed="false">
      <c r="A415" s="2" t="s">
        <v>697</v>
      </c>
      <c r="B415" s="8" t="n">
        <v>46056</v>
      </c>
      <c r="C415" s="2" t="s">
        <v>227</v>
      </c>
      <c r="D415" s="3" t="str">
        <f aca="false">INDEX(Vendedores!$C$2:$C$101,MATCH(C415,Vendedores!$A$2:$A$101,0))</f>
        <v>L10</v>
      </c>
      <c r="E415" s="3" t="str">
        <f aca="false">INDEX(Lojas!$E$2:$E$11,MATCH(D415,Lojas!$A$2:$A$11,0))</f>
        <v>Nordeste</v>
      </c>
      <c r="F415" s="2" t="s">
        <v>267</v>
      </c>
      <c r="G415" s="3" t="str">
        <f aca="false">INDEX(Produtos!$B$2:$B$11,MATCH(F415,Produtos!$A$2:$A$11,0))&amp;" "&amp;INDEX(Produtos!$C$2:$C$11,MATCH(F415,Produtos!$A$2:$A$11,0))</f>
        <v>Carregador de Celular Tipo C</v>
      </c>
      <c r="H415" s="2" t="n">
        <v>1</v>
      </c>
      <c r="I415" s="5" t="n">
        <f aca="false">INDEX(Produtos!$D$2:$D$11,MATCH(F415,Produtos!$A$2:$A$11,0))</f>
        <v>44.9</v>
      </c>
      <c r="J415" s="5" t="n">
        <f aca="false">H415*I415</f>
        <v>44.9</v>
      </c>
      <c r="K415" s="5" t="n">
        <f aca="false">INDEX(Produtos!$E$2:$E$11,MATCH(F415,Produtos!$A$2:$A$11,0))</f>
        <v>18</v>
      </c>
      <c r="L415" s="5" t="n">
        <f aca="false">H415*K415</f>
        <v>18</v>
      </c>
    </row>
    <row r="416" customFormat="false" ht="15" hidden="false" customHeight="false" outlineLevel="0" collapsed="false">
      <c r="A416" s="2" t="s">
        <v>698</v>
      </c>
      <c r="B416" s="8" t="n">
        <v>46056</v>
      </c>
      <c r="C416" s="2" t="s">
        <v>191</v>
      </c>
      <c r="D416" s="3" t="str">
        <f aca="false">INDEX(Vendedores!$C$2:$C$101,MATCH(C416,Vendedores!$A$2:$A$101,0))</f>
        <v>L08</v>
      </c>
      <c r="E416" s="3" t="str">
        <f aca="false">INDEX(Lojas!$E$2:$E$11,MATCH(D416,Lojas!$A$2:$A$11,0))</f>
        <v>Nordeste</v>
      </c>
      <c r="F416" s="2" t="s">
        <v>273</v>
      </c>
      <c r="G416" s="3" t="str">
        <f aca="false">INDEX(Produtos!$B$2:$B$11,MATCH(F416,Produtos!$A$2:$A$11,0))&amp;" "&amp;INDEX(Produtos!$C$2:$C$11,MATCH(F416,Produtos!$A$2:$A$11,0))</f>
        <v>Controle de Videogame PS4</v>
      </c>
      <c r="H416" s="2" t="n">
        <v>2</v>
      </c>
      <c r="I416" s="5" t="n">
        <f aca="false">INDEX(Produtos!$D$2:$D$11,MATCH(F416,Produtos!$A$2:$A$11,0))</f>
        <v>299.9</v>
      </c>
      <c r="J416" s="5" t="n">
        <f aca="false">H416*I416</f>
        <v>599.8</v>
      </c>
      <c r="K416" s="5" t="n">
        <f aca="false">INDEX(Produtos!$E$2:$E$11,MATCH(F416,Produtos!$A$2:$A$11,0))</f>
        <v>175</v>
      </c>
      <c r="L416" s="5" t="n">
        <f aca="false">H416*K416</f>
        <v>350</v>
      </c>
    </row>
    <row r="417" customFormat="false" ht="15" hidden="false" customHeight="false" outlineLevel="0" collapsed="false">
      <c r="A417" s="2" t="s">
        <v>699</v>
      </c>
      <c r="B417" s="8" t="n">
        <v>46056</v>
      </c>
      <c r="C417" s="2" t="s">
        <v>193</v>
      </c>
      <c r="D417" s="3" t="str">
        <f aca="false">INDEX(Vendedores!$C$2:$C$101,MATCH(C417,Vendedores!$A$2:$A$101,0))</f>
        <v>L08</v>
      </c>
      <c r="E417" s="3" t="str">
        <f aca="false">INDEX(Lojas!$E$2:$E$11,MATCH(D417,Lojas!$A$2:$A$11,0))</f>
        <v>Nordeste</v>
      </c>
      <c r="F417" s="2" t="s">
        <v>267</v>
      </c>
      <c r="G417" s="3" t="str">
        <f aca="false">INDEX(Produtos!$B$2:$B$11,MATCH(F417,Produtos!$A$2:$A$11,0))&amp;" "&amp;INDEX(Produtos!$C$2:$C$11,MATCH(F417,Produtos!$A$2:$A$11,0))</f>
        <v>Carregador de Celular Tipo C</v>
      </c>
      <c r="H417" s="2" t="n">
        <v>1</v>
      </c>
      <c r="I417" s="5" t="n">
        <f aca="false">INDEX(Produtos!$D$2:$D$11,MATCH(F417,Produtos!$A$2:$A$11,0))</f>
        <v>44.9</v>
      </c>
      <c r="J417" s="5" t="n">
        <f aca="false">H417*I417</f>
        <v>44.9</v>
      </c>
      <c r="K417" s="5" t="n">
        <f aca="false">INDEX(Produtos!$E$2:$E$11,MATCH(F417,Produtos!$A$2:$A$11,0))</f>
        <v>18</v>
      </c>
      <c r="L417" s="5" t="n">
        <f aca="false">H417*K417</f>
        <v>18</v>
      </c>
    </row>
    <row r="418" customFormat="false" ht="15" hidden="false" customHeight="false" outlineLevel="0" collapsed="false">
      <c r="A418" s="2" t="s">
        <v>700</v>
      </c>
      <c r="B418" s="8" t="n">
        <v>46056</v>
      </c>
      <c r="C418" s="2" t="s">
        <v>135</v>
      </c>
      <c r="D418" s="3" t="str">
        <f aca="false">INDEX(Vendedores!$C$2:$C$101,MATCH(C418,Vendedores!$A$2:$A$101,0))</f>
        <v>L05</v>
      </c>
      <c r="E418" s="3" t="str">
        <f aca="false">INDEX(Lojas!$E$2:$E$11,MATCH(D418,Lojas!$A$2:$A$11,0))</f>
        <v>Sul</v>
      </c>
      <c r="F418" s="2" t="s">
        <v>262</v>
      </c>
      <c r="G418" s="3" t="str">
        <f aca="false">INDEX(Produtos!$B$2:$B$11,MATCH(F418,Produtos!$A$2:$A$11,0))&amp;" "&amp;INDEX(Produtos!$C$2:$C$11,MATCH(F418,Produtos!$A$2:$A$11,0))</f>
        <v>Fone de Ouvido De Celular</v>
      </c>
      <c r="H418" s="2" t="n">
        <v>1</v>
      </c>
      <c r="I418" s="5" t="n">
        <f aca="false">INDEX(Produtos!$D$2:$D$11,MATCH(F418,Produtos!$A$2:$A$11,0))</f>
        <v>59.9</v>
      </c>
      <c r="J418" s="5" t="n">
        <f aca="false">H418*I418</f>
        <v>59.9</v>
      </c>
      <c r="K418" s="5" t="n">
        <f aca="false">INDEX(Produtos!$E$2:$E$11,MATCH(F418,Produtos!$A$2:$A$11,0))</f>
        <v>28</v>
      </c>
      <c r="L418" s="5" t="n">
        <f aca="false">H418*K418</f>
        <v>28</v>
      </c>
    </row>
    <row r="419" customFormat="false" ht="15" hidden="false" customHeight="false" outlineLevel="0" collapsed="false">
      <c r="A419" s="2" t="s">
        <v>701</v>
      </c>
      <c r="B419" s="8" t="n">
        <v>46056</v>
      </c>
      <c r="C419" s="2" t="s">
        <v>203</v>
      </c>
      <c r="D419" s="3" t="str">
        <f aca="false">INDEX(Vendedores!$C$2:$C$101,MATCH(C419,Vendedores!$A$2:$A$101,0))</f>
        <v>L08</v>
      </c>
      <c r="E419" s="3" t="str">
        <f aca="false">INDEX(Lojas!$E$2:$E$11,MATCH(D419,Lojas!$A$2:$A$11,0))</f>
        <v>Nordeste</v>
      </c>
      <c r="F419" s="2" t="s">
        <v>262</v>
      </c>
      <c r="G419" s="3" t="str">
        <f aca="false">INDEX(Produtos!$B$2:$B$11,MATCH(F419,Produtos!$A$2:$A$11,0))&amp;" "&amp;INDEX(Produtos!$C$2:$C$11,MATCH(F419,Produtos!$A$2:$A$11,0))</f>
        <v>Fone de Ouvido De Celular</v>
      </c>
      <c r="H419" s="2" t="n">
        <v>1</v>
      </c>
      <c r="I419" s="5" t="n">
        <f aca="false">INDEX(Produtos!$D$2:$D$11,MATCH(F419,Produtos!$A$2:$A$11,0))</f>
        <v>59.9</v>
      </c>
      <c r="J419" s="5" t="n">
        <f aca="false">H419*I419</f>
        <v>59.9</v>
      </c>
      <c r="K419" s="5" t="n">
        <f aca="false">INDEX(Produtos!$E$2:$E$11,MATCH(F419,Produtos!$A$2:$A$11,0))</f>
        <v>28</v>
      </c>
      <c r="L419" s="5" t="n">
        <f aca="false">H419*K419</f>
        <v>28</v>
      </c>
    </row>
    <row r="420" customFormat="false" ht="15" hidden="false" customHeight="false" outlineLevel="0" collapsed="false">
      <c r="A420" s="2" t="s">
        <v>702</v>
      </c>
      <c r="B420" s="8" t="n">
        <v>46056</v>
      </c>
      <c r="C420" s="2" t="s">
        <v>241</v>
      </c>
      <c r="D420" s="3" t="str">
        <f aca="false">INDEX(Vendedores!$C$2:$C$101,MATCH(C420,Vendedores!$A$2:$A$101,0))</f>
        <v>L10</v>
      </c>
      <c r="E420" s="3" t="str">
        <f aca="false">INDEX(Lojas!$E$2:$E$11,MATCH(D420,Lojas!$A$2:$A$11,0))</f>
        <v>Nordeste</v>
      </c>
      <c r="F420" s="2" t="s">
        <v>262</v>
      </c>
      <c r="G420" s="3" t="str">
        <f aca="false">INDEX(Produtos!$B$2:$B$11,MATCH(F420,Produtos!$A$2:$A$11,0))&amp;" "&amp;INDEX(Produtos!$C$2:$C$11,MATCH(F420,Produtos!$A$2:$A$11,0))</f>
        <v>Fone de Ouvido De Celular</v>
      </c>
      <c r="H420" s="2" t="n">
        <v>1</v>
      </c>
      <c r="I420" s="5" t="n">
        <f aca="false">INDEX(Produtos!$D$2:$D$11,MATCH(F420,Produtos!$A$2:$A$11,0))</f>
        <v>59.9</v>
      </c>
      <c r="J420" s="5" t="n">
        <f aca="false">H420*I420</f>
        <v>59.9</v>
      </c>
      <c r="K420" s="5" t="n">
        <f aca="false">INDEX(Produtos!$E$2:$E$11,MATCH(F420,Produtos!$A$2:$A$11,0))</f>
        <v>28</v>
      </c>
      <c r="L420" s="5" t="n">
        <f aca="false">H420*K420</f>
        <v>28</v>
      </c>
    </row>
    <row r="421" customFormat="false" ht="15" hidden="false" customHeight="false" outlineLevel="0" collapsed="false">
      <c r="A421" s="2" t="s">
        <v>703</v>
      </c>
      <c r="B421" s="8" t="n">
        <v>46056</v>
      </c>
      <c r="C421" s="2" t="s">
        <v>168</v>
      </c>
      <c r="D421" s="3" t="str">
        <f aca="false">INDEX(Vendedores!$C$2:$C$101,MATCH(C421,Vendedores!$A$2:$A$101,0))</f>
        <v>L07</v>
      </c>
      <c r="E421" s="3" t="str">
        <f aca="false">INDEX(Lojas!$E$2:$E$11,MATCH(D421,Lojas!$A$2:$A$11,0))</f>
        <v>Sul</v>
      </c>
      <c r="F421" s="2" t="s">
        <v>273</v>
      </c>
      <c r="G421" s="3" t="str">
        <f aca="false">INDEX(Produtos!$B$2:$B$11,MATCH(F421,Produtos!$A$2:$A$11,0))&amp;" "&amp;INDEX(Produtos!$C$2:$C$11,MATCH(F421,Produtos!$A$2:$A$11,0))</f>
        <v>Controle de Videogame PS4</v>
      </c>
      <c r="H421" s="2" t="n">
        <v>2</v>
      </c>
      <c r="I421" s="5" t="n">
        <f aca="false">INDEX(Produtos!$D$2:$D$11,MATCH(F421,Produtos!$A$2:$A$11,0))</f>
        <v>299.9</v>
      </c>
      <c r="J421" s="5" t="n">
        <f aca="false">H421*I421</f>
        <v>599.8</v>
      </c>
      <c r="K421" s="5" t="n">
        <f aca="false">INDEX(Produtos!$E$2:$E$11,MATCH(F421,Produtos!$A$2:$A$11,0))</f>
        <v>175</v>
      </c>
      <c r="L421" s="5" t="n">
        <f aca="false">H421*K421</f>
        <v>350</v>
      </c>
    </row>
    <row r="422" customFormat="false" ht="15" hidden="false" customHeight="false" outlineLevel="0" collapsed="false">
      <c r="A422" s="2" t="s">
        <v>704</v>
      </c>
      <c r="B422" s="8" t="n">
        <v>46057</v>
      </c>
      <c r="C422" s="2" t="s">
        <v>86</v>
      </c>
      <c r="D422" s="3" t="str">
        <f aca="false">INDEX(Vendedores!$C$2:$C$101,MATCH(C422,Vendedores!$A$2:$A$101,0))</f>
        <v>L02</v>
      </c>
      <c r="E422" s="3" t="str">
        <f aca="false">INDEX(Lojas!$E$2:$E$11,MATCH(D422,Lojas!$A$2:$A$11,0))</f>
        <v>Sudeste</v>
      </c>
      <c r="F422" s="2" t="s">
        <v>265</v>
      </c>
      <c r="G422" s="3" t="str">
        <f aca="false">INDEX(Produtos!$B$2:$B$11,MATCH(F422,Produtos!$A$2:$A$11,0))&amp;" "&amp;INDEX(Produtos!$C$2:$C$11,MATCH(F422,Produtos!$A$2:$A$11,0))</f>
        <v>Fone de Ouvido Headset</v>
      </c>
      <c r="H422" s="2" t="n">
        <v>1</v>
      </c>
      <c r="I422" s="5" t="n">
        <f aca="false">INDEX(Produtos!$D$2:$D$11,MATCH(F422,Produtos!$A$2:$A$11,0))</f>
        <v>249.9</v>
      </c>
      <c r="J422" s="5" t="n">
        <f aca="false">H422*I422</f>
        <v>249.9</v>
      </c>
      <c r="K422" s="5" t="n">
        <f aca="false">INDEX(Produtos!$E$2:$E$11,MATCH(F422,Produtos!$A$2:$A$11,0))</f>
        <v>145</v>
      </c>
      <c r="L422" s="5" t="n">
        <f aca="false">H422*K422</f>
        <v>145</v>
      </c>
    </row>
    <row r="423" customFormat="false" ht="15" hidden="false" customHeight="false" outlineLevel="0" collapsed="false">
      <c r="A423" s="2" t="s">
        <v>705</v>
      </c>
      <c r="B423" s="8" t="n">
        <v>46057</v>
      </c>
      <c r="C423" s="2" t="s">
        <v>193</v>
      </c>
      <c r="D423" s="3" t="str">
        <f aca="false">INDEX(Vendedores!$C$2:$C$101,MATCH(C423,Vendedores!$A$2:$A$101,0))</f>
        <v>L08</v>
      </c>
      <c r="E423" s="3" t="str">
        <f aca="false">INDEX(Lojas!$E$2:$E$11,MATCH(D423,Lojas!$A$2:$A$11,0))</f>
        <v>Nordeste</v>
      </c>
      <c r="F423" s="2" t="s">
        <v>270</v>
      </c>
      <c r="G423" s="3" t="str">
        <f aca="false">INDEX(Produtos!$B$2:$B$11,MATCH(F423,Produtos!$A$2:$A$11,0))&amp;" "&amp;INDEX(Produtos!$C$2:$C$11,MATCH(F423,Produtos!$A$2:$A$11,0))</f>
        <v>Controle de Videogame Xbox</v>
      </c>
      <c r="H423" s="2" t="n">
        <v>1</v>
      </c>
      <c r="I423" s="5" t="n">
        <f aca="false">INDEX(Produtos!$D$2:$D$11,MATCH(F423,Produtos!$A$2:$A$11,0))</f>
        <v>349.9</v>
      </c>
      <c r="J423" s="5" t="n">
        <f aca="false">H423*I423</f>
        <v>349.9</v>
      </c>
      <c r="K423" s="5" t="n">
        <f aca="false">INDEX(Produtos!$E$2:$E$11,MATCH(F423,Produtos!$A$2:$A$11,0))</f>
        <v>215</v>
      </c>
      <c r="L423" s="5" t="n">
        <f aca="false">H423*K423</f>
        <v>215</v>
      </c>
    </row>
    <row r="424" customFormat="false" ht="15" hidden="false" customHeight="false" outlineLevel="0" collapsed="false">
      <c r="A424" s="2" t="s">
        <v>706</v>
      </c>
      <c r="B424" s="8" t="n">
        <v>46057</v>
      </c>
      <c r="C424" s="2" t="s">
        <v>70</v>
      </c>
      <c r="D424" s="3" t="str">
        <f aca="false">INDEX(Vendedores!$C$2:$C$101,MATCH(C424,Vendedores!$A$2:$A$101,0))</f>
        <v>L02</v>
      </c>
      <c r="E424" s="3" t="str">
        <f aca="false">INDEX(Lojas!$E$2:$E$11,MATCH(D424,Lojas!$A$2:$A$11,0))</f>
        <v>Sudeste</v>
      </c>
      <c r="F424" s="2" t="s">
        <v>265</v>
      </c>
      <c r="G424" s="3" t="str">
        <f aca="false">INDEX(Produtos!$B$2:$B$11,MATCH(F424,Produtos!$A$2:$A$11,0))&amp;" "&amp;INDEX(Produtos!$C$2:$C$11,MATCH(F424,Produtos!$A$2:$A$11,0))</f>
        <v>Fone de Ouvido Headset</v>
      </c>
      <c r="H424" s="2" t="n">
        <v>1</v>
      </c>
      <c r="I424" s="5" t="n">
        <f aca="false">INDEX(Produtos!$D$2:$D$11,MATCH(F424,Produtos!$A$2:$A$11,0))</f>
        <v>249.9</v>
      </c>
      <c r="J424" s="5" t="n">
        <f aca="false">H424*I424</f>
        <v>249.9</v>
      </c>
      <c r="K424" s="5" t="n">
        <f aca="false">INDEX(Produtos!$E$2:$E$11,MATCH(F424,Produtos!$A$2:$A$11,0))</f>
        <v>145</v>
      </c>
      <c r="L424" s="5" t="n">
        <f aca="false">H424*K424</f>
        <v>145</v>
      </c>
    </row>
    <row r="425" customFormat="false" ht="15" hidden="false" customHeight="false" outlineLevel="0" collapsed="false">
      <c r="A425" s="2" t="s">
        <v>707</v>
      </c>
      <c r="B425" s="8" t="n">
        <v>46057</v>
      </c>
      <c r="C425" s="2" t="s">
        <v>217</v>
      </c>
      <c r="D425" s="3" t="str">
        <f aca="false">INDEX(Vendedores!$C$2:$C$101,MATCH(C425,Vendedores!$A$2:$A$101,0))</f>
        <v>L09</v>
      </c>
      <c r="E425" s="3" t="str">
        <f aca="false">INDEX(Lojas!$E$2:$E$11,MATCH(D425,Lojas!$A$2:$A$11,0))</f>
        <v>Nordeste</v>
      </c>
      <c r="F425" s="2" t="s">
        <v>267</v>
      </c>
      <c r="G425" s="3" t="str">
        <f aca="false">INDEX(Produtos!$B$2:$B$11,MATCH(F425,Produtos!$A$2:$A$11,0))&amp;" "&amp;INDEX(Produtos!$C$2:$C$11,MATCH(F425,Produtos!$A$2:$A$11,0))</f>
        <v>Carregador de Celular Tipo C</v>
      </c>
      <c r="H425" s="2" t="n">
        <v>1</v>
      </c>
      <c r="I425" s="5" t="n">
        <f aca="false">INDEX(Produtos!$D$2:$D$11,MATCH(F425,Produtos!$A$2:$A$11,0))</f>
        <v>44.9</v>
      </c>
      <c r="J425" s="5" t="n">
        <f aca="false">H425*I425</f>
        <v>44.9</v>
      </c>
      <c r="K425" s="5" t="n">
        <f aca="false">INDEX(Produtos!$E$2:$E$11,MATCH(F425,Produtos!$A$2:$A$11,0))</f>
        <v>18</v>
      </c>
      <c r="L425" s="5" t="n">
        <f aca="false">H425*K425</f>
        <v>18</v>
      </c>
    </row>
    <row r="426" customFormat="false" ht="15" hidden="false" customHeight="false" outlineLevel="0" collapsed="false">
      <c r="A426" s="2" t="s">
        <v>708</v>
      </c>
      <c r="B426" s="8" t="n">
        <v>46057</v>
      </c>
      <c r="C426" s="2" t="s">
        <v>227</v>
      </c>
      <c r="D426" s="3" t="str">
        <f aca="false">INDEX(Vendedores!$C$2:$C$101,MATCH(C426,Vendedores!$A$2:$A$101,0))</f>
        <v>L10</v>
      </c>
      <c r="E426" s="3" t="str">
        <f aca="false">INDEX(Lojas!$E$2:$E$11,MATCH(D426,Lojas!$A$2:$A$11,0))</f>
        <v>Nordeste</v>
      </c>
      <c r="F426" s="2" t="s">
        <v>260</v>
      </c>
      <c r="G426" s="3" t="str">
        <f aca="false">INDEX(Produtos!$B$2:$B$11,MATCH(F426,Produtos!$A$2:$A$11,0))&amp;" "&amp;INDEX(Produtos!$C$2:$C$11,MATCH(F426,Produtos!$A$2:$A$11,0))</f>
        <v>Celular Motorola</v>
      </c>
      <c r="H426" s="2" t="n">
        <v>1</v>
      </c>
      <c r="I426" s="5" t="n">
        <f aca="false">INDEX(Produtos!$D$2:$D$11,MATCH(F426,Produtos!$A$2:$A$11,0))</f>
        <v>1799</v>
      </c>
      <c r="J426" s="5" t="n">
        <f aca="false">H426*I426</f>
        <v>1799</v>
      </c>
      <c r="K426" s="5" t="n">
        <f aca="false">INDEX(Produtos!$E$2:$E$11,MATCH(F426,Produtos!$A$2:$A$11,0))</f>
        <v>1250</v>
      </c>
      <c r="L426" s="5" t="n">
        <f aca="false">H426*K426</f>
        <v>1250</v>
      </c>
    </row>
    <row r="427" customFormat="false" ht="15" hidden="false" customHeight="false" outlineLevel="0" collapsed="false">
      <c r="A427" s="2" t="s">
        <v>709</v>
      </c>
      <c r="B427" s="8" t="n">
        <v>46057</v>
      </c>
      <c r="C427" s="2" t="s">
        <v>233</v>
      </c>
      <c r="D427" s="3" t="str">
        <f aca="false">INDEX(Vendedores!$C$2:$C$101,MATCH(C427,Vendedores!$A$2:$A$101,0))</f>
        <v>L10</v>
      </c>
      <c r="E427" s="3" t="str">
        <f aca="false">INDEX(Lojas!$E$2:$E$11,MATCH(D427,Lojas!$A$2:$A$11,0))</f>
        <v>Nordeste</v>
      </c>
      <c r="F427" s="2" t="s">
        <v>267</v>
      </c>
      <c r="G427" s="3" t="str">
        <f aca="false">INDEX(Produtos!$B$2:$B$11,MATCH(F427,Produtos!$A$2:$A$11,0))&amp;" "&amp;INDEX(Produtos!$C$2:$C$11,MATCH(F427,Produtos!$A$2:$A$11,0))</f>
        <v>Carregador de Celular Tipo C</v>
      </c>
      <c r="H427" s="2" t="n">
        <v>1</v>
      </c>
      <c r="I427" s="5" t="n">
        <f aca="false">INDEX(Produtos!$D$2:$D$11,MATCH(F427,Produtos!$A$2:$A$11,0))</f>
        <v>44.9</v>
      </c>
      <c r="J427" s="5" t="n">
        <f aca="false">H427*I427</f>
        <v>44.9</v>
      </c>
      <c r="K427" s="5" t="n">
        <f aca="false">INDEX(Produtos!$E$2:$E$11,MATCH(F427,Produtos!$A$2:$A$11,0))</f>
        <v>18</v>
      </c>
      <c r="L427" s="5" t="n">
        <f aca="false">H427*K427</f>
        <v>18</v>
      </c>
    </row>
    <row r="428" customFormat="false" ht="15" hidden="false" customHeight="false" outlineLevel="0" collapsed="false">
      <c r="A428" s="2" t="s">
        <v>710</v>
      </c>
      <c r="B428" s="8" t="n">
        <v>46057</v>
      </c>
      <c r="C428" s="2" t="s">
        <v>110</v>
      </c>
      <c r="D428" s="3" t="str">
        <f aca="false">INDEX(Vendedores!$C$2:$C$101,MATCH(C428,Vendedores!$A$2:$A$101,0))</f>
        <v>L04</v>
      </c>
      <c r="E428" s="3" t="str">
        <f aca="false">INDEX(Lojas!$E$2:$E$11,MATCH(D428,Lojas!$A$2:$A$11,0))</f>
        <v>Sudeste</v>
      </c>
      <c r="F428" s="2" t="s">
        <v>267</v>
      </c>
      <c r="G428" s="3" t="str">
        <f aca="false">INDEX(Produtos!$B$2:$B$11,MATCH(F428,Produtos!$A$2:$A$11,0))&amp;" "&amp;INDEX(Produtos!$C$2:$C$11,MATCH(F428,Produtos!$A$2:$A$11,0))</f>
        <v>Carregador de Celular Tipo C</v>
      </c>
      <c r="H428" s="2" t="n">
        <v>1</v>
      </c>
      <c r="I428" s="5" t="n">
        <f aca="false">INDEX(Produtos!$D$2:$D$11,MATCH(F428,Produtos!$A$2:$A$11,0))</f>
        <v>44.9</v>
      </c>
      <c r="J428" s="5" t="n">
        <f aca="false">H428*I428</f>
        <v>44.9</v>
      </c>
      <c r="K428" s="5" t="n">
        <f aca="false">INDEX(Produtos!$E$2:$E$11,MATCH(F428,Produtos!$A$2:$A$11,0))</f>
        <v>18</v>
      </c>
      <c r="L428" s="5" t="n">
        <f aca="false">H428*K428</f>
        <v>18</v>
      </c>
    </row>
    <row r="429" customFormat="false" ht="15" hidden="false" customHeight="false" outlineLevel="0" collapsed="false">
      <c r="A429" s="2" t="s">
        <v>711</v>
      </c>
      <c r="B429" s="8" t="n">
        <v>46057</v>
      </c>
      <c r="C429" s="2" t="s">
        <v>233</v>
      </c>
      <c r="D429" s="3" t="str">
        <f aca="false">INDEX(Vendedores!$C$2:$C$101,MATCH(C429,Vendedores!$A$2:$A$101,0))</f>
        <v>L10</v>
      </c>
      <c r="E429" s="3" t="str">
        <f aca="false">INDEX(Lojas!$E$2:$E$11,MATCH(D429,Lojas!$A$2:$A$11,0))</f>
        <v>Nordeste</v>
      </c>
      <c r="F429" s="2" t="s">
        <v>267</v>
      </c>
      <c r="G429" s="3" t="str">
        <f aca="false">INDEX(Produtos!$B$2:$B$11,MATCH(F429,Produtos!$A$2:$A$11,0))&amp;" "&amp;INDEX(Produtos!$C$2:$C$11,MATCH(F429,Produtos!$A$2:$A$11,0))</f>
        <v>Carregador de Celular Tipo C</v>
      </c>
      <c r="H429" s="2" t="n">
        <v>1</v>
      </c>
      <c r="I429" s="5" t="n">
        <f aca="false">INDEX(Produtos!$D$2:$D$11,MATCH(F429,Produtos!$A$2:$A$11,0))</f>
        <v>44.9</v>
      </c>
      <c r="J429" s="5" t="n">
        <f aca="false">H429*I429</f>
        <v>44.9</v>
      </c>
      <c r="K429" s="5" t="n">
        <f aca="false">INDEX(Produtos!$E$2:$E$11,MATCH(F429,Produtos!$A$2:$A$11,0))</f>
        <v>18</v>
      </c>
      <c r="L429" s="5" t="n">
        <f aca="false">H429*K429</f>
        <v>18</v>
      </c>
    </row>
    <row r="430" customFormat="false" ht="15" hidden="false" customHeight="false" outlineLevel="0" collapsed="false">
      <c r="A430" s="2" t="s">
        <v>712</v>
      </c>
      <c r="B430" s="8" t="n">
        <v>46057</v>
      </c>
      <c r="C430" s="2" t="s">
        <v>112</v>
      </c>
      <c r="D430" s="3" t="str">
        <f aca="false">INDEX(Vendedores!$C$2:$C$101,MATCH(C430,Vendedores!$A$2:$A$101,0))</f>
        <v>L04</v>
      </c>
      <c r="E430" s="3" t="str">
        <f aca="false">INDEX(Lojas!$E$2:$E$11,MATCH(D430,Lojas!$A$2:$A$11,0))</f>
        <v>Sudeste</v>
      </c>
      <c r="F430" s="2" t="s">
        <v>257</v>
      </c>
      <c r="G430" s="3" t="str">
        <f aca="false">INDEX(Produtos!$B$2:$B$11,MATCH(F430,Produtos!$A$2:$A$11,0))&amp;" "&amp;INDEX(Produtos!$C$2:$C$11,MATCH(F430,Produtos!$A$2:$A$11,0))</f>
        <v>Celular Samsung</v>
      </c>
      <c r="H430" s="2" t="n">
        <v>2</v>
      </c>
      <c r="I430" s="5" t="n">
        <f aca="false">INDEX(Produtos!$D$2:$D$11,MATCH(F430,Produtos!$A$2:$A$11,0))</f>
        <v>2499</v>
      </c>
      <c r="J430" s="5" t="n">
        <f aca="false">H430*I430</f>
        <v>4998</v>
      </c>
      <c r="K430" s="5" t="n">
        <f aca="false">INDEX(Produtos!$E$2:$E$11,MATCH(F430,Produtos!$A$2:$A$11,0))</f>
        <v>1800</v>
      </c>
      <c r="L430" s="5" t="n">
        <f aca="false">H430*K430</f>
        <v>3600</v>
      </c>
    </row>
    <row r="431" customFormat="false" ht="15" hidden="false" customHeight="false" outlineLevel="0" collapsed="false">
      <c r="A431" s="2" t="s">
        <v>713</v>
      </c>
      <c r="B431" s="8" t="n">
        <v>46058</v>
      </c>
      <c r="C431" s="2" t="s">
        <v>140</v>
      </c>
      <c r="D431" s="3" t="str">
        <f aca="false">INDEX(Vendedores!$C$2:$C$101,MATCH(C431,Vendedores!$A$2:$A$101,0))</f>
        <v>L05</v>
      </c>
      <c r="E431" s="3" t="str">
        <f aca="false">INDEX(Lojas!$E$2:$E$11,MATCH(D431,Lojas!$A$2:$A$11,0))</f>
        <v>Sul</v>
      </c>
      <c r="F431" s="2" t="s">
        <v>255</v>
      </c>
      <c r="G431" s="3" t="str">
        <f aca="false">INDEX(Produtos!$B$2:$B$11,MATCH(F431,Produtos!$A$2:$A$11,0))&amp;" "&amp;INDEX(Produtos!$C$2:$C$11,MATCH(F431,Produtos!$A$2:$A$11,0))</f>
        <v>Notebook Positivo</v>
      </c>
      <c r="H431" s="2" t="n">
        <v>2</v>
      </c>
      <c r="I431" s="5" t="n">
        <f aca="false">INDEX(Produtos!$D$2:$D$11,MATCH(F431,Produtos!$A$2:$A$11,0))</f>
        <v>2199</v>
      </c>
      <c r="J431" s="5" t="n">
        <f aca="false">H431*I431</f>
        <v>4398</v>
      </c>
      <c r="K431" s="5" t="n">
        <f aca="false">INDEX(Produtos!$E$2:$E$11,MATCH(F431,Produtos!$A$2:$A$11,0))</f>
        <v>1550</v>
      </c>
      <c r="L431" s="5" t="n">
        <f aca="false">H431*K431</f>
        <v>3100</v>
      </c>
    </row>
    <row r="432" customFormat="false" ht="15" hidden="false" customHeight="false" outlineLevel="0" collapsed="false">
      <c r="A432" s="2" t="s">
        <v>714</v>
      </c>
      <c r="B432" s="8" t="n">
        <v>46058</v>
      </c>
      <c r="C432" s="2" t="s">
        <v>237</v>
      </c>
      <c r="D432" s="3" t="str">
        <f aca="false">INDEX(Vendedores!$C$2:$C$101,MATCH(C432,Vendedores!$A$2:$A$101,0))</f>
        <v>L10</v>
      </c>
      <c r="E432" s="3" t="str">
        <f aca="false">INDEX(Lojas!$E$2:$E$11,MATCH(D432,Lojas!$A$2:$A$11,0))</f>
        <v>Nordeste</v>
      </c>
      <c r="F432" s="2" t="s">
        <v>273</v>
      </c>
      <c r="G432" s="3" t="str">
        <f aca="false">INDEX(Produtos!$B$2:$B$11,MATCH(F432,Produtos!$A$2:$A$11,0))&amp;" "&amp;INDEX(Produtos!$C$2:$C$11,MATCH(F432,Produtos!$A$2:$A$11,0))</f>
        <v>Controle de Videogame PS4</v>
      </c>
      <c r="H432" s="2" t="n">
        <v>1</v>
      </c>
      <c r="I432" s="5" t="n">
        <f aca="false">INDEX(Produtos!$D$2:$D$11,MATCH(F432,Produtos!$A$2:$A$11,0))</f>
        <v>299.9</v>
      </c>
      <c r="J432" s="5" t="n">
        <f aca="false">H432*I432</f>
        <v>299.9</v>
      </c>
      <c r="K432" s="5" t="n">
        <f aca="false">INDEX(Produtos!$E$2:$E$11,MATCH(F432,Produtos!$A$2:$A$11,0))</f>
        <v>175</v>
      </c>
      <c r="L432" s="5" t="n">
        <f aca="false">H432*K432</f>
        <v>175</v>
      </c>
    </row>
    <row r="433" customFormat="false" ht="15" hidden="false" customHeight="false" outlineLevel="0" collapsed="false">
      <c r="A433" s="2" t="s">
        <v>715</v>
      </c>
      <c r="B433" s="8" t="n">
        <v>46058</v>
      </c>
      <c r="C433" s="2" t="s">
        <v>239</v>
      </c>
      <c r="D433" s="3" t="str">
        <f aca="false">INDEX(Vendedores!$C$2:$C$101,MATCH(C433,Vendedores!$A$2:$A$101,0))</f>
        <v>L10</v>
      </c>
      <c r="E433" s="3" t="str">
        <f aca="false">INDEX(Lojas!$E$2:$E$11,MATCH(D433,Lojas!$A$2:$A$11,0))</f>
        <v>Nordeste</v>
      </c>
      <c r="F433" s="2" t="s">
        <v>267</v>
      </c>
      <c r="G433" s="3" t="str">
        <f aca="false">INDEX(Produtos!$B$2:$B$11,MATCH(F433,Produtos!$A$2:$A$11,0))&amp;" "&amp;INDEX(Produtos!$C$2:$C$11,MATCH(F433,Produtos!$A$2:$A$11,0))</f>
        <v>Carregador de Celular Tipo C</v>
      </c>
      <c r="H433" s="2" t="n">
        <v>1</v>
      </c>
      <c r="I433" s="5" t="n">
        <f aca="false">INDEX(Produtos!$D$2:$D$11,MATCH(F433,Produtos!$A$2:$A$11,0))</f>
        <v>44.9</v>
      </c>
      <c r="J433" s="5" t="n">
        <f aca="false">H433*I433</f>
        <v>44.9</v>
      </c>
      <c r="K433" s="5" t="n">
        <f aca="false">INDEX(Produtos!$E$2:$E$11,MATCH(F433,Produtos!$A$2:$A$11,0))</f>
        <v>18</v>
      </c>
      <c r="L433" s="5" t="n">
        <f aca="false">H433*K433</f>
        <v>18</v>
      </c>
    </row>
    <row r="434" customFormat="false" ht="15" hidden="false" customHeight="false" outlineLevel="0" collapsed="false">
      <c r="A434" s="2" t="s">
        <v>716</v>
      </c>
      <c r="B434" s="8" t="n">
        <v>46058</v>
      </c>
      <c r="C434" s="2" t="s">
        <v>140</v>
      </c>
      <c r="D434" s="3" t="str">
        <f aca="false">INDEX(Vendedores!$C$2:$C$101,MATCH(C434,Vendedores!$A$2:$A$101,0))</f>
        <v>L05</v>
      </c>
      <c r="E434" s="3" t="str">
        <f aca="false">INDEX(Lojas!$E$2:$E$11,MATCH(D434,Lojas!$A$2:$A$11,0))</f>
        <v>Sul</v>
      </c>
      <c r="F434" s="2" t="s">
        <v>270</v>
      </c>
      <c r="G434" s="3" t="str">
        <f aca="false">INDEX(Produtos!$B$2:$B$11,MATCH(F434,Produtos!$A$2:$A$11,0))&amp;" "&amp;INDEX(Produtos!$C$2:$C$11,MATCH(F434,Produtos!$A$2:$A$11,0))</f>
        <v>Controle de Videogame Xbox</v>
      </c>
      <c r="H434" s="2" t="n">
        <v>3</v>
      </c>
      <c r="I434" s="5" t="n">
        <f aca="false">INDEX(Produtos!$D$2:$D$11,MATCH(F434,Produtos!$A$2:$A$11,0))</f>
        <v>349.9</v>
      </c>
      <c r="J434" s="5" t="n">
        <f aca="false">H434*I434</f>
        <v>1049.7</v>
      </c>
      <c r="K434" s="5" t="n">
        <f aca="false">INDEX(Produtos!$E$2:$E$11,MATCH(F434,Produtos!$A$2:$A$11,0))</f>
        <v>215</v>
      </c>
      <c r="L434" s="5" t="n">
        <f aca="false">H434*K434</f>
        <v>645</v>
      </c>
    </row>
    <row r="435" customFormat="false" ht="15" hidden="false" customHeight="false" outlineLevel="0" collapsed="false">
      <c r="A435" s="2" t="s">
        <v>717</v>
      </c>
      <c r="B435" s="8" t="n">
        <v>46058</v>
      </c>
      <c r="C435" s="2" t="s">
        <v>195</v>
      </c>
      <c r="D435" s="3" t="str">
        <f aca="false">INDEX(Vendedores!$C$2:$C$101,MATCH(C435,Vendedores!$A$2:$A$101,0))</f>
        <v>L08</v>
      </c>
      <c r="E435" s="3" t="str">
        <f aca="false">INDEX(Lojas!$E$2:$E$11,MATCH(D435,Lojas!$A$2:$A$11,0))</f>
        <v>Nordeste</v>
      </c>
      <c r="F435" s="2" t="s">
        <v>260</v>
      </c>
      <c r="G435" s="3" t="str">
        <f aca="false">INDEX(Produtos!$B$2:$B$11,MATCH(F435,Produtos!$A$2:$A$11,0))&amp;" "&amp;INDEX(Produtos!$C$2:$C$11,MATCH(F435,Produtos!$A$2:$A$11,0))</f>
        <v>Celular Motorola</v>
      </c>
      <c r="H435" s="2" t="n">
        <v>1</v>
      </c>
      <c r="I435" s="5" t="n">
        <f aca="false">INDEX(Produtos!$D$2:$D$11,MATCH(F435,Produtos!$A$2:$A$11,0))</f>
        <v>1799</v>
      </c>
      <c r="J435" s="5" t="n">
        <f aca="false">H435*I435</f>
        <v>1799</v>
      </c>
      <c r="K435" s="5" t="n">
        <f aca="false">INDEX(Produtos!$E$2:$E$11,MATCH(F435,Produtos!$A$2:$A$11,0))</f>
        <v>1250</v>
      </c>
      <c r="L435" s="5" t="n">
        <f aca="false">H435*K435</f>
        <v>1250</v>
      </c>
    </row>
    <row r="436" customFormat="false" ht="15" hidden="false" customHeight="false" outlineLevel="0" collapsed="false">
      <c r="A436" s="2" t="s">
        <v>718</v>
      </c>
      <c r="B436" s="8" t="n">
        <v>46058</v>
      </c>
      <c r="C436" s="2" t="s">
        <v>114</v>
      </c>
      <c r="D436" s="3" t="str">
        <f aca="false">INDEX(Vendedores!$C$2:$C$101,MATCH(C436,Vendedores!$A$2:$A$101,0))</f>
        <v>L04</v>
      </c>
      <c r="E436" s="3" t="str">
        <f aca="false">INDEX(Lojas!$E$2:$E$11,MATCH(D436,Lojas!$A$2:$A$11,0))</f>
        <v>Sudeste</v>
      </c>
      <c r="F436" s="2" t="s">
        <v>257</v>
      </c>
      <c r="G436" s="3" t="str">
        <f aca="false">INDEX(Produtos!$B$2:$B$11,MATCH(F436,Produtos!$A$2:$A$11,0))&amp;" "&amp;INDEX(Produtos!$C$2:$C$11,MATCH(F436,Produtos!$A$2:$A$11,0))</f>
        <v>Celular Samsung</v>
      </c>
      <c r="H436" s="2" t="n">
        <v>1</v>
      </c>
      <c r="I436" s="5" t="n">
        <f aca="false">INDEX(Produtos!$D$2:$D$11,MATCH(F436,Produtos!$A$2:$A$11,0))</f>
        <v>2499</v>
      </c>
      <c r="J436" s="5" t="n">
        <f aca="false">H436*I436</f>
        <v>2499</v>
      </c>
      <c r="K436" s="5" t="n">
        <f aca="false">INDEX(Produtos!$E$2:$E$11,MATCH(F436,Produtos!$A$2:$A$11,0))</f>
        <v>1800</v>
      </c>
      <c r="L436" s="5" t="n">
        <f aca="false">H436*K436</f>
        <v>1800</v>
      </c>
    </row>
    <row r="437" customFormat="false" ht="15" hidden="false" customHeight="false" outlineLevel="0" collapsed="false">
      <c r="A437" s="2" t="s">
        <v>719</v>
      </c>
      <c r="B437" s="8" t="n">
        <v>46058</v>
      </c>
      <c r="C437" s="2" t="s">
        <v>227</v>
      </c>
      <c r="D437" s="3" t="str">
        <f aca="false">INDEX(Vendedores!$C$2:$C$101,MATCH(C437,Vendedores!$A$2:$A$101,0))</f>
        <v>L10</v>
      </c>
      <c r="E437" s="3" t="str">
        <f aca="false">INDEX(Lojas!$E$2:$E$11,MATCH(D437,Lojas!$A$2:$A$11,0))</f>
        <v>Nordeste</v>
      </c>
      <c r="F437" s="2" t="s">
        <v>255</v>
      </c>
      <c r="G437" s="3" t="str">
        <f aca="false">INDEX(Produtos!$B$2:$B$11,MATCH(F437,Produtos!$A$2:$A$11,0))&amp;" "&amp;INDEX(Produtos!$C$2:$C$11,MATCH(F437,Produtos!$A$2:$A$11,0))</f>
        <v>Notebook Positivo</v>
      </c>
      <c r="H437" s="2" t="n">
        <v>1</v>
      </c>
      <c r="I437" s="5" t="n">
        <f aca="false">INDEX(Produtos!$D$2:$D$11,MATCH(F437,Produtos!$A$2:$A$11,0))</f>
        <v>2199</v>
      </c>
      <c r="J437" s="5" t="n">
        <f aca="false">H437*I437</f>
        <v>2199</v>
      </c>
      <c r="K437" s="5" t="n">
        <f aca="false">INDEX(Produtos!$E$2:$E$11,MATCH(F437,Produtos!$A$2:$A$11,0))</f>
        <v>1550</v>
      </c>
      <c r="L437" s="5" t="n">
        <f aca="false">H437*K437</f>
        <v>1550</v>
      </c>
    </row>
    <row r="438" customFormat="false" ht="15" hidden="false" customHeight="false" outlineLevel="0" collapsed="false">
      <c r="A438" s="2" t="s">
        <v>720</v>
      </c>
      <c r="B438" s="8" t="n">
        <v>46058</v>
      </c>
      <c r="C438" s="2" t="s">
        <v>152</v>
      </c>
      <c r="D438" s="3" t="str">
        <f aca="false">INDEX(Vendedores!$C$2:$C$101,MATCH(C438,Vendedores!$A$2:$A$101,0))</f>
        <v>L06</v>
      </c>
      <c r="E438" s="3" t="str">
        <f aca="false">INDEX(Lojas!$E$2:$E$11,MATCH(D438,Lojas!$A$2:$A$11,0))</f>
        <v>Sul</v>
      </c>
      <c r="F438" s="2" t="s">
        <v>265</v>
      </c>
      <c r="G438" s="3" t="str">
        <f aca="false">INDEX(Produtos!$B$2:$B$11,MATCH(F438,Produtos!$A$2:$A$11,0))&amp;" "&amp;INDEX(Produtos!$C$2:$C$11,MATCH(F438,Produtos!$A$2:$A$11,0))</f>
        <v>Fone de Ouvido Headset</v>
      </c>
      <c r="H438" s="2" t="n">
        <v>2</v>
      </c>
      <c r="I438" s="5" t="n">
        <f aca="false">INDEX(Produtos!$D$2:$D$11,MATCH(F438,Produtos!$A$2:$A$11,0))</f>
        <v>249.9</v>
      </c>
      <c r="J438" s="5" t="n">
        <f aca="false">H438*I438</f>
        <v>499.8</v>
      </c>
      <c r="K438" s="5" t="n">
        <f aca="false">INDEX(Produtos!$E$2:$E$11,MATCH(F438,Produtos!$A$2:$A$11,0))</f>
        <v>145</v>
      </c>
      <c r="L438" s="5" t="n">
        <f aca="false">H438*K438</f>
        <v>290</v>
      </c>
    </row>
    <row r="439" customFormat="false" ht="15" hidden="false" customHeight="false" outlineLevel="0" collapsed="false">
      <c r="A439" s="2" t="s">
        <v>721</v>
      </c>
      <c r="B439" s="8" t="n">
        <v>46058</v>
      </c>
      <c r="C439" s="2" t="s">
        <v>179</v>
      </c>
      <c r="D439" s="3" t="str">
        <f aca="false">INDEX(Vendedores!$C$2:$C$101,MATCH(C439,Vendedores!$A$2:$A$101,0))</f>
        <v>L07</v>
      </c>
      <c r="E439" s="3" t="str">
        <f aca="false">INDEX(Lojas!$E$2:$E$11,MATCH(D439,Lojas!$A$2:$A$11,0))</f>
        <v>Sul</v>
      </c>
      <c r="F439" s="2" t="s">
        <v>275</v>
      </c>
      <c r="G439" s="3" t="str">
        <f aca="false">INDEX(Produtos!$B$2:$B$11,MATCH(F439,Produtos!$A$2:$A$11,0))&amp;" "&amp;INDEX(Produtos!$C$2:$C$11,MATCH(F439,Produtos!$A$2:$A$11,0))</f>
        <v>Controle de Videogame PS5</v>
      </c>
      <c r="H439" s="2" t="n">
        <v>1</v>
      </c>
      <c r="I439" s="5" t="n">
        <f aca="false">INDEX(Produtos!$D$2:$D$11,MATCH(F439,Produtos!$A$2:$A$11,0))</f>
        <v>379.9</v>
      </c>
      <c r="J439" s="5" t="n">
        <f aca="false">H439*I439</f>
        <v>379.9</v>
      </c>
      <c r="K439" s="5" t="n">
        <f aca="false">INDEX(Produtos!$E$2:$E$11,MATCH(F439,Produtos!$A$2:$A$11,0))</f>
        <v>235</v>
      </c>
      <c r="L439" s="5" t="n">
        <f aca="false">H439*K439</f>
        <v>235</v>
      </c>
    </row>
    <row r="440" customFormat="false" ht="15" hidden="false" customHeight="false" outlineLevel="0" collapsed="false">
      <c r="A440" s="2" t="s">
        <v>722</v>
      </c>
      <c r="B440" s="8" t="n">
        <v>46058</v>
      </c>
      <c r="C440" s="2" t="s">
        <v>172</v>
      </c>
      <c r="D440" s="3" t="str">
        <f aca="false">INDEX(Vendedores!$C$2:$C$101,MATCH(C440,Vendedores!$A$2:$A$101,0))</f>
        <v>L07</v>
      </c>
      <c r="E440" s="3" t="str">
        <f aca="false">INDEX(Lojas!$E$2:$E$11,MATCH(D440,Lojas!$A$2:$A$11,0))</f>
        <v>Sul</v>
      </c>
      <c r="F440" s="2" t="s">
        <v>262</v>
      </c>
      <c r="G440" s="3" t="str">
        <f aca="false">INDEX(Produtos!$B$2:$B$11,MATCH(F440,Produtos!$A$2:$A$11,0))&amp;" "&amp;INDEX(Produtos!$C$2:$C$11,MATCH(F440,Produtos!$A$2:$A$11,0))</f>
        <v>Fone de Ouvido De Celular</v>
      </c>
      <c r="H440" s="2" t="n">
        <v>1</v>
      </c>
      <c r="I440" s="5" t="n">
        <f aca="false">INDEX(Produtos!$D$2:$D$11,MATCH(F440,Produtos!$A$2:$A$11,0))</f>
        <v>59.9</v>
      </c>
      <c r="J440" s="5" t="n">
        <f aca="false">H440*I440</f>
        <v>59.9</v>
      </c>
      <c r="K440" s="5" t="n">
        <f aca="false">INDEX(Produtos!$E$2:$E$11,MATCH(F440,Produtos!$A$2:$A$11,0))</f>
        <v>28</v>
      </c>
      <c r="L440" s="5" t="n">
        <f aca="false">H440*K440</f>
        <v>28</v>
      </c>
    </row>
    <row r="441" customFormat="false" ht="15" hidden="false" customHeight="false" outlineLevel="0" collapsed="false">
      <c r="A441" s="2" t="s">
        <v>723</v>
      </c>
      <c r="B441" s="8" t="n">
        <v>46058</v>
      </c>
      <c r="C441" s="2" t="s">
        <v>164</v>
      </c>
      <c r="D441" s="3" t="str">
        <f aca="false">INDEX(Vendedores!$C$2:$C$101,MATCH(C441,Vendedores!$A$2:$A$101,0))</f>
        <v>L06</v>
      </c>
      <c r="E441" s="3" t="str">
        <f aca="false">INDEX(Lojas!$E$2:$E$11,MATCH(D441,Lojas!$A$2:$A$11,0))</f>
        <v>Sul</v>
      </c>
      <c r="F441" s="2" t="s">
        <v>257</v>
      </c>
      <c r="G441" s="3" t="str">
        <f aca="false">INDEX(Produtos!$B$2:$B$11,MATCH(F441,Produtos!$A$2:$A$11,0))&amp;" "&amp;INDEX(Produtos!$C$2:$C$11,MATCH(F441,Produtos!$A$2:$A$11,0))</f>
        <v>Celular Samsung</v>
      </c>
      <c r="H441" s="2" t="n">
        <v>1</v>
      </c>
      <c r="I441" s="5" t="n">
        <f aca="false">INDEX(Produtos!$D$2:$D$11,MATCH(F441,Produtos!$A$2:$A$11,0))</f>
        <v>2499</v>
      </c>
      <c r="J441" s="5" t="n">
        <f aca="false">H441*I441</f>
        <v>2499</v>
      </c>
      <c r="K441" s="5" t="n">
        <f aca="false">INDEX(Produtos!$E$2:$E$11,MATCH(F441,Produtos!$A$2:$A$11,0))</f>
        <v>1800</v>
      </c>
      <c r="L441" s="5" t="n">
        <f aca="false">H441*K441</f>
        <v>1800</v>
      </c>
    </row>
    <row r="442" customFormat="false" ht="15" hidden="false" customHeight="false" outlineLevel="0" collapsed="false">
      <c r="A442" s="2" t="s">
        <v>724</v>
      </c>
      <c r="B442" s="8" t="n">
        <v>46058</v>
      </c>
      <c r="C442" s="2" t="s">
        <v>179</v>
      </c>
      <c r="D442" s="3" t="str">
        <f aca="false">INDEX(Vendedores!$C$2:$C$101,MATCH(C442,Vendedores!$A$2:$A$101,0))</f>
        <v>L07</v>
      </c>
      <c r="E442" s="3" t="str">
        <f aca="false">INDEX(Lojas!$E$2:$E$11,MATCH(D442,Lojas!$A$2:$A$11,0))</f>
        <v>Sul</v>
      </c>
      <c r="F442" s="2" t="s">
        <v>275</v>
      </c>
      <c r="G442" s="3" t="str">
        <f aca="false">INDEX(Produtos!$B$2:$B$11,MATCH(F442,Produtos!$A$2:$A$11,0))&amp;" "&amp;INDEX(Produtos!$C$2:$C$11,MATCH(F442,Produtos!$A$2:$A$11,0))</f>
        <v>Controle de Videogame PS5</v>
      </c>
      <c r="H442" s="2" t="n">
        <v>2</v>
      </c>
      <c r="I442" s="5" t="n">
        <f aca="false">INDEX(Produtos!$D$2:$D$11,MATCH(F442,Produtos!$A$2:$A$11,0))</f>
        <v>379.9</v>
      </c>
      <c r="J442" s="5" t="n">
        <f aca="false">H442*I442</f>
        <v>759.8</v>
      </c>
      <c r="K442" s="5" t="n">
        <f aca="false">INDEX(Produtos!$E$2:$E$11,MATCH(F442,Produtos!$A$2:$A$11,0))</f>
        <v>235</v>
      </c>
      <c r="L442" s="5" t="n">
        <f aca="false">H442*K442</f>
        <v>470</v>
      </c>
    </row>
    <row r="443" customFormat="false" ht="15" hidden="false" customHeight="false" outlineLevel="0" collapsed="false">
      <c r="A443" s="2" t="s">
        <v>725</v>
      </c>
      <c r="B443" s="8" t="n">
        <v>46058</v>
      </c>
      <c r="C443" s="2" t="s">
        <v>122</v>
      </c>
      <c r="D443" s="3" t="str">
        <f aca="false">INDEX(Vendedores!$C$2:$C$101,MATCH(C443,Vendedores!$A$2:$A$101,0))</f>
        <v>L04</v>
      </c>
      <c r="E443" s="3" t="str">
        <f aca="false">INDEX(Lojas!$E$2:$E$11,MATCH(D443,Lojas!$A$2:$A$11,0))</f>
        <v>Sudeste</v>
      </c>
      <c r="F443" s="2" t="s">
        <v>273</v>
      </c>
      <c r="G443" s="3" t="str">
        <f aca="false">INDEX(Produtos!$B$2:$B$11,MATCH(F443,Produtos!$A$2:$A$11,0))&amp;" "&amp;INDEX(Produtos!$C$2:$C$11,MATCH(F443,Produtos!$A$2:$A$11,0))</f>
        <v>Controle de Videogame PS4</v>
      </c>
      <c r="H443" s="2" t="n">
        <v>1</v>
      </c>
      <c r="I443" s="5" t="n">
        <f aca="false">INDEX(Produtos!$D$2:$D$11,MATCH(F443,Produtos!$A$2:$A$11,0))</f>
        <v>299.9</v>
      </c>
      <c r="J443" s="5" t="n">
        <f aca="false">H443*I443</f>
        <v>299.9</v>
      </c>
      <c r="K443" s="5" t="n">
        <f aca="false">INDEX(Produtos!$E$2:$E$11,MATCH(F443,Produtos!$A$2:$A$11,0))</f>
        <v>175</v>
      </c>
      <c r="L443" s="5" t="n">
        <f aca="false">H443*K443</f>
        <v>175</v>
      </c>
    </row>
    <row r="444" customFormat="false" ht="15" hidden="false" customHeight="false" outlineLevel="0" collapsed="false">
      <c r="A444" s="2" t="s">
        <v>726</v>
      </c>
      <c r="B444" s="8" t="n">
        <v>46059</v>
      </c>
      <c r="C444" s="2" t="s">
        <v>135</v>
      </c>
      <c r="D444" s="3" t="str">
        <f aca="false">INDEX(Vendedores!$C$2:$C$101,MATCH(C444,Vendedores!$A$2:$A$101,0))</f>
        <v>L05</v>
      </c>
      <c r="E444" s="3" t="str">
        <f aca="false">INDEX(Lojas!$E$2:$E$11,MATCH(D444,Lojas!$A$2:$A$11,0))</f>
        <v>Sul</v>
      </c>
      <c r="F444" s="2" t="s">
        <v>270</v>
      </c>
      <c r="G444" s="3" t="str">
        <f aca="false">INDEX(Produtos!$B$2:$B$11,MATCH(F444,Produtos!$A$2:$A$11,0))&amp;" "&amp;INDEX(Produtos!$C$2:$C$11,MATCH(F444,Produtos!$A$2:$A$11,0))</f>
        <v>Controle de Videogame Xbox</v>
      </c>
      <c r="H444" s="2" t="n">
        <v>1</v>
      </c>
      <c r="I444" s="5" t="n">
        <f aca="false">INDEX(Produtos!$D$2:$D$11,MATCH(F444,Produtos!$A$2:$A$11,0))</f>
        <v>349.9</v>
      </c>
      <c r="J444" s="5" t="n">
        <f aca="false">H444*I444</f>
        <v>349.9</v>
      </c>
      <c r="K444" s="5" t="n">
        <f aca="false">INDEX(Produtos!$E$2:$E$11,MATCH(F444,Produtos!$A$2:$A$11,0))</f>
        <v>215</v>
      </c>
      <c r="L444" s="5" t="n">
        <f aca="false">H444*K444</f>
        <v>215</v>
      </c>
    </row>
    <row r="445" customFormat="false" ht="15" hidden="false" customHeight="false" outlineLevel="0" collapsed="false">
      <c r="A445" s="2" t="s">
        <v>727</v>
      </c>
      <c r="B445" s="8" t="n">
        <v>46059</v>
      </c>
      <c r="C445" s="2" t="s">
        <v>221</v>
      </c>
      <c r="D445" s="3" t="str">
        <f aca="false">INDEX(Vendedores!$C$2:$C$101,MATCH(C445,Vendedores!$A$2:$A$101,0))</f>
        <v>L09</v>
      </c>
      <c r="E445" s="3" t="str">
        <f aca="false">INDEX(Lojas!$E$2:$E$11,MATCH(D445,Lojas!$A$2:$A$11,0))</f>
        <v>Nordeste</v>
      </c>
      <c r="F445" s="2" t="s">
        <v>255</v>
      </c>
      <c r="G445" s="3" t="str">
        <f aca="false">INDEX(Produtos!$B$2:$B$11,MATCH(F445,Produtos!$A$2:$A$11,0))&amp;" "&amp;INDEX(Produtos!$C$2:$C$11,MATCH(F445,Produtos!$A$2:$A$11,0))</f>
        <v>Notebook Positivo</v>
      </c>
      <c r="H445" s="2" t="n">
        <v>1</v>
      </c>
      <c r="I445" s="5" t="n">
        <f aca="false">INDEX(Produtos!$D$2:$D$11,MATCH(F445,Produtos!$A$2:$A$11,0))</f>
        <v>2199</v>
      </c>
      <c r="J445" s="5" t="n">
        <f aca="false">H445*I445</f>
        <v>2199</v>
      </c>
      <c r="K445" s="5" t="n">
        <f aca="false">INDEX(Produtos!$E$2:$E$11,MATCH(F445,Produtos!$A$2:$A$11,0))</f>
        <v>1550</v>
      </c>
      <c r="L445" s="5" t="n">
        <f aca="false">H445*K445</f>
        <v>1550</v>
      </c>
    </row>
    <row r="446" customFormat="false" ht="15" hidden="false" customHeight="false" outlineLevel="0" collapsed="false">
      <c r="A446" s="2" t="s">
        <v>728</v>
      </c>
      <c r="B446" s="8" t="n">
        <v>46059</v>
      </c>
      <c r="C446" s="2" t="s">
        <v>189</v>
      </c>
      <c r="D446" s="3" t="str">
        <f aca="false">INDEX(Vendedores!$C$2:$C$101,MATCH(C446,Vendedores!$A$2:$A$101,0))</f>
        <v>L08</v>
      </c>
      <c r="E446" s="3" t="str">
        <f aca="false">INDEX(Lojas!$E$2:$E$11,MATCH(D446,Lojas!$A$2:$A$11,0))</f>
        <v>Nordeste</v>
      </c>
      <c r="F446" s="2" t="s">
        <v>255</v>
      </c>
      <c r="G446" s="3" t="str">
        <f aca="false">INDEX(Produtos!$B$2:$B$11,MATCH(F446,Produtos!$A$2:$A$11,0))&amp;" "&amp;INDEX(Produtos!$C$2:$C$11,MATCH(F446,Produtos!$A$2:$A$11,0))</f>
        <v>Notebook Positivo</v>
      </c>
      <c r="H446" s="2" t="n">
        <v>2</v>
      </c>
      <c r="I446" s="5" t="n">
        <f aca="false">INDEX(Produtos!$D$2:$D$11,MATCH(F446,Produtos!$A$2:$A$11,0))</f>
        <v>2199</v>
      </c>
      <c r="J446" s="5" t="n">
        <f aca="false">H446*I446</f>
        <v>4398</v>
      </c>
      <c r="K446" s="5" t="n">
        <f aca="false">INDEX(Produtos!$E$2:$E$11,MATCH(F446,Produtos!$A$2:$A$11,0))</f>
        <v>1550</v>
      </c>
      <c r="L446" s="5" t="n">
        <f aca="false">H446*K446</f>
        <v>3100</v>
      </c>
    </row>
    <row r="447" customFormat="false" ht="15" hidden="false" customHeight="false" outlineLevel="0" collapsed="false">
      <c r="A447" s="2" t="s">
        <v>729</v>
      </c>
      <c r="B447" s="8" t="n">
        <v>46059</v>
      </c>
      <c r="C447" s="2" t="s">
        <v>231</v>
      </c>
      <c r="D447" s="3" t="str">
        <f aca="false">INDEX(Vendedores!$C$2:$C$101,MATCH(C447,Vendedores!$A$2:$A$101,0))</f>
        <v>L10</v>
      </c>
      <c r="E447" s="3" t="str">
        <f aca="false">INDEX(Lojas!$E$2:$E$11,MATCH(D447,Lojas!$A$2:$A$11,0))</f>
        <v>Nordeste</v>
      </c>
      <c r="F447" s="2" t="s">
        <v>255</v>
      </c>
      <c r="G447" s="3" t="str">
        <f aca="false">INDEX(Produtos!$B$2:$B$11,MATCH(F447,Produtos!$A$2:$A$11,0))&amp;" "&amp;INDEX(Produtos!$C$2:$C$11,MATCH(F447,Produtos!$A$2:$A$11,0))</f>
        <v>Notebook Positivo</v>
      </c>
      <c r="H447" s="2" t="n">
        <v>1</v>
      </c>
      <c r="I447" s="5" t="n">
        <f aca="false">INDEX(Produtos!$D$2:$D$11,MATCH(F447,Produtos!$A$2:$A$11,0))</f>
        <v>2199</v>
      </c>
      <c r="J447" s="5" t="n">
        <f aca="false">H447*I447</f>
        <v>2199</v>
      </c>
      <c r="K447" s="5" t="n">
        <f aca="false">INDEX(Produtos!$E$2:$E$11,MATCH(F447,Produtos!$A$2:$A$11,0))</f>
        <v>1550</v>
      </c>
      <c r="L447" s="5" t="n">
        <f aca="false">H447*K447</f>
        <v>1550</v>
      </c>
    </row>
    <row r="448" customFormat="false" ht="15" hidden="false" customHeight="false" outlineLevel="0" collapsed="false">
      <c r="A448" s="2" t="s">
        <v>730</v>
      </c>
      <c r="B448" s="8" t="n">
        <v>46060</v>
      </c>
      <c r="C448" s="2" t="s">
        <v>122</v>
      </c>
      <c r="D448" s="3" t="str">
        <f aca="false">INDEX(Vendedores!$C$2:$C$101,MATCH(C448,Vendedores!$A$2:$A$101,0))</f>
        <v>L04</v>
      </c>
      <c r="E448" s="3" t="str">
        <f aca="false">INDEX(Lojas!$E$2:$E$11,MATCH(D448,Lojas!$A$2:$A$11,0))</f>
        <v>Sudeste</v>
      </c>
      <c r="F448" s="2" t="s">
        <v>265</v>
      </c>
      <c r="G448" s="3" t="str">
        <f aca="false">INDEX(Produtos!$B$2:$B$11,MATCH(F448,Produtos!$A$2:$A$11,0))&amp;" "&amp;INDEX(Produtos!$C$2:$C$11,MATCH(F448,Produtos!$A$2:$A$11,0))</f>
        <v>Fone de Ouvido Headset</v>
      </c>
      <c r="H448" s="2" t="n">
        <v>1</v>
      </c>
      <c r="I448" s="5" t="n">
        <f aca="false">INDEX(Produtos!$D$2:$D$11,MATCH(F448,Produtos!$A$2:$A$11,0))</f>
        <v>249.9</v>
      </c>
      <c r="J448" s="5" t="n">
        <f aca="false">H448*I448</f>
        <v>249.9</v>
      </c>
      <c r="K448" s="5" t="n">
        <f aca="false">INDEX(Produtos!$E$2:$E$11,MATCH(F448,Produtos!$A$2:$A$11,0))</f>
        <v>145</v>
      </c>
      <c r="L448" s="5" t="n">
        <f aca="false">H448*K448</f>
        <v>145</v>
      </c>
    </row>
    <row r="449" customFormat="false" ht="15" hidden="false" customHeight="false" outlineLevel="0" collapsed="false">
      <c r="A449" s="2" t="s">
        <v>731</v>
      </c>
      <c r="B449" s="8" t="n">
        <v>46060</v>
      </c>
      <c r="C449" s="2" t="s">
        <v>84</v>
      </c>
      <c r="D449" s="3" t="str">
        <f aca="false">INDEX(Vendedores!$C$2:$C$101,MATCH(C449,Vendedores!$A$2:$A$101,0))</f>
        <v>L02</v>
      </c>
      <c r="E449" s="3" t="str">
        <f aca="false">INDEX(Lojas!$E$2:$E$11,MATCH(D449,Lojas!$A$2:$A$11,0))</f>
        <v>Sudeste</v>
      </c>
      <c r="F449" s="2" t="s">
        <v>273</v>
      </c>
      <c r="G449" s="3" t="str">
        <f aca="false">INDEX(Produtos!$B$2:$B$11,MATCH(F449,Produtos!$A$2:$A$11,0))&amp;" "&amp;INDEX(Produtos!$C$2:$C$11,MATCH(F449,Produtos!$A$2:$A$11,0))</f>
        <v>Controle de Videogame PS4</v>
      </c>
      <c r="H449" s="2" t="n">
        <v>1</v>
      </c>
      <c r="I449" s="5" t="n">
        <f aca="false">INDEX(Produtos!$D$2:$D$11,MATCH(F449,Produtos!$A$2:$A$11,0))</f>
        <v>299.9</v>
      </c>
      <c r="J449" s="5" t="n">
        <f aca="false">H449*I449</f>
        <v>299.9</v>
      </c>
      <c r="K449" s="5" t="n">
        <f aca="false">INDEX(Produtos!$E$2:$E$11,MATCH(F449,Produtos!$A$2:$A$11,0))</f>
        <v>175</v>
      </c>
      <c r="L449" s="5" t="n">
        <f aca="false">H449*K449</f>
        <v>175</v>
      </c>
    </row>
    <row r="450" customFormat="false" ht="15" hidden="false" customHeight="false" outlineLevel="0" collapsed="false">
      <c r="A450" s="2" t="s">
        <v>732</v>
      </c>
      <c r="B450" s="8" t="n">
        <v>46060</v>
      </c>
      <c r="C450" s="2" t="s">
        <v>128</v>
      </c>
      <c r="D450" s="3" t="str">
        <f aca="false">INDEX(Vendedores!$C$2:$C$101,MATCH(C450,Vendedores!$A$2:$A$101,0))</f>
        <v>L04</v>
      </c>
      <c r="E450" s="3" t="str">
        <f aca="false">INDEX(Lojas!$E$2:$E$11,MATCH(D450,Lojas!$A$2:$A$11,0))</f>
        <v>Sudeste</v>
      </c>
      <c r="F450" s="2" t="s">
        <v>267</v>
      </c>
      <c r="G450" s="3" t="str">
        <f aca="false">INDEX(Produtos!$B$2:$B$11,MATCH(F450,Produtos!$A$2:$A$11,0))&amp;" "&amp;INDEX(Produtos!$C$2:$C$11,MATCH(F450,Produtos!$A$2:$A$11,0))</f>
        <v>Carregador de Celular Tipo C</v>
      </c>
      <c r="H450" s="2" t="n">
        <v>2</v>
      </c>
      <c r="I450" s="5" t="n">
        <f aca="false">INDEX(Produtos!$D$2:$D$11,MATCH(F450,Produtos!$A$2:$A$11,0))</f>
        <v>44.9</v>
      </c>
      <c r="J450" s="5" t="n">
        <f aca="false">H450*I450</f>
        <v>89.8</v>
      </c>
      <c r="K450" s="5" t="n">
        <f aca="false">INDEX(Produtos!$E$2:$E$11,MATCH(F450,Produtos!$A$2:$A$11,0))</f>
        <v>18</v>
      </c>
      <c r="L450" s="5" t="n">
        <f aca="false">H450*K450</f>
        <v>36</v>
      </c>
    </row>
    <row r="451" customFormat="false" ht="15" hidden="false" customHeight="false" outlineLevel="0" collapsed="false">
      <c r="A451" s="2" t="s">
        <v>733</v>
      </c>
      <c r="B451" s="8" t="n">
        <v>46060</v>
      </c>
      <c r="C451" s="2" t="s">
        <v>78</v>
      </c>
      <c r="D451" s="3" t="str">
        <f aca="false">INDEX(Vendedores!$C$2:$C$101,MATCH(C451,Vendedores!$A$2:$A$101,0))</f>
        <v>L02</v>
      </c>
      <c r="E451" s="3" t="str">
        <f aca="false">INDEX(Lojas!$E$2:$E$11,MATCH(D451,Lojas!$A$2:$A$11,0))</f>
        <v>Sudeste</v>
      </c>
      <c r="F451" s="2" t="s">
        <v>260</v>
      </c>
      <c r="G451" s="3" t="str">
        <f aca="false">INDEX(Produtos!$B$2:$B$11,MATCH(F451,Produtos!$A$2:$A$11,0))&amp;" "&amp;INDEX(Produtos!$C$2:$C$11,MATCH(F451,Produtos!$A$2:$A$11,0))</f>
        <v>Celular Motorola</v>
      </c>
      <c r="H451" s="2" t="n">
        <v>1</v>
      </c>
      <c r="I451" s="5" t="n">
        <f aca="false">INDEX(Produtos!$D$2:$D$11,MATCH(F451,Produtos!$A$2:$A$11,0))</f>
        <v>1799</v>
      </c>
      <c r="J451" s="5" t="n">
        <f aca="false">H451*I451</f>
        <v>1799</v>
      </c>
      <c r="K451" s="5" t="n">
        <f aca="false">INDEX(Produtos!$E$2:$E$11,MATCH(F451,Produtos!$A$2:$A$11,0))</f>
        <v>1250</v>
      </c>
      <c r="L451" s="5" t="n">
        <f aca="false">H451*K451</f>
        <v>1250</v>
      </c>
    </row>
    <row r="452" customFormat="false" ht="15" hidden="false" customHeight="false" outlineLevel="0" collapsed="false">
      <c r="A452" s="2" t="s">
        <v>734</v>
      </c>
      <c r="B452" s="8" t="n">
        <v>46060</v>
      </c>
      <c r="C452" s="2" t="s">
        <v>133</v>
      </c>
      <c r="D452" s="3" t="str">
        <f aca="false">INDEX(Vendedores!$C$2:$C$101,MATCH(C452,Vendedores!$A$2:$A$101,0))</f>
        <v>L05</v>
      </c>
      <c r="E452" s="3" t="str">
        <f aca="false">INDEX(Lojas!$E$2:$E$11,MATCH(D452,Lojas!$A$2:$A$11,0))</f>
        <v>Sul</v>
      </c>
      <c r="F452" s="2" t="s">
        <v>270</v>
      </c>
      <c r="G452" s="3" t="str">
        <f aca="false">INDEX(Produtos!$B$2:$B$11,MATCH(F452,Produtos!$A$2:$A$11,0))&amp;" "&amp;INDEX(Produtos!$C$2:$C$11,MATCH(F452,Produtos!$A$2:$A$11,0))</f>
        <v>Controle de Videogame Xbox</v>
      </c>
      <c r="H452" s="2" t="n">
        <v>1</v>
      </c>
      <c r="I452" s="5" t="n">
        <f aca="false">INDEX(Produtos!$D$2:$D$11,MATCH(F452,Produtos!$A$2:$A$11,0))</f>
        <v>349.9</v>
      </c>
      <c r="J452" s="5" t="n">
        <f aca="false">H452*I452</f>
        <v>349.9</v>
      </c>
      <c r="K452" s="5" t="n">
        <f aca="false">INDEX(Produtos!$E$2:$E$11,MATCH(F452,Produtos!$A$2:$A$11,0))</f>
        <v>215</v>
      </c>
      <c r="L452" s="5" t="n">
        <f aca="false">H452*K452</f>
        <v>215</v>
      </c>
    </row>
    <row r="453" customFormat="false" ht="15" hidden="false" customHeight="false" outlineLevel="0" collapsed="false">
      <c r="A453" s="2" t="s">
        <v>735</v>
      </c>
      <c r="B453" s="8" t="n">
        <v>46060</v>
      </c>
      <c r="C453" s="2" t="s">
        <v>201</v>
      </c>
      <c r="D453" s="3" t="str">
        <f aca="false">INDEX(Vendedores!$C$2:$C$101,MATCH(C453,Vendedores!$A$2:$A$101,0))</f>
        <v>L08</v>
      </c>
      <c r="E453" s="3" t="str">
        <f aca="false">INDEX(Lojas!$E$2:$E$11,MATCH(D453,Lojas!$A$2:$A$11,0))</f>
        <v>Nordeste</v>
      </c>
      <c r="F453" s="2" t="s">
        <v>255</v>
      </c>
      <c r="G453" s="3" t="str">
        <f aca="false">INDEX(Produtos!$B$2:$B$11,MATCH(F453,Produtos!$A$2:$A$11,0))&amp;" "&amp;INDEX(Produtos!$C$2:$C$11,MATCH(F453,Produtos!$A$2:$A$11,0))</f>
        <v>Notebook Positivo</v>
      </c>
      <c r="H453" s="2" t="n">
        <v>3</v>
      </c>
      <c r="I453" s="5" t="n">
        <f aca="false">INDEX(Produtos!$D$2:$D$11,MATCH(F453,Produtos!$A$2:$A$11,0))</f>
        <v>2199</v>
      </c>
      <c r="J453" s="5" t="n">
        <f aca="false">H453*I453</f>
        <v>6597</v>
      </c>
      <c r="K453" s="5" t="n">
        <f aca="false">INDEX(Produtos!$E$2:$E$11,MATCH(F453,Produtos!$A$2:$A$11,0))</f>
        <v>1550</v>
      </c>
      <c r="L453" s="5" t="n">
        <f aca="false">H453*K453</f>
        <v>4650</v>
      </c>
    </row>
    <row r="454" customFormat="false" ht="15" hidden="false" customHeight="false" outlineLevel="0" collapsed="false">
      <c r="A454" s="2" t="s">
        <v>736</v>
      </c>
      <c r="B454" s="8" t="n">
        <v>46060</v>
      </c>
      <c r="C454" s="2" t="s">
        <v>176</v>
      </c>
      <c r="D454" s="3" t="str">
        <f aca="false">INDEX(Vendedores!$C$2:$C$101,MATCH(C454,Vendedores!$A$2:$A$101,0))</f>
        <v>L07</v>
      </c>
      <c r="E454" s="3" t="str">
        <f aca="false">INDEX(Lojas!$E$2:$E$11,MATCH(D454,Lojas!$A$2:$A$11,0))</f>
        <v>Sul</v>
      </c>
      <c r="F454" s="2" t="s">
        <v>255</v>
      </c>
      <c r="G454" s="3" t="str">
        <f aca="false">INDEX(Produtos!$B$2:$B$11,MATCH(F454,Produtos!$A$2:$A$11,0))&amp;" "&amp;INDEX(Produtos!$C$2:$C$11,MATCH(F454,Produtos!$A$2:$A$11,0))</f>
        <v>Notebook Positivo</v>
      </c>
      <c r="H454" s="2" t="n">
        <v>2</v>
      </c>
      <c r="I454" s="5" t="n">
        <f aca="false">INDEX(Produtos!$D$2:$D$11,MATCH(F454,Produtos!$A$2:$A$11,0))</f>
        <v>2199</v>
      </c>
      <c r="J454" s="5" t="n">
        <f aca="false">H454*I454</f>
        <v>4398</v>
      </c>
      <c r="K454" s="5" t="n">
        <f aca="false">INDEX(Produtos!$E$2:$E$11,MATCH(F454,Produtos!$A$2:$A$11,0))</f>
        <v>1550</v>
      </c>
      <c r="L454" s="5" t="n">
        <f aca="false">H454*K454</f>
        <v>3100</v>
      </c>
    </row>
    <row r="455" customFormat="false" ht="15" hidden="false" customHeight="false" outlineLevel="0" collapsed="false">
      <c r="A455" s="2" t="s">
        <v>737</v>
      </c>
      <c r="B455" s="8" t="n">
        <v>46060</v>
      </c>
      <c r="C455" s="2" t="s">
        <v>131</v>
      </c>
      <c r="D455" s="3" t="str">
        <f aca="false">INDEX(Vendedores!$C$2:$C$101,MATCH(C455,Vendedores!$A$2:$A$101,0))</f>
        <v>L05</v>
      </c>
      <c r="E455" s="3" t="str">
        <f aca="false">INDEX(Lojas!$E$2:$E$11,MATCH(D455,Lojas!$A$2:$A$11,0))</f>
        <v>Sul</v>
      </c>
      <c r="F455" s="2" t="s">
        <v>270</v>
      </c>
      <c r="G455" s="3" t="str">
        <f aca="false">INDEX(Produtos!$B$2:$B$11,MATCH(F455,Produtos!$A$2:$A$11,0))&amp;" "&amp;INDEX(Produtos!$C$2:$C$11,MATCH(F455,Produtos!$A$2:$A$11,0))</f>
        <v>Controle de Videogame Xbox</v>
      </c>
      <c r="H455" s="2" t="n">
        <v>1</v>
      </c>
      <c r="I455" s="5" t="n">
        <f aca="false">INDEX(Produtos!$D$2:$D$11,MATCH(F455,Produtos!$A$2:$A$11,0))</f>
        <v>349.9</v>
      </c>
      <c r="J455" s="5" t="n">
        <f aca="false">H455*I455</f>
        <v>349.9</v>
      </c>
      <c r="K455" s="5" t="n">
        <f aca="false">INDEX(Produtos!$E$2:$E$11,MATCH(F455,Produtos!$A$2:$A$11,0))</f>
        <v>215</v>
      </c>
      <c r="L455" s="5" t="n">
        <f aca="false">H455*K455</f>
        <v>215</v>
      </c>
    </row>
    <row r="456" customFormat="false" ht="15" hidden="false" customHeight="false" outlineLevel="0" collapsed="false">
      <c r="A456" s="2" t="s">
        <v>738</v>
      </c>
      <c r="B456" s="8" t="n">
        <v>46060</v>
      </c>
      <c r="C456" s="2" t="s">
        <v>235</v>
      </c>
      <c r="D456" s="3" t="str">
        <f aca="false">INDEX(Vendedores!$C$2:$C$101,MATCH(C456,Vendedores!$A$2:$A$101,0))</f>
        <v>L10</v>
      </c>
      <c r="E456" s="3" t="str">
        <f aca="false">INDEX(Lojas!$E$2:$E$11,MATCH(D456,Lojas!$A$2:$A$11,0))</f>
        <v>Nordeste</v>
      </c>
      <c r="F456" s="2" t="s">
        <v>257</v>
      </c>
      <c r="G456" s="3" t="str">
        <f aca="false">INDEX(Produtos!$B$2:$B$11,MATCH(F456,Produtos!$A$2:$A$11,0))&amp;" "&amp;INDEX(Produtos!$C$2:$C$11,MATCH(F456,Produtos!$A$2:$A$11,0))</f>
        <v>Celular Samsung</v>
      </c>
      <c r="H456" s="2" t="n">
        <v>1</v>
      </c>
      <c r="I456" s="5" t="n">
        <f aca="false">INDEX(Produtos!$D$2:$D$11,MATCH(F456,Produtos!$A$2:$A$11,0))</f>
        <v>2499</v>
      </c>
      <c r="J456" s="5" t="n">
        <f aca="false">H456*I456</f>
        <v>2499</v>
      </c>
      <c r="K456" s="5" t="n">
        <f aca="false">INDEX(Produtos!$E$2:$E$11,MATCH(F456,Produtos!$A$2:$A$11,0))</f>
        <v>1800</v>
      </c>
      <c r="L456" s="5" t="n">
        <f aca="false">H456*K456</f>
        <v>1800</v>
      </c>
    </row>
    <row r="457" customFormat="false" ht="15" hidden="false" customHeight="false" outlineLevel="0" collapsed="false">
      <c r="A457" s="2" t="s">
        <v>739</v>
      </c>
      <c r="B457" s="8" t="n">
        <v>46060</v>
      </c>
      <c r="C457" s="2" t="s">
        <v>195</v>
      </c>
      <c r="D457" s="3" t="str">
        <f aca="false">INDEX(Vendedores!$C$2:$C$101,MATCH(C457,Vendedores!$A$2:$A$101,0))</f>
        <v>L08</v>
      </c>
      <c r="E457" s="3" t="str">
        <f aca="false">INDEX(Lojas!$E$2:$E$11,MATCH(D457,Lojas!$A$2:$A$11,0))</f>
        <v>Nordeste</v>
      </c>
      <c r="F457" s="2" t="s">
        <v>267</v>
      </c>
      <c r="G457" s="3" t="str">
        <f aca="false">INDEX(Produtos!$B$2:$B$11,MATCH(F457,Produtos!$A$2:$A$11,0))&amp;" "&amp;INDEX(Produtos!$C$2:$C$11,MATCH(F457,Produtos!$A$2:$A$11,0))</f>
        <v>Carregador de Celular Tipo C</v>
      </c>
      <c r="H457" s="2" t="n">
        <v>1</v>
      </c>
      <c r="I457" s="5" t="n">
        <f aca="false">INDEX(Produtos!$D$2:$D$11,MATCH(F457,Produtos!$A$2:$A$11,0))</f>
        <v>44.9</v>
      </c>
      <c r="J457" s="5" t="n">
        <f aca="false">H457*I457</f>
        <v>44.9</v>
      </c>
      <c r="K457" s="5" t="n">
        <f aca="false">INDEX(Produtos!$E$2:$E$11,MATCH(F457,Produtos!$A$2:$A$11,0))</f>
        <v>18</v>
      </c>
      <c r="L457" s="5" t="n">
        <f aca="false">H457*K457</f>
        <v>18</v>
      </c>
    </row>
    <row r="458" customFormat="false" ht="15" hidden="false" customHeight="false" outlineLevel="0" collapsed="false">
      <c r="A458" s="2" t="s">
        <v>740</v>
      </c>
      <c r="B458" s="8" t="n">
        <v>46060</v>
      </c>
      <c r="C458" s="2" t="s">
        <v>56</v>
      </c>
      <c r="D458" s="3" t="str">
        <f aca="false">INDEX(Vendedores!$C$2:$C$101,MATCH(C458,Vendedores!$A$2:$A$101,0))</f>
        <v>L01</v>
      </c>
      <c r="E458" s="3" t="str">
        <f aca="false">INDEX(Lojas!$E$2:$E$11,MATCH(D458,Lojas!$A$2:$A$11,0))</f>
        <v>Sudeste</v>
      </c>
      <c r="F458" s="2" t="s">
        <v>273</v>
      </c>
      <c r="G458" s="3" t="str">
        <f aca="false">INDEX(Produtos!$B$2:$B$11,MATCH(F458,Produtos!$A$2:$A$11,0))&amp;" "&amp;INDEX(Produtos!$C$2:$C$11,MATCH(F458,Produtos!$A$2:$A$11,0))</f>
        <v>Controle de Videogame PS4</v>
      </c>
      <c r="H458" s="2" t="n">
        <v>1</v>
      </c>
      <c r="I458" s="5" t="n">
        <f aca="false">INDEX(Produtos!$D$2:$D$11,MATCH(F458,Produtos!$A$2:$A$11,0))</f>
        <v>299.9</v>
      </c>
      <c r="J458" s="5" t="n">
        <f aca="false">H458*I458</f>
        <v>299.9</v>
      </c>
      <c r="K458" s="5" t="n">
        <f aca="false">INDEX(Produtos!$E$2:$E$11,MATCH(F458,Produtos!$A$2:$A$11,0))</f>
        <v>175</v>
      </c>
      <c r="L458" s="5" t="n">
        <f aca="false">H458*K458</f>
        <v>175</v>
      </c>
    </row>
    <row r="459" customFormat="false" ht="15" hidden="false" customHeight="false" outlineLevel="0" collapsed="false">
      <c r="A459" s="2" t="s">
        <v>741</v>
      </c>
      <c r="B459" s="8" t="n">
        <v>46060</v>
      </c>
      <c r="C459" s="2" t="s">
        <v>156</v>
      </c>
      <c r="D459" s="3" t="str">
        <f aca="false">INDEX(Vendedores!$C$2:$C$101,MATCH(C459,Vendedores!$A$2:$A$101,0))</f>
        <v>L06</v>
      </c>
      <c r="E459" s="3" t="str">
        <f aca="false">INDEX(Lojas!$E$2:$E$11,MATCH(D459,Lojas!$A$2:$A$11,0))</f>
        <v>Sul</v>
      </c>
      <c r="F459" s="2" t="s">
        <v>275</v>
      </c>
      <c r="G459" s="3" t="str">
        <f aca="false">INDEX(Produtos!$B$2:$B$11,MATCH(F459,Produtos!$A$2:$A$11,0))&amp;" "&amp;INDEX(Produtos!$C$2:$C$11,MATCH(F459,Produtos!$A$2:$A$11,0))</f>
        <v>Controle de Videogame PS5</v>
      </c>
      <c r="H459" s="2" t="n">
        <v>1</v>
      </c>
      <c r="I459" s="5" t="n">
        <f aca="false">INDEX(Produtos!$D$2:$D$11,MATCH(F459,Produtos!$A$2:$A$11,0))</f>
        <v>379.9</v>
      </c>
      <c r="J459" s="5" t="n">
        <f aca="false">H459*I459</f>
        <v>379.9</v>
      </c>
      <c r="K459" s="5" t="n">
        <f aca="false">INDEX(Produtos!$E$2:$E$11,MATCH(F459,Produtos!$A$2:$A$11,0))</f>
        <v>235</v>
      </c>
      <c r="L459" s="5" t="n">
        <f aca="false">H459*K459</f>
        <v>235</v>
      </c>
    </row>
    <row r="460" customFormat="false" ht="15" hidden="false" customHeight="false" outlineLevel="0" collapsed="false">
      <c r="A460" s="2" t="s">
        <v>742</v>
      </c>
      <c r="B460" s="8" t="n">
        <v>46060</v>
      </c>
      <c r="C460" s="2" t="s">
        <v>223</v>
      </c>
      <c r="D460" s="3" t="str">
        <f aca="false">INDEX(Vendedores!$C$2:$C$101,MATCH(C460,Vendedores!$A$2:$A$101,0))</f>
        <v>L09</v>
      </c>
      <c r="E460" s="3" t="str">
        <f aca="false">INDEX(Lojas!$E$2:$E$11,MATCH(D460,Lojas!$A$2:$A$11,0))</f>
        <v>Nordeste</v>
      </c>
      <c r="F460" s="2" t="s">
        <v>275</v>
      </c>
      <c r="G460" s="3" t="str">
        <f aca="false">INDEX(Produtos!$B$2:$B$11,MATCH(F460,Produtos!$A$2:$A$11,0))&amp;" "&amp;INDEX(Produtos!$C$2:$C$11,MATCH(F460,Produtos!$A$2:$A$11,0))</f>
        <v>Controle de Videogame PS5</v>
      </c>
      <c r="H460" s="2" t="n">
        <v>1</v>
      </c>
      <c r="I460" s="5" t="n">
        <f aca="false">INDEX(Produtos!$D$2:$D$11,MATCH(F460,Produtos!$A$2:$A$11,0))</f>
        <v>379.9</v>
      </c>
      <c r="J460" s="5" t="n">
        <f aca="false">H460*I460</f>
        <v>379.9</v>
      </c>
      <c r="K460" s="5" t="n">
        <f aca="false">INDEX(Produtos!$E$2:$E$11,MATCH(F460,Produtos!$A$2:$A$11,0))</f>
        <v>235</v>
      </c>
      <c r="L460" s="5" t="n">
        <f aca="false">H460*K460</f>
        <v>235</v>
      </c>
    </row>
    <row r="461" customFormat="false" ht="15" hidden="false" customHeight="false" outlineLevel="0" collapsed="false">
      <c r="A461" s="2" t="s">
        <v>743</v>
      </c>
      <c r="B461" s="8" t="n">
        <v>46060</v>
      </c>
      <c r="C461" s="2" t="s">
        <v>90</v>
      </c>
      <c r="D461" s="3" t="str">
        <f aca="false">INDEX(Vendedores!$C$2:$C$101,MATCH(C461,Vendedores!$A$2:$A$101,0))</f>
        <v>L03</v>
      </c>
      <c r="E461" s="3" t="str">
        <f aca="false">INDEX(Lojas!$E$2:$E$11,MATCH(D461,Lojas!$A$2:$A$11,0))</f>
        <v>Sudeste</v>
      </c>
      <c r="F461" s="2" t="s">
        <v>262</v>
      </c>
      <c r="G461" s="3" t="str">
        <f aca="false">INDEX(Produtos!$B$2:$B$11,MATCH(F461,Produtos!$A$2:$A$11,0))&amp;" "&amp;INDEX(Produtos!$C$2:$C$11,MATCH(F461,Produtos!$A$2:$A$11,0))</f>
        <v>Fone de Ouvido De Celular</v>
      </c>
      <c r="H461" s="2" t="n">
        <v>1</v>
      </c>
      <c r="I461" s="5" t="n">
        <f aca="false">INDEX(Produtos!$D$2:$D$11,MATCH(F461,Produtos!$A$2:$A$11,0))</f>
        <v>59.9</v>
      </c>
      <c r="J461" s="5" t="n">
        <f aca="false">H461*I461</f>
        <v>59.9</v>
      </c>
      <c r="K461" s="5" t="n">
        <f aca="false">INDEX(Produtos!$E$2:$E$11,MATCH(F461,Produtos!$A$2:$A$11,0))</f>
        <v>28</v>
      </c>
      <c r="L461" s="5" t="n">
        <f aca="false">H461*K461</f>
        <v>28</v>
      </c>
    </row>
    <row r="462" customFormat="false" ht="15" hidden="false" customHeight="false" outlineLevel="0" collapsed="false">
      <c r="A462" s="2" t="s">
        <v>744</v>
      </c>
      <c r="B462" s="8" t="n">
        <v>46060</v>
      </c>
      <c r="C462" s="2" t="s">
        <v>237</v>
      </c>
      <c r="D462" s="3" t="str">
        <f aca="false">INDEX(Vendedores!$C$2:$C$101,MATCH(C462,Vendedores!$A$2:$A$101,0))</f>
        <v>L10</v>
      </c>
      <c r="E462" s="3" t="str">
        <f aca="false">INDEX(Lojas!$E$2:$E$11,MATCH(D462,Lojas!$A$2:$A$11,0))</f>
        <v>Nordeste</v>
      </c>
      <c r="F462" s="2" t="s">
        <v>255</v>
      </c>
      <c r="G462" s="3" t="str">
        <f aca="false">INDEX(Produtos!$B$2:$B$11,MATCH(F462,Produtos!$A$2:$A$11,0))&amp;" "&amp;INDEX(Produtos!$C$2:$C$11,MATCH(F462,Produtos!$A$2:$A$11,0))</f>
        <v>Notebook Positivo</v>
      </c>
      <c r="H462" s="2" t="n">
        <v>1</v>
      </c>
      <c r="I462" s="5" t="n">
        <f aca="false">INDEX(Produtos!$D$2:$D$11,MATCH(F462,Produtos!$A$2:$A$11,0))</f>
        <v>2199</v>
      </c>
      <c r="J462" s="5" t="n">
        <f aca="false">H462*I462</f>
        <v>2199</v>
      </c>
      <c r="K462" s="5" t="n">
        <f aca="false">INDEX(Produtos!$E$2:$E$11,MATCH(F462,Produtos!$A$2:$A$11,0))</f>
        <v>1550</v>
      </c>
      <c r="L462" s="5" t="n">
        <f aca="false">H462*K462</f>
        <v>1550</v>
      </c>
    </row>
    <row r="463" customFormat="false" ht="15" hidden="false" customHeight="false" outlineLevel="0" collapsed="false">
      <c r="A463" s="2" t="s">
        <v>745</v>
      </c>
      <c r="B463" s="8" t="n">
        <v>46060</v>
      </c>
      <c r="C463" s="2" t="s">
        <v>233</v>
      </c>
      <c r="D463" s="3" t="str">
        <f aca="false">INDEX(Vendedores!$C$2:$C$101,MATCH(C463,Vendedores!$A$2:$A$101,0))</f>
        <v>L10</v>
      </c>
      <c r="E463" s="3" t="str">
        <f aca="false">INDEX(Lojas!$E$2:$E$11,MATCH(D463,Lojas!$A$2:$A$11,0))</f>
        <v>Nordeste</v>
      </c>
      <c r="F463" s="2" t="s">
        <v>267</v>
      </c>
      <c r="G463" s="3" t="str">
        <f aca="false">INDEX(Produtos!$B$2:$B$11,MATCH(F463,Produtos!$A$2:$A$11,0))&amp;" "&amp;INDEX(Produtos!$C$2:$C$11,MATCH(F463,Produtos!$A$2:$A$11,0))</f>
        <v>Carregador de Celular Tipo C</v>
      </c>
      <c r="H463" s="2" t="n">
        <v>1</v>
      </c>
      <c r="I463" s="5" t="n">
        <f aca="false">INDEX(Produtos!$D$2:$D$11,MATCH(F463,Produtos!$A$2:$A$11,0))</f>
        <v>44.9</v>
      </c>
      <c r="J463" s="5" t="n">
        <f aca="false">H463*I463</f>
        <v>44.9</v>
      </c>
      <c r="K463" s="5" t="n">
        <f aca="false">INDEX(Produtos!$E$2:$E$11,MATCH(F463,Produtos!$A$2:$A$11,0))</f>
        <v>18</v>
      </c>
      <c r="L463" s="5" t="n">
        <f aca="false">H463*K463</f>
        <v>18</v>
      </c>
    </row>
    <row r="464" customFormat="false" ht="15" hidden="false" customHeight="false" outlineLevel="0" collapsed="false">
      <c r="A464" s="2" t="s">
        <v>746</v>
      </c>
      <c r="B464" s="8" t="n">
        <v>46060</v>
      </c>
      <c r="C464" s="2" t="s">
        <v>180</v>
      </c>
      <c r="D464" s="3" t="str">
        <f aca="false">INDEX(Vendedores!$C$2:$C$101,MATCH(C464,Vendedores!$A$2:$A$101,0))</f>
        <v>L07</v>
      </c>
      <c r="E464" s="3" t="str">
        <f aca="false">INDEX(Lojas!$E$2:$E$11,MATCH(D464,Lojas!$A$2:$A$11,0))</f>
        <v>Sul</v>
      </c>
      <c r="F464" s="2" t="s">
        <v>275</v>
      </c>
      <c r="G464" s="3" t="str">
        <f aca="false">INDEX(Produtos!$B$2:$B$11,MATCH(F464,Produtos!$A$2:$A$11,0))&amp;" "&amp;INDEX(Produtos!$C$2:$C$11,MATCH(F464,Produtos!$A$2:$A$11,0))</f>
        <v>Controle de Videogame PS5</v>
      </c>
      <c r="H464" s="2" t="n">
        <v>1</v>
      </c>
      <c r="I464" s="5" t="n">
        <f aca="false">INDEX(Produtos!$D$2:$D$11,MATCH(F464,Produtos!$A$2:$A$11,0))</f>
        <v>379.9</v>
      </c>
      <c r="J464" s="5" t="n">
        <f aca="false">H464*I464</f>
        <v>379.9</v>
      </c>
      <c r="K464" s="5" t="n">
        <f aca="false">INDEX(Produtos!$E$2:$E$11,MATCH(F464,Produtos!$A$2:$A$11,0))</f>
        <v>235</v>
      </c>
      <c r="L464" s="5" t="n">
        <f aca="false">H464*K464</f>
        <v>235</v>
      </c>
    </row>
    <row r="465" customFormat="false" ht="15" hidden="false" customHeight="false" outlineLevel="0" collapsed="false">
      <c r="A465" s="2" t="s">
        <v>747</v>
      </c>
      <c r="B465" s="8" t="n">
        <v>46060</v>
      </c>
      <c r="C465" s="2" t="s">
        <v>114</v>
      </c>
      <c r="D465" s="3" t="str">
        <f aca="false">INDEX(Vendedores!$C$2:$C$101,MATCH(C465,Vendedores!$A$2:$A$101,0))</f>
        <v>L04</v>
      </c>
      <c r="E465" s="3" t="str">
        <f aca="false">INDEX(Lojas!$E$2:$E$11,MATCH(D465,Lojas!$A$2:$A$11,0))</f>
        <v>Sudeste</v>
      </c>
      <c r="F465" s="2" t="s">
        <v>257</v>
      </c>
      <c r="G465" s="3" t="str">
        <f aca="false">INDEX(Produtos!$B$2:$B$11,MATCH(F465,Produtos!$A$2:$A$11,0))&amp;" "&amp;INDEX(Produtos!$C$2:$C$11,MATCH(F465,Produtos!$A$2:$A$11,0))</f>
        <v>Celular Samsung</v>
      </c>
      <c r="H465" s="2" t="n">
        <v>2</v>
      </c>
      <c r="I465" s="5" t="n">
        <f aca="false">INDEX(Produtos!$D$2:$D$11,MATCH(F465,Produtos!$A$2:$A$11,0))</f>
        <v>2499</v>
      </c>
      <c r="J465" s="5" t="n">
        <f aca="false">H465*I465</f>
        <v>4998</v>
      </c>
      <c r="K465" s="5" t="n">
        <f aca="false">INDEX(Produtos!$E$2:$E$11,MATCH(F465,Produtos!$A$2:$A$11,0))</f>
        <v>1800</v>
      </c>
      <c r="L465" s="5" t="n">
        <f aca="false">H465*K465</f>
        <v>3600</v>
      </c>
    </row>
    <row r="466" customFormat="false" ht="15" hidden="false" customHeight="false" outlineLevel="0" collapsed="false">
      <c r="A466" s="2" t="s">
        <v>748</v>
      </c>
      <c r="B466" s="8" t="n">
        <v>46060</v>
      </c>
      <c r="C466" s="2" t="s">
        <v>112</v>
      </c>
      <c r="D466" s="3" t="str">
        <f aca="false">INDEX(Vendedores!$C$2:$C$101,MATCH(C466,Vendedores!$A$2:$A$101,0))</f>
        <v>L04</v>
      </c>
      <c r="E466" s="3" t="str">
        <f aca="false">INDEX(Lojas!$E$2:$E$11,MATCH(D466,Lojas!$A$2:$A$11,0))</f>
        <v>Sudeste</v>
      </c>
      <c r="F466" s="2" t="s">
        <v>273</v>
      </c>
      <c r="G466" s="3" t="str">
        <f aca="false">INDEX(Produtos!$B$2:$B$11,MATCH(F466,Produtos!$A$2:$A$11,0))&amp;" "&amp;INDEX(Produtos!$C$2:$C$11,MATCH(F466,Produtos!$A$2:$A$11,0))</f>
        <v>Controle de Videogame PS4</v>
      </c>
      <c r="H466" s="2" t="n">
        <v>3</v>
      </c>
      <c r="I466" s="5" t="n">
        <f aca="false">INDEX(Produtos!$D$2:$D$11,MATCH(F466,Produtos!$A$2:$A$11,0))</f>
        <v>299.9</v>
      </c>
      <c r="J466" s="5" t="n">
        <f aca="false">H466*I466</f>
        <v>899.7</v>
      </c>
      <c r="K466" s="5" t="n">
        <f aca="false">INDEX(Produtos!$E$2:$E$11,MATCH(F466,Produtos!$A$2:$A$11,0))</f>
        <v>175</v>
      </c>
      <c r="L466" s="5" t="n">
        <f aca="false">H466*K466</f>
        <v>525</v>
      </c>
    </row>
    <row r="467" customFormat="false" ht="15" hidden="false" customHeight="false" outlineLevel="0" collapsed="false">
      <c r="A467" s="2" t="s">
        <v>749</v>
      </c>
      <c r="B467" s="8" t="n">
        <v>46060</v>
      </c>
      <c r="C467" s="2" t="s">
        <v>120</v>
      </c>
      <c r="D467" s="3" t="str">
        <f aca="false">INDEX(Vendedores!$C$2:$C$101,MATCH(C467,Vendedores!$A$2:$A$101,0))</f>
        <v>L04</v>
      </c>
      <c r="E467" s="3" t="str">
        <f aca="false">INDEX(Lojas!$E$2:$E$11,MATCH(D467,Lojas!$A$2:$A$11,0))</f>
        <v>Sudeste</v>
      </c>
      <c r="F467" s="2" t="s">
        <v>252</v>
      </c>
      <c r="G467" s="3" t="str">
        <f aca="false">INDEX(Produtos!$B$2:$B$11,MATCH(F467,Produtos!$A$2:$A$11,0))&amp;" "&amp;INDEX(Produtos!$C$2:$C$11,MATCH(F467,Produtos!$A$2:$A$11,0))</f>
        <v>Notebook Lenovo</v>
      </c>
      <c r="H467" s="2" t="n">
        <v>1</v>
      </c>
      <c r="I467" s="5" t="n">
        <f aca="false">INDEX(Produtos!$D$2:$D$11,MATCH(F467,Produtos!$A$2:$A$11,0))</f>
        <v>3199</v>
      </c>
      <c r="J467" s="5" t="n">
        <f aca="false">H467*I467</f>
        <v>3199</v>
      </c>
      <c r="K467" s="5" t="n">
        <f aca="false">INDEX(Produtos!$E$2:$E$11,MATCH(F467,Produtos!$A$2:$A$11,0))</f>
        <v>2350</v>
      </c>
      <c r="L467" s="5" t="n">
        <f aca="false">H467*K467</f>
        <v>2350</v>
      </c>
    </row>
    <row r="468" customFormat="false" ht="15" hidden="false" customHeight="false" outlineLevel="0" collapsed="false">
      <c r="A468" s="2" t="s">
        <v>750</v>
      </c>
      <c r="B468" s="8" t="n">
        <v>46061</v>
      </c>
      <c r="C468" s="2" t="s">
        <v>170</v>
      </c>
      <c r="D468" s="3" t="str">
        <f aca="false">INDEX(Vendedores!$C$2:$C$101,MATCH(C468,Vendedores!$A$2:$A$101,0))</f>
        <v>L07</v>
      </c>
      <c r="E468" s="3" t="str">
        <f aca="false">INDEX(Lojas!$E$2:$E$11,MATCH(D468,Lojas!$A$2:$A$11,0))</f>
        <v>Sul</v>
      </c>
      <c r="F468" s="2" t="s">
        <v>270</v>
      </c>
      <c r="G468" s="3" t="str">
        <f aca="false">INDEX(Produtos!$B$2:$B$11,MATCH(F468,Produtos!$A$2:$A$11,0))&amp;" "&amp;INDEX(Produtos!$C$2:$C$11,MATCH(F468,Produtos!$A$2:$A$11,0))</f>
        <v>Controle de Videogame Xbox</v>
      </c>
      <c r="H468" s="2" t="n">
        <v>1</v>
      </c>
      <c r="I468" s="5" t="n">
        <f aca="false">INDEX(Produtos!$D$2:$D$11,MATCH(F468,Produtos!$A$2:$A$11,0))</f>
        <v>349.9</v>
      </c>
      <c r="J468" s="5" t="n">
        <f aca="false">H468*I468</f>
        <v>349.9</v>
      </c>
      <c r="K468" s="5" t="n">
        <f aca="false">INDEX(Produtos!$E$2:$E$11,MATCH(F468,Produtos!$A$2:$A$11,0))</f>
        <v>215</v>
      </c>
      <c r="L468" s="5" t="n">
        <f aca="false">H468*K468</f>
        <v>215</v>
      </c>
    </row>
    <row r="469" customFormat="false" ht="15" hidden="false" customHeight="false" outlineLevel="0" collapsed="false">
      <c r="A469" s="2" t="s">
        <v>751</v>
      </c>
      <c r="B469" s="8" t="n">
        <v>46061</v>
      </c>
      <c r="C469" s="2" t="s">
        <v>219</v>
      </c>
      <c r="D469" s="3" t="str">
        <f aca="false">INDEX(Vendedores!$C$2:$C$101,MATCH(C469,Vendedores!$A$2:$A$101,0))</f>
        <v>L09</v>
      </c>
      <c r="E469" s="3" t="str">
        <f aca="false">INDEX(Lojas!$E$2:$E$11,MATCH(D469,Lojas!$A$2:$A$11,0))</f>
        <v>Nordeste</v>
      </c>
      <c r="F469" s="2" t="s">
        <v>270</v>
      </c>
      <c r="G469" s="3" t="str">
        <f aca="false">INDEX(Produtos!$B$2:$B$11,MATCH(F469,Produtos!$A$2:$A$11,0))&amp;" "&amp;INDEX(Produtos!$C$2:$C$11,MATCH(F469,Produtos!$A$2:$A$11,0))</f>
        <v>Controle de Videogame Xbox</v>
      </c>
      <c r="H469" s="2" t="n">
        <v>2</v>
      </c>
      <c r="I469" s="5" t="n">
        <f aca="false">INDEX(Produtos!$D$2:$D$11,MATCH(F469,Produtos!$A$2:$A$11,0))</f>
        <v>349.9</v>
      </c>
      <c r="J469" s="5" t="n">
        <f aca="false">H469*I469</f>
        <v>699.8</v>
      </c>
      <c r="K469" s="5" t="n">
        <f aca="false">INDEX(Produtos!$E$2:$E$11,MATCH(F469,Produtos!$A$2:$A$11,0))</f>
        <v>215</v>
      </c>
      <c r="L469" s="5" t="n">
        <f aca="false">H469*K469</f>
        <v>430</v>
      </c>
    </row>
    <row r="470" customFormat="false" ht="15" hidden="false" customHeight="false" outlineLevel="0" collapsed="false">
      <c r="A470" s="2" t="s">
        <v>752</v>
      </c>
      <c r="B470" s="8" t="n">
        <v>46061</v>
      </c>
      <c r="C470" s="2" t="s">
        <v>182</v>
      </c>
      <c r="D470" s="3" t="str">
        <f aca="false">INDEX(Vendedores!$C$2:$C$101,MATCH(C470,Vendedores!$A$2:$A$101,0))</f>
        <v>L07</v>
      </c>
      <c r="E470" s="3" t="str">
        <f aca="false">INDEX(Lojas!$E$2:$E$11,MATCH(D470,Lojas!$A$2:$A$11,0))</f>
        <v>Sul</v>
      </c>
      <c r="F470" s="2" t="s">
        <v>275</v>
      </c>
      <c r="G470" s="3" t="str">
        <f aca="false">INDEX(Produtos!$B$2:$B$11,MATCH(F470,Produtos!$A$2:$A$11,0))&amp;" "&amp;INDEX(Produtos!$C$2:$C$11,MATCH(F470,Produtos!$A$2:$A$11,0))</f>
        <v>Controle de Videogame PS5</v>
      </c>
      <c r="H470" s="2" t="n">
        <v>2</v>
      </c>
      <c r="I470" s="5" t="n">
        <f aca="false">INDEX(Produtos!$D$2:$D$11,MATCH(F470,Produtos!$A$2:$A$11,0))</f>
        <v>379.9</v>
      </c>
      <c r="J470" s="5" t="n">
        <f aca="false">H470*I470</f>
        <v>759.8</v>
      </c>
      <c r="K470" s="5" t="n">
        <f aca="false">INDEX(Produtos!$E$2:$E$11,MATCH(F470,Produtos!$A$2:$A$11,0))</f>
        <v>235</v>
      </c>
      <c r="L470" s="5" t="n">
        <f aca="false">H470*K470</f>
        <v>470</v>
      </c>
    </row>
    <row r="471" customFormat="false" ht="15" hidden="false" customHeight="false" outlineLevel="0" collapsed="false">
      <c r="A471" s="2" t="s">
        <v>753</v>
      </c>
      <c r="B471" s="8" t="n">
        <v>46061</v>
      </c>
      <c r="C471" s="2" t="s">
        <v>205</v>
      </c>
      <c r="D471" s="3" t="str">
        <f aca="false">INDEX(Vendedores!$C$2:$C$101,MATCH(C471,Vendedores!$A$2:$A$101,0))</f>
        <v>L09</v>
      </c>
      <c r="E471" s="3" t="str">
        <f aca="false">INDEX(Lojas!$E$2:$E$11,MATCH(D471,Lojas!$A$2:$A$11,0))</f>
        <v>Nordeste</v>
      </c>
      <c r="F471" s="2" t="s">
        <v>255</v>
      </c>
      <c r="G471" s="3" t="str">
        <f aca="false">INDEX(Produtos!$B$2:$B$11,MATCH(F471,Produtos!$A$2:$A$11,0))&amp;" "&amp;INDEX(Produtos!$C$2:$C$11,MATCH(F471,Produtos!$A$2:$A$11,0))</f>
        <v>Notebook Positivo</v>
      </c>
      <c r="H471" s="2" t="n">
        <v>1</v>
      </c>
      <c r="I471" s="5" t="n">
        <f aca="false">INDEX(Produtos!$D$2:$D$11,MATCH(F471,Produtos!$A$2:$A$11,0))</f>
        <v>2199</v>
      </c>
      <c r="J471" s="5" t="n">
        <f aca="false">H471*I471</f>
        <v>2199</v>
      </c>
      <c r="K471" s="5" t="n">
        <f aca="false">INDEX(Produtos!$E$2:$E$11,MATCH(F471,Produtos!$A$2:$A$11,0))</f>
        <v>1550</v>
      </c>
      <c r="L471" s="5" t="n">
        <f aca="false">H471*K471</f>
        <v>1550</v>
      </c>
    </row>
    <row r="472" customFormat="false" ht="15" hidden="false" customHeight="false" outlineLevel="0" collapsed="false">
      <c r="A472" s="2" t="s">
        <v>754</v>
      </c>
      <c r="B472" s="8" t="n">
        <v>46061</v>
      </c>
      <c r="C472" s="2" t="s">
        <v>112</v>
      </c>
      <c r="D472" s="3" t="str">
        <f aca="false">INDEX(Vendedores!$C$2:$C$101,MATCH(C472,Vendedores!$A$2:$A$101,0))</f>
        <v>L04</v>
      </c>
      <c r="E472" s="3" t="str">
        <f aca="false">INDEX(Lojas!$E$2:$E$11,MATCH(D472,Lojas!$A$2:$A$11,0))</f>
        <v>Sudeste</v>
      </c>
      <c r="F472" s="2" t="s">
        <v>273</v>
      </c>
      <c r="G472" s="3" t="str">
        <f aca="false">INDEX(Produtos!$B$2:$B$11,MATCH(F472,Produtos!$A$2:$A$11,0))&amp;" "&amp;INDEX(Produtos!$C$2:$C$11,MATCH(F472,Produtos!$A$2:$A$11,0))</f>
        <v>Controle de Videogame PS4</v>
      </c>
      <c r="H472" s="2" t="n">
        <v>1</v>
      </c>
      <c r="I472" s="5" t="n">
        <f aca="false">INDEX(Produtos!$D$2:$D$11,MATCH(F472,Produtos!$A$2:$A$11,0))</f>
        <v>299.9</v>
      </c>
      <c r="J472" s="5" t="n">
        <f aca="false">H472*I472</f>
        <v>299.9</v>
      </c>
      <c r="K472" s="5" t="n">
        <f aca="false">INDEX(Produtos!$E$2:$E$11,MATCH(F472,Produtos!$A$2:$A$11,0))</f>
        <v>175</v>
      </c>
      <c r="L472" s="5" t="n">
        <f aca="false">H472*K472</f>
        <v>175</v>
      </c>
    </row>
    <row r="473" customFormat="false" ht="15" hidden="false" customHeight="false" outlineLevel="0" collapsed="false">
      <c r="A473" s="2" t="s">
        <v>755</v>
      </c>
      <c r="B473" s="8" t="n">
        <v>46061</v>
      </c>
      <c r="C473" s="2" t="s">
        <v>231</v>
      </c>
      <c r="D473" s="3" t="str">
        <f aca="false">INDEX(Vendedores!$C$2:$C$101,MATCH(C473,Vendedores!$A$2:$A$101,0))</f>
        <v>L10</v>
      </c>
      <c r="E473" s="3" t="str">
        <f aca="false">INDEX(Lojas!$E$2:$E$11,MATCH(D473,Lojas!$A$2:$A$11,0))</f>
        <v>Nordeste</v>
      </c>
      <c r="F473" s="2" t="s">
        <v>267</v>
      </c>
      <c r="G473" s="3" t="str">
        <f aca="false">INDEX(Produtos!$B$2:$B$11,MATCH(F473,Produtos!$A$2:$A$11,0))&amp;" "&amp;INDEX(Produtos!$C$2:$C$11,MATCH(F473,Produtos!$A$2:$A$11,0))</f>
        <v>Carregador de Celular Tipo C</v>
      </c>
      <c r="H473" s="2" t="n">
        <v>1</v>
      </c>
      <c r="I473" s="5" t="n">
        <f aca="false">INDEX(Produtos!$D$2:$D$11,MATCH(F473,Produtos!$A$2:$A$11,0))</f>
        <v>44.9</v>
      </c>
      <c r="J473" s="5" t="n">
        <f aca="false">H473*I473</f>
        <v>44.9</v>
      </c>
      <c r="K473" s="5" t="n">
        <f aca="false">INDEX(Produtos!$E$2:$E$11,MATCH(F473,Produtos!$A$2:$A$11,0))</f>
        <v>18</v>
      </c>
      <c r="L473" s="5" t="n">
        <f aca="false">H473*K473</f>
        <v>18</v>
      </c>
    </row>
    <row r="474" customFormat="false" ht="15" hidden="false" customHeight="false" outlineLevel="0" collapsed="false">
      <c r="A474" s="2" t="s">
        <v>756</v>
      </c>
      <c r="B474" s="8" t="n">
        <v>46061</v>
      </c>
      <c r="C474" s="2" t="s">
        <v>82</v>
      </c>
      <c r="D474" s="3" t="str">
        <f aca="false">INDEX(Vendedores!$C$2:$C$101,MATCH(C474,Vendedores!$A$2:$A$101,0))</f>
        <v>L02</v>
      </c>
      <c r="E474" s="3" t="str">
        <f aca="false">INDEX(Lojas!$E$2:$E$11,MATCH(D474,Lojas!$A$2:$A$11,0))</f>
        <v>Sudeste</v>
      </c>
      <c r="F474" s="2" t="s">
        <v>273</v>
      </c>
      <c r="G474" s="3" t="str">
        <f aca="false">INDEX(Produtos!$B$2:$B$11,MATCH(F474,Produtos!$A$2:$A$11,0))&amp;" "&amp;INDEX(Produtos!$C$2:$C$11,MATCH(F474,Produtos!$A$2:$A$11,0))</f>
        <v>Controle de Videogame PS4</v>
      </c>
      <c r="H474" s="2" t="n">
        <v>1</v>
      </c>
      <c r="I474" s="5" t="n">
        <f aca="false">INDEX(Produtos!$D$2:$D$11,MATCH(F474,Produtos!$A$2:$A$11,0))</f>
        <v>299.9</v>
      </c>
      <c r="J474" s="5" t="n">
        <f aca="false">H474*I474</f>
        <v>299.9</v>
      </c>
      <c r="K474" s="5" t="n">
        <f aca="false">INDEX(Produtos!$E$2:$E$11,MATCH(F474,Produtos!$A$2:$A$11,0))</f>
        <v>175</v>
      </c>
      <c r="L474" s="5" t="n">
        <f aca="false">H474*K474</f>
        <v>175</v>
      </c>
    </row>
    <row r="475" customFormat="false" ht="15" hidden="false" customHeight="false" outlineLevel="0" collapsed="false">
      <c r="A475" s="2" t="s">
        <v>757</v>
      </c>
      <c r="B475" s="8" t="n">
        <v>46061</v>
      </c>
      <c r="C475" s="2" t="s">
        <v>231</v>
      </c>
      <c r="D475" s="3" t="str">
        <f aca="false">INDEX(Vendedores!$C$2:$C$101,MATCH(C475,Vendedores!$A$2:$A$101,0))</f>
        <v>L10</v>
      </c>
      <c r="E475" s="3" t="str">
        <f aca="false">INDEX(Lojas!$E$2:$E$11,MATCH(D475,Lojas!$A$2:$A$11,0))</f>
        <v>Nordeste</v>
      </c>
      <c r="F475" s="2" t="s">
        <v>270</v>
      </c>
      <c r="G475" s="3" t="str">
        <f aca="false">INDEX(Produtos!$B$2:$B$11,MATCH(F475,Produtos!$A$2:$A$11,0))&amp;" "&amp;INDEX(Produtos!$C$2:$C$11,MATCH(F475,Produtos!$A$2:$A$11,0))</f>
        <v>Controle de Videogame Xbox</v>
      </c>
      <c r="H475" s="2" t="n">
        <v>1</v>
      </c>
      <c r="I475" s="5" t="n">
        <f aca="false">INDEX(Produtos!$D$2:$D$11,MATCH(F475,Produtos!$A$2:$A$11,0))</f>
        <v>349.9</v>
      </c>
      <c r="J475" s="5" t="n">
        <f aca="false">H475*I475</f>
        <v>349.9</v>
      </c>
      <c r="K475" s="5" t="n">
        <f aca="false">INDEX(Produtos!$E$2:$E$11,MATCH(F475,Produtos!$A$2:$A$11,0))</f>
        <v>215</v>
      </c>
      <c r="L475" s="5" t="n">
        <f aca="false">H475*K475</f>
        <v>215</v>
      </c>
    </row>
    <row r="476" customFormat="false" ht="15" hidden="false" customHeight="false" outlineLevel="0" collapsed="false">
      <c r="A476" s="2" t="s">
        <v>758</v>
      </c>
      <c r="B476" s="8" t="n">
        <v>46062</v>
      </c>
      <c r="C476" s="2" t="s">
        <v>90</v>
      </c>
      <c r="D476" s="3" t="str">
        <f aca="false">INDEX(Vendedores!$C$2:$C$101,MATCH(C476,Vendedores!$A$2:$A$101,0))</f>
        <v>L03</v>
      </c>
      <c r="E476" s="3" t="str">
        <f aca="false">INDEX(Lojas!$E$2:$E$11,MATCH(D476,Lojas!$A$2:$A$11,0))</f>
        <v>Sudeste</v>
      </c>
      <c r="F476" s="2" t="s">
        <v>275</v>
      </c>
      <c r="G476" s="3" t="str">
        <f aca="false">INDEX(Produtos!$B$2:$B$11,MATCH(F476,Produtos!$A$2:$A$11,0))&amp;" "&amp;INDEX(Produtos!$C$2:$C$11,MATCH(F476,Produtos!$A$2:$A$11,0))</f>
        <v>Controle de Videogame PS5</v>
      </c>
      <c r="H476" s="2" t="n">
        <v>1</v>
      </c>
      <c r="I476" s="5" t="n">
        <f aca="false">INDEX(Produtos!$D$2:$D$11,MATCH(F476,Produtos!$A$2:$A$11,0))</f>
        <v>379.9</v>
      </c>
      <c r="J476" s="5" t="n">
        <f aca="false">H476*I476</f>
        <v>379.9</v>
      </c>
      <c r="K476" s="5" t="n">
        <f aca="false">INDEX(Produtos!$E$2:$E$11,MATCH(F476,Produtos!$A$2:$A$11,0))</f>
        <v>235</v>
      </c>
      <c r="L476" s="5" t="n">
        <f aca="false">H476*K476</f>
        <v>235</v>
      </c>
    </row>
    <row r="477" customFormat="false" ht="15" hidden="false" customHeight="false" outlineLevel="0" collapsed="false">
      <c r="A477" s="2" t="s">
        <v>759</v>
      </c>
      <c r="B477" s="8" t="n">
        <v>46062</v>
      </c>
      <c r="C477" s="2" t="s">
        <v>124</v>
      </c>
      <c r="D477" s="3" t="str">
        <f aca="false">INDEX(Vendedores!$C$2:$C$101,MATCH(C477,Vendedores!$A$2:$A$101,0))</f>
        <v>L04</v>
      </c>
      <c r="E477" s="3" t="str">
        <f aca="false">INDEX(Lojas!$E$2:$E$11,MATCH(D477,Lojas!$A$2:$A$11,0))</f>
        <v>Sudeste</v>
      </c>
      <c r="F477" s="2" t="s">
        <v>257</v>
      </c>
      <c r="G477" s="3" t="str">
        <f aca="false">INDEX(Produtos!$B$2:$B$11,MATCH(F477,Produtos!$A$2:$A$11,0))&amp;" "&amp;INDEX(Produtos!$C$2:$C$11,MATCH(F477,Produtos!$A$2:$A$11,0))</f>
        <v>Celular Samsung</v>
      </c>
      <c r="H477" s="2" t="n">
        <v>1</v>
      </c>
      <c r="I477" s="5" t="n">
        <f aca="false">INDEX(Produtos!$D$2:$D$11,MATCH(F477,Produtos!$A$2:$A$11,0))</f>
        <v>2499</v>
      </c>
      <c r="J477" s="5" t="n">
        <f aca="false">H477*I477</f>
        <v>2499</v>
      </c>
      <c r="K477" s="5" t="n">
        <f aca="false">INDEX(Produtos!$E$2:$E$11,MATCH(F477,Produtos!$A$2:$A$11,0))</f>
        <v>1800</v>
      </c>
      <c r="L477" s="5" t="n">
        <f aca="false">H477*K477</f>
        <v>1800</v>
      </c>
    </row>
    <row r="478" customFormat="false" ht="15" hidden="false" customHeight="false" outlineLevel="0" collapsed="false">
      <c r="A478" s="2" t="s">
        <v>760</v>
      </c>
      <c r="B478" s="8" t="n">
        <v>46062</v>
      </c>
      <c r="C478" s="2" t="s">
        <v>235</v>
      </c>
      <c r="D478" s="3" t="str">
        <f aca="false">INDEX(Vendedores!$C$2:$C$101,MATCH(C478,Vendedores!$A$2:$A$101,0))</f>
        <v>L10</v>
      </c>
      <c r="E478" s="3" t="str">
        <f aca="false">INDEX(Lojas!$E$2:$E$11,MATCH(D478,Lojas!$A$2:$A$11,0))</f>
        <v>Nordeste</v>
      </c>
      <c r="F478" s="2" t="s">
        <v>262</v>
      </c>
      <c r="G478" s="3" t="str">
        <f aca="false">INDEX(Produtos!$B$2:$B$11,MATCH(F478,Produtos!$A$2:$A$11,0))&amp;" "&amp;INDEX(Produtos!$C$2:$C$11,MATCH(F478,Produtos!$A$2:$A$11,0))</f>
        <v>Fone de Ouvido De Celular</v>
      </c>
      <c r="H478" s="2" t="n">
        <v>1</v>
      </c>
      <c r="I478" s="5" t="n">
        <f aca="false">INDEX(Produtos!$D$2:$D$11,MATCH(F478,Produtos!$A$2:$A$11,0))</f>
        <v>59.9</v>
      </c>
      <c r="J478" s="5" t="n">
        <f aca="false">H478*I478</f>
        <v>59.9</v>
      </c>
      <c r="K478" s="5" t="n">
        <f aca="false">INDEX(Produtos!$E$2:$E$11,MATCH(F478,Produtos!$A$2:$A$11,0))</f>
        <v>28</v>
      </c>
      <c r="L478" s="5" t="n">
        <f aca="false">H478*K478</f>
        <v>28</v>
      </c>
    </row>
    <row r="479" customFormat="false" ht="15" hidden="false" customHeight="false" outlineLevel="0" collapsed="false">
      <c r="A479" s="2" t="s">
        <v>761</v>
      </c>
      <c r="B479" s="8" t="n">
        <v>46062</v>
      </c>
      <c r="C479" s="2" t="s">
        <v>135</v>
      </c>
      <c r="D479" s="3" t="str">
        <f aca="false">INDEX(Vendedores!$C$2:$C$101,MATCH(C479,Vendedores!$A$2:$A$101,0))</f>
        <v>L05</v>
      </c>
      <c r="E479" s="3" t="str">
        <f aca="false">INDEX(Lojas!$E$2:$E$11,MATCH(D479,Lojas!$A$2:$A$11,0))</f>
        <v>Sul</v>
      </c>
      <c r="F479" s="2" t="s">
        <v>262</v>
      </c>
      <c r="G479" s="3" t="str">
        <f aca="false">INDEX(Produtos!$B$2:$B$11,MATCH(F479,Produtos!$A$2:$A$11,0))&amp;" "&amp;INDEX(Produtos!$C$2:$C$11,MATCH(F479,Produtos!$A$2:$A$11,0))</f>
        <v>Fone de Ouvido De Celular</v>
      </c>
      <c r="H479" s="2" t="n">
        <v>1</v>
      </c>
      <c r="I479" s="5" t="n">
        <f aca="false">INDEX(Produtos!$D$2:$D$11,MATCH(F479,Produtos!$A$2:$A$11,0))</f>
        <v>59.9</v>
      </c>
      <c r="J479" s="5" t="n">
        <f aca="false">H479*I479</f>
        <v>59.9</v>
      </c>
      <c r="K479" s="5" t="n">
        <f aca="false">INDEX(Produtos!$E$2:$E$11,MATCH(F479,Produtos!$A$2:$A$11,0))</f>
        <v>28</v>
      </c>
      <c r="L479" s="5" t="n">
        <f aca="false">H479*K479</f>
        <v>28</v>
      </c>
    </row>
    <row r="480" customFormat="false" ht="15" hidden="false" customHeight="false" outlineLevel="0" collapsed="false">
      <c r="A480" s="2" t="s">
        <v>762</v>
      </c>
      <c r="B480" s="8" t="n">
        <v>46062</v>
      </c>
      <c r="C480" s="2" t="s">
        <v>154</v>
      </c>
      <c r="D480" s="3" t="str">
        <f aca="false">INDEX(Vendedores!$C$2:$C$101,MATCH(C480,Vendedores!$A$2:$A$101,0))</f>
        <v>L06</v>
      </c>
      <c r="E480" s="3" t="str">
        <f aca="false">INDEX(Lojas!$E$2:$E$11,MATCH(D480,Lojas!$A$2:$A$11,0))</f>
        <v>Sul</v>
      </c>
      <c r="F480" s="2" t="s">
        <v>270</v>
      </c>
      <c r="G480" s="3" t="str">
        <f aca="false">INDEX(Produtos!$B$2:$B$11,MATCH(F480,Produtos!$A$2:$A$11,0))&amp;" "&amp;INDEX(Produtos!$C$2:$C$11,MATCH(F480,Produtos!$A$2:$A$11,0))</f>
        <v>Controle de Videogame Xbox</v>
      </c>
      <c r="H480" s="2" t="n">
        <v>1</v>
      </c>
      <c r="I480" s="5" t="n">
        <f aca="false">INDEX(Produtos!$D$2:$D$11,MATCH(F480,Produtos!$A$2:$A$11,0))</f>
        <v>349.9</v>
      </c>
      <c r="J480" s="5" t="n">
        <f aca="false">H480*I480</f>
        <v>349.9</v>
      </c>
      <c r="K480" s="5" t="n">
        <f aca="false">INDEX(Produtos!$E$2:$E$11,MATCH(F480,Produtos!$A$2:$A$11,0))</f>
        <v>215</v>
      </c>
      <c r="L480" s="5" t="n">
        <f aca="false">H480*K480</f>
        <v>215</v>
      </c>
    </row>
    <row r="481" customFormat="false" ht="15" hidden="false" customHeight="false" outlineLevel="0" collapsed="false">
      <c r="A481" s="2" t="s">
        <v>763</v>
      </c>
      <c r="B481" s="8" t="n">
        <v>46062</v>
      </c>
      <c r="C481" s="2" t="s">
        <v>70</v>
      </c>
      <c r="D481" s="3" t="str">
        <f aca="false">INDEX(Vendedores!$C$2:$C$101,MATCH(C481,Vendedores!$A$2:$A$101,0))</f>
        <v>L02</v>
      </c>
      <c r="E481" s="3" t="str">
        <f aca="false">INDEX(Lojas!$E$2:$E$11,MATCH(D481,Lojas!$A$2:$A$11,0))</f>
        <v>Sudeste</v>
      </c>
      <c r="F481" s="2" t="s">
        <v>275</v>
      </c>
      <c r="G481" s="3" t="str">
        <f aca="false">INDEX(Produtos!$B$2:$B$11,MATCH(F481,Produtos!$A$2:$A$11,0))&amp;" "&amp;INDEX(Produtos!$C$2:$C$11,MATCH(F481,Produtos!$A$2:$A$11,0))</f>
        <v>Controle de Videogame PS5</v>
      </c>
      <c r="H481" s="2" t="n">
        <v>2</v>
      </c>
      <c r="I481" s="5" t="n">
        <f aca="false">INDEX(Produtos!$D$2:$D$11,MATCH(F481,Produtos!$A$2:$A$11,0))</f>
        <v>379.9</v>
      </c>
      <c r="J481" s="5" t="n">
        <f aca="false">H481*I481</f>
        <v>759.8</v>
      </c>
      <c r="K481" s="5" t="n">
        <f aca="false">INDEX(Produtos!$E$2:$E$11,MATCH(F481,Produtos!$A$2:$A$11,0))</f>
        <v>235</v>
      </c>
      <c r="L481" s="5" t="n">
        <f aca="false">H481*K481</f>
        <v>470</v>
      </c>
    </row>
    <row r="482" customFormat="false" ht="15" hidden="false" customHeight="false" outlineLevel="0" collapsed="false">
      <c r="A482" s="2" t="s">
        <v>764</v>
      </c>
      <c r="B482" s="8" t="n">
        <v>46062</v>
      </c>
      <c r="C482" s="2" t="s">
        <v>94</v>
      </c>
      <c r="D482" s="3" t="str">
        <f aca="false">INDEX(Vendedores!$C$2:$C$101,MATCH(C482,Vendedores!$A$2:$A$101,0))</f>
        <v>L03</v>
      </c>
      <c r="E482" s="3" t="str">
        <f aca="false">INDEX(Lojas!$E$2:$E$11,MATCH(D482,Lojas!$A$2:$A$11,0))</f>
        <v>Sudeste</v>
      </c>
      <c r="F482" s="2" t="s">
        <v>267</v>
      </c>
      <c r="G482" s="3" t="str">
        <f aca="false">INDEX(Produtos!$B$2:$B$11,MATCH(F482,Produtos!$A$2:$A$11,0))&amp;" "&amp;INDEX(Produtos!$C$2:$C$11,MATCH(F482,Produtos!$A$2:$A$11,0))</f>
        <v>Carregador de Celular Tipo C</v>
      </c>
      <c r="H482" s="2" t="n">
        <v>1</v>
      </c>
      <c r="I482" s="5" t="n">
        <f aca="false">INDEX(Produtos!$D$2:$D$11,MATCH(F482,Produtos!$A$2:$A$11,0))</f>
        <v>44.9</v>
      </c>
      <c r="J482" s="5" t="n">
        <f aca="false">H482*I482</f>
        <v>44.9</v>
      </c>
      <c r="K482" s="5" t="n">
        <f aca="false">INDEX(Produtos!$E$2:$E$11,MATCH(F482,Produtos!$A$2:$A$11,0))</f>
        <v>18</v>
      </c>
      <c r="L482" s="5" t="n">
        <f aca="false">H482*K482</f>
        <v>18</v>
      </c>
    </row>
    <row r="483" customFormat="false" ht="15" hidden="false" customHeight="false" outlineLevel="0" collapsed="false">
      <c r="A483" s="2" t="s">
        <v>765</v>
      </c>
      <c r="B483" s="8" t="n">
        <v>46062</v>
      </c>
      <c r="C483" s="2" t="s">
        <v>94</v>
      </c>
      <c r="D483" s="3" t="str">
        <f aca="false">INDEX(Vendedores!$C$2:$C$101,MATCH(C483,Vendedores!$A$2:$A$101,0))</f>
        <v>L03</v>
      </c>
      <c r="E483" s="3" t="str">
        <f aca="false">INDEX(Lojas!$E$2:$E$11,MATCH(D483,Lojas!$A$2:$A$11,0))</f>
        <v>Sudeste</v>
      </c>
      <c r="F483" s="2" t="s">
        <v>257</v>
      </c>
      <c r="G483" s="3" t="str">
        <f aca="false">INDEX(Produtos!$B$2:$B$11,MATCH(F483,Produtos!$A$2:$A$11,0))&amp;" "&amp;INDEX(Produtos!$C$2:$C$11,MATCH(F483,Produtos!$A$2:$A$11,0))</f>
        <v>Celular Samsung</v>
      </c>
      <c r="H483" s="2" t="n">
        <v>1</v>
      </c>
      <c r="I483" s="5" t="n">
        <f aca="false">INDEX(Produtos!$D$2:$D$11,MATCH(F483,Produtos!$A$2:$A$11,0))</f>
        <v>2499</v>
      </c>
      <c r="J483" s="5" t="n">
        <f aca="false">H483*I483</f>
        <v>2499</v>
      </c>
      <c r="K483" s="5" t="n">
        <f aca="false">INDEX(Produtos!$E$2:$E$11,MATCH(F483,Produtos!$A$2:$A$11,0))</f>
        <v>1800</v>
      </c>
      <c r="L483" s="5" t="n">
        <f aca="false">H483*K483</f>
        <v>1800</v>
      </c>
    </row>
    <row r="484" customFormat="false" ht="15" hidden="false" customHeight="false" outlineLevel="0" collapsed="false">
      <c r="A484" s="2" t="s">
        <v>766</v>
      </c>
      <c r="B484" s="8" t="n">
        <v>46062</v>
      </c>
      <c r="C484" s="2" t="s">
        <v>108</v>
      </c>
      <c r="D484" s="3" t="str">
        <f aca="false">INDEX(Vendedores!$C$2:$C$101,MATCH(C484,Vendedores!$A$2:$A$101,0))</f>
        <v>L03</v>
      </c>
      <c r="E484" s="3" t="str">
        <f aca="false">INDEX(Lojas!$E$2:$E$11,MATCH(D484,Lojas!$A$2:$A$11,0))</f>
        <v>Sudeste</v>
      </c>
      <c r="F484" s="2" t="s">
        <v>265</v>
      </c>
      <c r="G484" s="3" t="str">
        <f aca="false">INDEX(Produtos!$B$2:$B$11,MATCH(F484,Produtos!$A$2:$A$11,0))&amp;" "&amp;INDEX(Produtos!$C$2:$C$11,MATCH(F484,Produtos!$A$2:$A$11,0))</f>
        <v>Fone de Ouvido Headset</v>
      </c>
      <c r="H484" s="2" t="n">
        <v>1</v>
      </c>
      <c r="I484" s="5" t="n">
        <f aca="false">INDEX(Produtos!$D$2:$D$11,MATCH(F484,Produtos!$A$2:$A$11,0))</f>
        <v>249.9</v>
      </c>
      <c r="J484" s="5" t="n">
        <f aca="false">H484*I484</f>
        <v>249.9</v>
      </c>
      <c r="K484" s="5" t="n">
        <f aca="false">INDEX(Produtos!$E$2:$E$11,MATCH(F484,Produtos!$A$2:$A$11,0))</f>
        <v>145</v>
      </c>
      <c r="L484" s="5" t="n">
        <f aca="false">H484*K484</f>
        <v>145</v>
      </c>
    </row>
    <row r="485" customFormat="false" ht="15" hidden="false" customHeight="false" outlineLevel="0" collapsed="false">
      <c r="A485" s="2" t="s">
        <v>767</v>
      </c>
      <c r="B485" s="8" t="n">
        <v>46062</v>
      </c>
      <c r="C485" s="2" t="s">
        <v>231</v>
      </c>
      <c r="D485" s="3" t="str">
        <f aca="false">INDEX(Vendedores!$C$2:$C$101,MATCH(C485,Vendedores!$A$2:$A$101,0))</f>
        <v>L10</v>
      </c>
      <c r="E485" s="3" t="str">
        <f aca="false">INDEX(Lojas!$E$2:$E$11,MATCH(D485,Lojas!$A$2:$A$11,0))</f>
        <v>Nordeste</v>
      </c>
      <c r="F485" s="2" t="s">
        <v>255</v>
      </c>
      <c r="G485" s="3" t="str">
        <f aca="false">INDEX(Produtos!$B$2:$B$11,MATCH(F485,Produtos!$A$2:$A$11,0))&amp;" "&amp;INDEX(Produtos!$C$2:$C$11,MATCH(F485,Produtos!$A$2:$A$11,0))</f>
        <v>Notebook Positivo</v>
      </c>
      <c r="H485" s="2" t="n">
        <v>2</v>
      </c>
      <c r="I485" s="5" t="n">
        <f aca="false">INDEX(Produtos!$D$2:$D$11,MATCH(F485,Produtos!$A$2:$A$11,0))</f>
        <v>2199</v>
      </c>
      <c r="J485" s="5" t="n">
        <f aca="false">H485*I485</f>
        <v>4398</v>
      </c>
      <c r="K485" s="5" t="n">
        <f aca="false">INDEX(Produtos!$E$2:$E$11,MATCH(F485,Produtos!$A$2:$A$11,0))</f>
        <v>1550</v>
      </c>
      <c r="L485" s="5" t="n">
        <f aca="false">H485*K485</f>
        <v>3100</v>
      </c>
    </row>
    <row r="486" customFormat="false" ht="15" hidden="false" customHeight="false" outlineLevel="0" collapsed="false">
      <c r="A486" s="2" t="s">
        <v>768</v>
      </c>
      <c r="B486" s="8" t="n">
        <v>46063</v>
      </c>
      <c r="C486" s="2" t="s">
        <v>150</v>
      </c>
      <c r="D486" s="3" t="str">
        <f aca="false">INDEX(Vendedores!$C$2:$C$101,MATCH(C486,Vendedores!$A$2:$A$101,0))</f>
        <v>L06</v>
      </c>
      <c r="E486" s="3" t="str">
        <f aca="false">INDEX(Lojas!$E$2:$E$11,MATCH(D486,Lojas!$A$2:$A$11,0))</f>
        <v>Sul</v>
      </c>
      <c r="F486" s="2" t="s">
        <v>262</v>
      </c>
      <c r="G486" s="3" t="str">
        <f aca="false">INDEX(Produtos!$B$2:$B$11,MATCH(F486,Produtos!$A$2:$A$11,0))&amp;" "&amp;INDEX(Produtos!$C$2:$C$11,MATCH(F486,Produtos!$A$2:$A$11,0))</f>
        <v>Fone de Ouvido De Celular</v>
      </c>
      <c r="H486" s="2" t="n">
        <v>1</v>
      </c>
      <c r="I486" s="5" t="n">
        <f aca="false">INDEX(Produtos!$D$2:$D$11,MATCH(F486,Produtos!$A$2:$A$11,0))</f>
        <v>59.9</v>
      </c>
      <c r="J486" s="5" t="n">
        <f aca="false">H486*I486</f>
        <v>59.9</v>
      </c>
      <c r="K486" s="5" t="n">
        <f aca="false">INDEX(Produtos!$E$2:$E$11,MATCH(F486,Produtos!$A$2:$A$11,0))</f>
        <v>28</v>
      </c>
      <c r="L486" s="5" t="n">
        <f aca="false">H486*K486</f>
        <v>28</v>
      </c>
    </row>
    <row r="487" customFormat="false" ht="15" hidden="false" customHeight="false" outlineLevel="0" collapsed="false">
      <c r="A487" s="2" t="s">
        <v>769</v>
      </c>
      <c r="B487" s="8" t="n">
        <v>46063</v>
      </c>
      <c r="C487" s="2" t="s">
        <v>114</v>
      </c>
      <c r="D487" s="3" t="str">
        <f aca="false">INDEX(Vendedores!$C$2:$C$101,MATCH(C487,Vendedores!$A$2:$A$101,0))</f>
        <v>L04</v>
      </c>
      <c r="E487" s="3" t="str">
        <f aca="false">INDEX(Lojas!$E$2:$E$11,MATCH(D487,Lojas!$A$2:$A$11,0))</f>
        <v>Sudeste</v>
      </c>
      <c r="F487" s="2" t="s">
        <v>265</v>
      </c>
      <c r="G487" s="3" t="str">
        <f aca="false">INDEX(Produtos!$B$2:$B$11,MATCH(F487,Produtos!$A$2:$A$11,0))&amp;" "&amp;INDEX(Produtos!$C$2:$C$11,MATCH(F487,Produtos!$A$2:$A$11,0))</f>
        <v>Fone de Ouvido Headset</v>
      </c>
      <c r="H487" s="2" t="n">
        <v>1</v>
      </c>
      <c r="I487" s="5" t="n">
        <f aca="false">INDEX(Produtos!$D$2:$D$11,MATCH(F487,Produtos!$A$2:$A$11,0))</f>
        <v>249.9</v>
      </c>
      <c r="J487" s="5" t="n">
        <f aca="false">H487*I487</f>
        <v>249.9</v>
      </c>
      <c r="K487" s="5" t="n">
        <f aca="false">INDEX(Produtos!$E$2:$E$11,MATCH(F487,Produtos!$A$2:$A$11,0))</f>
        <v>145</v>
      </c>
      <c r="L487" s="5" t="n">
        <f aca="false">H487*K487</f>
        <v>145</v>
      </c>
    </row>
    <row r="488" customFormat="false" ht="15" hidden="false" customHeight="false" outlineLevel="0" collapsed="false">
      <c r="A488" s="2" t="s">
        <v>770</v>
      </c>
      <c r="B488" s="8" t="n">
        <v>46063</v>
      </c>
      <c r="C488" s="2" t="s">
        <v>158</v>
      </c>
      <c r="D488" s="3" t="str">
        <f aca="false">INDEX(Vendedores!$C$2:$C$101,MATCH(C488,Vendedores!$A$2:$A$101,0))</f>
        <v>L06</v>
      </c>
      <c r="E488" s="3" t="str">
        <f aca="false">INDEX(Lojas!$E$2:$E$11,MATCH(D488,Lojas!$A$2:$A$11,0))</f>
        <v>Sul</v>
      </c>
      <c r="F488" s="2" t="s">
        <v>265</v>
      </c>
      <c r="G488" s="3" t="str">
        <f aca="false">INDEX(Produtos!$B$2:$B$11,MATCH(F488,Produtos!$A$2:$A$11,0))&amp;" "&amp;INDEX(Produtos!$C$2:$C$11,MATCH(F488,Produtos!$A$2:$A$11,0))</f>
        <v>Fone de Ouvido Headset</v>
      </c>
      <c r="H488" s="2" t="n">
        <v>1</v>
      </c>
      <c r="I488" s="5" t="n">
        <f aca="false">INDEX(Produtos!$D$2:$D$11,MATCH(F488,Produtos!$A$2:$A$11,0))</f>
        <v>249.9</v>
      </c>
      <c r="J488" s="5" t="n">
        <f aca="false">H488*I488</f>
        <v>249.9</v>
      </c>
      <c r="K488" s="5" t="n">
        <f aca="false">INDEX(Produtos!$E$2:$E$11,MATCH(F488,Produtos!$A$2:$A$11,0))</f>
        <v>145</v>
      </c>
      <c r="L488" s="5" t="n">
        <f aca="false">H488*K488</f>
        <v>145</v>
      </c>
    </row>
    <row r="489" customFormat="false" ht="15" hidden="false" customHeight="false" outlineLevel="0" collapsed="false">
      <c r="A489" s="2" t="s">
        <v>771</v>
      </c>
      <c r="B489" s="8" t="n">
        <v>46063</v>
      </c>
      <c r="C489" s="2" t="s">
        <v>60</v>
      </c>
      <c r="D489" s="3" t="str">
        <f aca="false">INDEX(Vendedores!$C$2:$C$101,MATCH(C489,Vendedores!$A$2:$A$101,0))</f>
        <v>L01</v>
      </c>
      <c r="E489" s="3" t="str">
        <f aca="false">INDEX(Lojas!$E$2:$E$11,MATCH(D489,Lojas!$A$2:$A$11,0))</f>
        <v>Sudeste</v>
      </c>
      <c r="F489" s="2" t="s">
        <v>252</v>
      </c>
      <c r="G489" s="3" t="str">
        <f aca="false">INDEX(Produtos!$B$2:$B$11,MATCH(F489,Produtos!$A$2:$A$11,0))&amp;" "&amp;INDEX(Produtos!$C$2:$C$11,MATCH(F489,Produtos!$A$2:$A$11,0))</f>
        <v>Notebook Lenovo</v>
      </c>
      <c r="H489" s="2" t="n">
        <v>1</v>
      </c>
      <c r="I489" s="5" t="n">
        <f aca="false">INDEX(Produtos!$D$2:$D$11,MATCH(F489,Produtos!$A$2:$A$11,0))</f>
        <v>3199</v>
      </c>
      <c r="J489" s="5" t="n">
        <f aca="false">H489*I489</f>
        <v>3199</v>
      </c>
      <c r="K489" s="5" t="n">
        <f aca="false">INDEX(Produtos!$E$2:$E$11,MATCH(F489,Produtos!$A$2:$A$11,0))</f>
        <v>2350</v>
      </c>
      <c r="L489" s="5" t="n">
        <f aca="false">H489*K489</f>
        <v>2350</v>
      </c>
    </row>
    <row r="490" customFormat="false" ht="15" hidden="false" customHeight="false" outlineLevel="0" collapsed="false">
      <c r="A490" s="2" t="s">
        <v>772</v>
      </c>
      <c r="B490" s="8" t="n">
        <v>46063</v>
      </c>
      <c r="C490" s="2" t="s">
        <v>231</v>
      </c>
      <c r="D490" s="3" t="str">
        <f aca="false">INDEX(Vendedores!$C$2:$C$101,MATCH(C490,Vendedores!$A$2:$A$101,0))</f>
        <v>L10</v>
      </c>
      <c r="E490" s="3" t="str">
        <f aca="false">INDEX(Lojas!$E$2:$E$11,MATCH(D490,Lojas!$A$2:$A$11,0))</f>
        <v>Nordeste</v>
      </c>
      <c r="F490" s="2" t="s">
        <v>267</v>
      </c>
      <c r="G490" s="3" t="str">
        <f aca="false">INDEX(Produtos!$B$2:$B$11,MATCH(F490,Produtos!$A$2:$A$11,0))&amp;" "&amp;INDEX(Produtos!$C$2:$C$11,MATCH(F490,Produtos!$A$2:$A$11,0))</f>
        <v>Carregador de Celular Tipo C</v>
      </c>
      <c r="H490" s="2" t="n">
        <v>1</v>
      </c>
      <c r="I490" s="5" t="n">
        <f aca="false">INDEX(Produtos!$D$2:$D$11,MATCH(F490,Produtos!$A$2:$A$11,0))</f>
        <v>44.9</v>
      </c>
      <c r="J490" s="5" t="n">
        <f aca="false">H490*I490</f>
        <v>44.9</v>
      </c>
      <c r="K490" s="5" t="n">
        <f aca="false">INDEX(Produtos!$E$2:$E$11,MATCH(F490,Produtos!$A$2:$A$11,0))</f>
        <v>18</v>
      </c>
      <c r="L490" s="5" t="n">
        <f aca="false">H490*K490</f>
        <v>18</v>
      </c>
    </row>
    <row r="491" customFormat="false" ht="15" hidden="false" customHeight="false" outlineLevel="0" collapsed="false">
      <c r="A491" s="2" t="s">
        <v>773</v>
      </c>
      <c r="B491" s="8" t="n">
        <v>46063</v>
      </c>
      <c r="C491" s="2" t="s">
        <v>140</v>
      </c>
      <c r="D491" s="3" t="str">
        <f aca="false">INDEX(Vendedores!$C$2:$C$101,MATCH(C491,Vendedores!$A$2:$A$101,0))</f>
        <v>L05</v>
      </c>
      <c r="E491" s="3" t="str">
        <f aca="false">INDEX(Lojas!$E$2:$E$11,MATCH(D491,Lojas!$A$2:$A$11,0))</f>
        <v>Sul</v>
      </c>
      <c r="F491" s="2" t="s">
        <v>257</v>
      </c>
      <c r="G491" s="3" t="str">
        <f aca="false">INDEX(Produtos!$B$2:$B$11,MATCH(F491,Produtos!$A$2:$A$11,0))&amp;" "&amp;INDEX(Produtos!$C$2:$C$11,MATCH(F491,Produtos!$A$2:$A$11,0))</f>
        <v>Celular Samsung</v>
      </c>
      <c r="H491" s="2" t="n">
        <v>1</v>
      </c>
      <c r="I491" s="5" t="n">
        <f aca="false">INDEX(Produtos!$D$2:$D$11,MATCH(F491,Produtos!$A$2:$A$11,0))</f>
        <v>2499</v>
      </c>
      <c r="J491" s="5" t="n">
        <f aca="false">H491*I491</f>
        <v>2499</v>
      </c>
      <c r="K491" s="5" t="n">
        <f aca="false">INDEX(Produtos!$E$2:$E$11,MATCH(F491,Produtos!$A$2:$A$11,0))</f>
        <v>1800</v>
      </c>
      <c r="L491" s="5" t="n">
        <f aca="false">H491*K491</f>
        <v>1800</v>
      </c>
    </row>
    <row r="492" customFormat="false" ht="15" hidden="false" customHeight="false" outlineLevel="0" collapsed="false">
      <c r="A492" s="2" t="s">
        <v>774</v>
      </c>
      <c r="B492" s="8" t="n">
        <v>46063</v>
      </c>
      <c r="C492" s="2" t="s">
        <v>131</v>
      </c>
      <c r="D492" s="3" t="str">
        <f aca="false">INDEX(Vendedores!$C$2:$C$101,MATCH(C492,Vendedores!$A$2:$A$101,0))</f>
        <v>L05</v>
      </c>
      <c r="E492" s="3" t="str">
        <f aca="false">INDEX(Lojas!$E$2:$E$11,MATCH(D492,Lojas!$A$2:$A$11,0))</f>
        <v>Sul</v>
      </c>
      <c r="F492" s="2" t="s">
        <v>275</v>
      </c>
      <c r="G492" s="3" t="str">
        <f aca="false">INDEX(Produtos!$B$2:$B$11,MATCH(F492,Produtos!$A$2:$A$11,0))&amp;" "&amp;INDEX(Produtos!$C$2:$C$11,MATCH(F492,Produtos!$A$2:$A$11,0))</f>
        <v>Controle de Videogame PS5</v>
      </c>
      <c r="H492" s="2" t="n">
        <v>3</v>
      </c>
      <c r="I492" s="5" t="n">
        <f aca="false">INDEX(Produtos!$D$2:$D$11,MATCH(F492,Produtos!$A$2:$A$11,0))</f>
        <v>379.9</v>
      </c>
      <c r="J492" s="5" t="n">
        <f aca="false">H492*I492</f>
        <v>1139.7</v>
      </c>
      <c r="K492" s="5" t="n">
        <f aca="false">INDEX(Produtos!$E$2:$E$11,MATCH(F492,Produtos!$A$2:$A$11,0))</f>
        <v>235</v>
      </c>
      <c r="L492" s="5" t="n">
        <f aca="false">H492*K492</f>
        <v>705</v>
      </c>
    </row>
    <row r="493" customFormat="false" ht="15" hidden="false" customHeight="false" outlineLevel="0" collapsed="false">
      <c r="A493" s="2" t="s">
        <v>775</v>
      </c>
      <c r="B493" s="8" t="n">
        <v>46063</v>
      </c>
      <c r="C493" s="2" t="s">
        <v>56</v>
      </c>
      <c r="D493" s="3" t="str">
        <f aca="false">INDEX(Vendedores!$C$2:$C$101,MATCH(C493,Vendedores!$A$2:$A$101,0))</f>
        <v>L01</v>
      </c>
      <c r="E493" s="3" t="str">
        <f aca="false">INDEX(Lojas!$E$2:$E$11,MATCH(D493,Lojas!$A$2:$A$11,0))</f>
        <v>Sudeste</v>
      </c>
      <c r="F493" s="2" t="s">
        <v>257</v>
      </c>
      <c r="G493" s="3" t="str">
        <f aca="false">INDEX(Produtos!$B$2:$B$11,MATCH(F493,Produtos!$A$2:$A$11,0))&amp;" "&amp;INDEX(Produtos!$C$2:$C$11,MATCH(F493,Produtos!$A$2:$A$11,0))</f>
        <v>Celular Samsung</v>
      </c>
      <c r="H493" s="2" t="n">
        <v>1</v>
      </c>
      <c r="I493" s="5" t="n">
        <f aca="false">INDEX(Produtos!$D$2:$D$11,MATCH(F493,Produtos!$A$2:$A$11,0))</f>
        <v>2499</v>
      </c>
      <c r="J493" s="5" t="n">
        <f aca="false">H493*I493</f>
        <v>2499</v>
      </c>
      <c r="K493" s="5" t="n">
        <f aca="false">INDEX(Produtos!$E$2:$E$11,MATCH(F493,Produtos!$A$2:$A$11,0))</f>
        <v>1800</v>
      </c>
      <c r="L493" s="5" t="n">
        <f aca="false">H493*K493</f>
        <v>1800</v>
      </c>
    </row>
    <row r="494" customFormat="false" ht="15" hidden="false" customHeight="false" outlineLevel="0" collapsed="false">
      <c r="A494" s="2" t="s">
        <v>776</v>
      </c>
      <c r="B494" s="8" t="n">
        <v>46063</v>
      </c>
      <c r="C494" s="2" t="s">
        <v>170</v>
      </c>
      <c r="D494" s="3" t="str">
        <f aca="false">INDEX(Vendedores!$C$2:$C$101,MATCH(C494,Vendedores!$A$2:$A$101,0))</f>
        <v>L07</v>
      </c>
      <c r="E494" s="3" t="str">
        <f aca="false">INDEX(Lojas!$E$2:$E$11,MATCH(D494,Lojas!$A$2:$A$11,0))</f>
        <v>Sul</v>
      </c>
      <c r="F494" s="2" t="s">
        <v>275</v>
      </c>
      <c r="G494" s="3" t="str">
        <f aca="false">INDEX(Produtos!$B$2:$B$11,MATCH(F494,Produtos!$A$2:$A$11,0))&amp;" "&amp;INDEX(Produtos!$C$2:$C$11,MATCH(F494,Produtos!$A$2:$A$11,0))</f>
        <v>Controle de Videogame PS5</v>
      </c>
      <c r="H494" s="2" t="n">
        <v>1</v>
      </c>
      <c r="I494" s="5" t="n">
        <f aca="false">INDEX(Produtos!$D$2:$D$11,MATCH(F494,Produtos!$A$2:$A$11,0))</f>
        <v>379.9</v>
      </c>
      <c r="J494" s="5" t="n">
        <f aca="false">H494*I494</f>
        <v>379.9</v>
      </c>
      <c r="K494" s="5" t="n">
        <f aca="false">INDEX(Produtos!$E$2:$E$11,MATCH(F494,Produtos!$A$2:$A$11,0))</f>
        <v>235</v>
      </c>
      <c r="L494" s="5" t="n">
        <f aca="false">H494*K494</f>
        <v>235</v>
      </c>
    </row>
    <row r="495" customFormat="false" ht="15" hidden="false" customHeight="false" outlineLevel="0" collapsed="false">
      <c r="A495" s="2" t="s">
        <v>777</v>
      </c>
      <c r="B495" s="8" t="n">
        <v>46063</v>
      </c>
      <c r="C495" s="2" t="s">
        <v>74</v>
      </c>
      <c r="D495" s="3" t="str">
        <f aca="false">INDEX(Vendedores!$C$2:$C$101,MATCH(C495,Vendedores!$A$2:$A$101,0))</f>
        <v>L02</v>
      </c>
      <c r="E495" s="3" t="str">
        <f aca="false">INDEX(Lojas!$E$2:$E$11,MATCH(D495,Lojas!$A$2:$A$11,0))</f>
        <v>Sudeste</v>
      </c>
      <c r="F495" s="2" t="s">
        <v>275</v>
      </c>
      <c r="G495" s="3" t="str">
        <f aca="false">INDEX(Produtos!$B$2:$B$11,MATCH(F495,Produtos!$A$2:$A$11,0))&amp;" "&amp;INDEX(Produtos!$C$2:$C$11,MATCH(F495,Produtos!$A$2:$A$11,0))</f>
        <v>Controle de Videogame PS5</v>
      </c>
      <c r="H495" s="2" t="n">
        <v>1</v>
      </c>
      <c r="I495" s="5" t="n">
        <f aca="false">INDEX(Produtos!$D$2:$D$11,MATCH(F495,Produtos!$A$2:$A$11,0))</f>
        <v>379.9</v>
      </c>
      <c r="J495" s="5" t="n">
        <f aca="false">H495*I495</f>
        <v>379.9</v>
      </c>
      <c r="K495" s="5" t="n">
        <f aca="false">INDEX(Produtos!$E$2:$E$11,MATCH(F495,Produtos!$A$2:$A$11,0))</f>
        <v>235</v>
      </c>
      <c r="L495" s="5" t="n">
        <f aca="false">H495*K495</f>
        <v>235</v>
      </c>
    </row>
    <row r="496" customFormat="false" ht="15" hidden="false" customHeight="false" outlineLevel="0" collapsed="false">
      <c r="A496" s="2" t="s">
        <v>778</v>
      </c>
      <c r="B496" s="8" t="n">
        <v>46064</v>
      </c>
      <c r="C496" s="2" t="s">
        <v>178</v>
      </c>
      <c r="D496" s="3" t="str">
        <f aca="false">INDEX(Vendedores!$C$2:$C$101,MATCH(C496,Vendedores!$A$2:$A$101,0))</f>
        <v>L07</v>
      </c>
      <c r="E496" s="3" t="str">
        <f aca="false">INDEX(Lojas!$E$2:$E$11,MATCH(D496,Lojas!$A$2:$A$11,0))</f>
        <v>Sul</v>
      </c>
      <c r="F496" s="2" t="s">
        <v>275</v>
      </c>
      <c r="G496" s="3" t="str">
        <f aca="false">INDEX(Produtos!$B$2:$B$11,MATCH(F496,Produtos!$A$2:$A$11,0))&amp;" "&amp;INDEX(Produtos!$C$2:$C$11,MATCH(F496,Produtos!$A$2:$A$11,0))</f>
        <v>Controle de Videogame PS5</v>
      </c>
      <c r="H496" s="2" t="n">
        <v>1</v>
      </c>
      <c r="I496" s="5" t="n">
        <f aca="false">INDEX(Produtos!$D$2:$D$11,MATCH(F496,Produtos!$A$2:$A$11,0))</f>
        <v>379.9</v>
      </c>
      <c r="J496" s="5" t="n">
        <f aca="false">H496*I496</f>
        <v>379.9</v>
      </c>
      <c r="K496" s="5" t="n">
        <f aca="false">INDEX(Produtos!$E$2:$E$11,MATCH(F496,Produtos!$A$2:$A$11,0))</f>
        <v>235</v>
      </c>
      <c r="L496" s="5" t="n">
        <f aca="false">H496*K496</f>
        <v>235</v>
      </c>
    </row>
    <row r="497" customFormat="false" ht="15" hidden="false" customHeight="false" outlineLevel="0" collapsed="false">
      <c r="A497" s="2" t="s">
        <v>779</v>
      </c>
      <c r="B497" s="8" t="n">
        <v>46064</v>
      </c>
      <c r="C497" s="2" t="s">
        <v>154</v>
      </c>
      <c r="D497" s="3" t="str">
        <f aca="false">INDEX(Vendedores!$C$2:$C$101,MATCH(C497,Vendedores!$A$2:$A$101,0))</f>
        <v>L06</v>
      </c>
      <c r="E497" s="3" t="str">
        <f aca="false">INDEX(Lojas!$E$2:$E$11,MATCH(D497,Lojas!$A$2:$A$11,0))</f>
        <v>Sul</v>
      </c>
      <c r="F497" s="2" t="s">
        <v>275</v>
      </c>
      <c r="G497" s="3" t="str">
        <f aca="false">INDEX(Produtos!$B$2:$B$11,MATCH(F497,Produtos!$A$2:$A$11,0))&amp;" "&amp;INDEX(Produtos!$C$2:$C$11,MATCH(F497,Produtos!$A$2:$A$11,0))</f>
        <v>Controle de Videogame PS5</v>
      </c>
      <c r="H497" s="2" t="n">
        <v>1</v>
      </c>
      <c r="I497" s="5" t="n">
        <f aca="false">INDEX(Produtos!$D$2:$D$11,MATCH(F497,Produtos!$A$2:$A$11,0))</f>
        <v>379.9</v>
      </c>
      <c r="J497" s="5" t="n">
        <f aca="false">H497*I497</f>
        <v>379.9</v>
      </c>
      <c r="K497" s="5" t="n">
        <f aca="false">INDEX(Produtos!$E$2:$E$11,MATCH(F497,Produtos!$A$2:$A$11,0))</f>
        <v>235</v>
      </c>
      <c r="L497" s="5" t="n">
        <f aca="false">H497*K497</f>
        <v>235</v>
      </c>
    </row>
    <row r="498" customFormat="false" ht="15" hidden="false" customHeight="false" outlineLevel="0" collapsed="false">
      <c r="A498" s="2" t="s">
        <v>780</v>
      </c>
      <c r="B498" s="8" t="n">
        <v>46064</v>
      </c>
      <c r="C498" s="2" t="s">
        <v>237</v>
      </c>
      <c r="D498" s="3" t="str">
        <f aca="false">INDEX(Vendedores!$C$2:$C$101,MATCH(C498,Vendedores!$A$2:$A$101,0))</f>
        <v>L10</v>
      </c>
      <c r="E498" s="3" t="str">
        <f aca="false">INDEX(Lojas!$E$2:$E$11,MATCH(D498,Lojas!$A$2:$A$11,0))</f>
        <v>Nordeste</v>
      </c>
      <c r="F498" s="2" t="s">
        <v>273</v>
      </c>
      <c r="G498" s="3" t="str">
        <f aca="false">INDEX(Produtos!$B$2:$B$11,MATCH(F498,Produtos!$A$2:$A$11,0))&amp;" "&amp;INDEX(Produtos!$C$2:$C$11,MATCH(F498,Produtos!$A$2:$A$11,0))</f>
        <v>Controle de Videogame PS4</v>
      </c>
      <c r="H498" s="2" t="n">
        <v>1</v>
      </c>
      <c r="I498" s="5" t="n">
        <f aca="false">INDEX(Produtos!$D$2:$D$11,MATCH(F498,Produtos!$A$2:$A$11,0))</f>
        <v>299.9</v>
      </c>
      <c r="J498" s="5" t="n">
        <f aca="false">H498*I498</f>
        <v>299.9</v>
      </c>
      <c r="K498" s="5" t="n">
        <f aca="false">INDEX(Produtos!$E$2:$E$11,MATCH(F498,Produtos!$A$2:$A$11,0))</f>
        <v>175</v>
      </c>
      <c r="L498" s="5" t="n">
        <f aca="false">H498*K498</f>
        <v>175</v>
      </c>
    </row>
    <row r="499" customFormat="false" ht="15" hidden="false" customHeight="false" outlineLevel="0" collapsed="false">
      <c r="A499" s="2" t="s">
        <v>781</v>
      </c>
      <c r="B499" s="8" t="n">
        <v>46064</v>
      </c>
      <c r="C499" s="2" t="s">
        <v>131</v>
      </c>
      <c r="D499" s="3" t="str">
        <f aca="false">INDEX(Vendedores!$C$2:$C$101,MATCH(C499,Vendedores!$A$2:$A$101,0))</f>
        <v>L05</v>
      </c>
      <c r="E499" s="3" t="str">
        <f aca="false">INDEX(Lojas!$E$2:$E$11,MATCH(D499,Lojas!$A$2:$A$11,0))</f>
        <v>Sul</v>
      </c>
      <c r="F499" s="2" t="s">
        <v>265</v>
      </c>
      <c r="G499" s="3" t="str">
        <f aca="false">INDEX(Produtos!$B$2:$B$11,MATCH(F499,Produtos!$A$2:$A$11,0))&amp;" "&amp;INDEX(Produtos!$C$2:$C$11,MATCH(F499,Produtos!$A$2:$A$11,0))</f>
        <v>Fone de Ouvido Headset</v>
      </c>
      <c r="H499" s="2" t="n">
        <v>1</v>
      </c>
      <c r="I499" s="5" t="n">
        <f aca="false">INDEX(Produtos!$D$2:$D$11,MATCH(F499,Produtos!$A$2:$A$11,0))</f>
        <v>249.9</v>
      </c>
      <c r="J499" s="5" t="n">
        <f aca="false">H499*I499</f>
        <v>249.9</v>
      </c>
      <c r="K499" s="5" t="n">
        <f aca="false">INDEX(Produtos!$E$2:$E$11,MATCH(F499,Produtos!$A$2:$A$11,0))</f>
        <v>145</v>
      </c>
      <c r="L499" s="5" t="n">
        <f aca="false">H499*K499</f>
        <v>145</v>
      </c>
    </row>
    <row r="500" customFormat="false" ht="15" hidden="false" customHeight="false" outlineLevel="0" collapsed="false">
      <c r="A500" s="2" t="s">
        <v>782</v>
      </c>
      <c r="B500" s="8" t="n">
        <v>46064</v>
      </c>
      <c r="C500" s="2" t="s">
        <v>82</v>
      </c>
      <c r="D500" s="3" t="str">
        <f aca="false">INDEX(Vendedores!$C$2:$C$101,MATCH(C500,Vendedores!$A$2:$A$101,0))</f>
        <v>L02</v>
      </c>
      <c r="E500" s="3" t="str">
        <f aca="false">INDEX(Lojas!$E$2:$E$11,MATCH(D500,Lojas!$A$2:$A$11,0))</f>
        <v>Sudeste</v>
      </c>
      <c r="F500" s="2" t="s">
        <v>252</v>
      </c>
      <c r="G500" s="3" t="str">
        <f aca="false">INDEX(Produtos!$B$2:$B$11,MATCH(F500,Produtos!$A$2:$A$11,0))&amp;" "&amp;INDEX(Produtos!$C$2:$C$11,MATCH(F500,Produtos!$A$2:$A$11,0))</f>
        <v>Notebook Lenovo</v>
      </c>
      <c r="H500" s="2" t="n">
        <v>2</v>
      </c>
      <c r="I500" s="5" t="n">
        <f aca="false">INDEX(Produtos!$D$2:$D$11,MATCH(F500,Produtos!$A$2:$A$11,0))</f>
        <v>3199</v>
      </c>
      <c r="J500" s="5" t="n">
        <f aca="false">H500*I500</f>
        <v>6398</v>
      </c>
      <c r="K500" s="5" t="n">
        <f aca="false">INDEX(Produtos!$E$2:$E$11,MATCH(F500,Produtos!$A$2:$A$11,0))</f>
        <v>2350</v>
      </c>
      <c r="L500" s="5" t="n">
        <f aca="false">H500*K500</f>
        <v>4700</v>
      </c>
    </row>
    <row r="501" customFormat="false" ht="15" hidden="false" customHeight="false" outlineLevel="0" collapsed="false">
      <c r="A501" s="2" t="s">
        <v>783</v>
      </c>
      <c r="B501" s="8" t="n">
        <v>46065</v>
      </c>
      <c r="C501" s="2" t="s">
        <v>227</v>
      </c>
      <c r="D501" s="3" t="str">
        <f aca="false">INDEX(Vendedores!$C$2:$C$101,MATCH(C501,Vendedores!$A$2:$A$101,0))</f>
        <v>L10</v>
      </c>
      <c r="E501" s="3" t="str">
        <f aca="false">INDEX(Lojas!$E$2:$E$11,MATCH(D501,Lojas!$A$2:$A$11,0))</f>
        <v>Nordeste</v>
      </c>
      <c r="F501" s="2" t="s">
        <v>260</v>
      </c>
      <c r="G501" s="3" t="str">
        <f aca="false">INDEX(Produtos!$B$2:$B$11,MATCH(F501,Produtos!$A$2:$A$11,0))&amp;" "&amp;INDEX(Produtos!$C$2:$C$11,MATCH(F501,Produtos!$A$2:$A$11,0))</f>
        <v>Celular Motorola</v>
      </c>
      <c r="H501" s="2" t="n">
        <v>2</v>
      </c>
      <c r="I501" s="5" t="n">
        <f aca="false">INDEX(Produtos!$D$2:$D$11,MATCH(F501,Produtos!$A$2:$A$11,0))</f>
        <v>1799</v>
      </c>
      <c r="J501" s="5" t="n">
        <f aca="false">H501*I501</f>
        <v>3598</v>
      </c>
      <c r="K501" s="5" t="n">
        <f aca="false">INDEX(Produtos!$E$2:$E$11,MATCH(F501,Produtos!$A$2:$A$11,0))</f>
        <v>1250</v>
      </c>
      <c r="L501" s="5" t="n">
        <f aca="false">H501*K501</f>
        <v>2500</v>
      </c>
    </row>
    <row r="502" customFormat="false" ht="15" hidden="false" customHeight="false" outlineLevel="0" collapsed="false">
      <c r="A502" s="2" t="s">
        <v>784</v>
      </c>
      <c r="B502" s="8" t="n">
        <v>46065</v>
      </c>
      <c r="C502" s="2" t="s">
        <v>235</v>
      </c>
      <c r="D502" s="3" t="str">
        <f aca="false">INDEX(Vendedores!$C$2:$C$101,MATCH(C502,Vendedores!$A$2:$A$101,0))</f>
        <v>L10</v>
      </c>
      <c r="E502" s="3" t="str">
        <f aca="false">INDEX(Lojas!$E$2:$E$11,MATCH(D502,Lojas!$A$2:$A$11,0))</f>
        <v>Nordeste</v>
      </c>
      <c r="F502" s="2" t="s">
        <v>255</v>
      </c>
      <c r="G502" s="3" t="str">
        <f aca="false">INDEX(Produtos!$B$2:$B$11,MATCH(F502,Produtos!$A$2:$A$11,0))&amp;" "&amp;INDEX(Produtos!$C$2:$C$11,MATCH(F502,Produtos!$A$2:$A$11,0))</f>
        <v>Notebook Positivo</v>
      </c>
      <c r="H502" s="2" t="n">
        <v>2</v>
      </c>
      <c r="I502" s="5" t="n">
        <f aca="false">INDEX(Produtos!$D$2:$D$11,MATCH(F502,Produtos!$A$2:$A$11,0))</f>
        <v>2199</v>
      </c>
      <c r="J502" s="5" t="n">
        <f aca="false">H502*I502</f>
        <v>4398</v>
      </c>
      <c r="K502" s="5" t="n">
        <f aca="false">INDEX(Produtos!$E$2:$E$11,MATCH(F502,Produtos!$A$2:$A$11,0))</f>
        <v>1550</v>
      </c>
      <c r="L502" s="5" t="n">
        <f aca="false">H502*K502</f>
        <v>3100</v>
      </c>
    </row>
    <row r="503" customFormat="false" ht="15" hidden="false" customHeight="false" outlineLevel="0" collapsed="false">
      <c r="A503" s="2" t="s">
        <v>785</v>
      </c>
      <c r="B503" s="8" t="n">
        <v>46065</v>
      </c>
      <c r="C503" s="2" t="s">
        <v>146</v>
      </c>
      <c r="D503" s="3" t="str">
        <f aca="false">INDEX(Vendedores!$C$2:$C$101,MATCH(C503,Vendedores!$A$2:$A$101,0))</f>
        <v>L05</v>
      </c>
      <c r="E503" s="3" t="str">
        <f aca="false">INDEX(Lojas!$E$2:$E$11,MATCH(D503,Lojas!$A$2:$A$11,0))</f>
        <v>Sul</v>
      </c>
      <c r="F503" s="2" t="s">
        <v>262</v>
      </c>
      <c r="G503" s="3" t="str">
        <f aca="false">INDEX(Produtos!$B$2:$B$11,MATCH(F503,Produtos!$A$2:$A$11,0))&amp;" "&amp;INDEX(Produtos!$C$2:$C$11,MATCH(F503,Produtos!$A$2:$A$11,0))</f>
        <v>Fone de Ouvido De Celular</v>
      </c>
      <c r="H503" s="2" t="n">
        <v>1</v>
      </c>
      <c r="I503" s="5" t="n">
        <f aca="false">INDEX(Produtos!$D$2:$D$11,MATCH(F503,Produtos!$A$2:$A$11,0))</f>
        <v>59.9</v>
      </c>
      <c r="J503" s="5" t="n">
        <f aca="false">H503*I503</f>
        <v>59.9</v>
      </c>
      <c r="K503" s="5" t="n">
        <f aca="false">INDEX(Produtos!$E$2:$E$11,MATCH(F503,Produtos!$A$2:$A$11,0))</f>
        <v>28</v>
      </c>
      <c r="L503" s="5" t="n">
        <f aca="false">H503*K503</f>
        <v>28</v>
      </c>
    </row>
    <row r="504" customFormat="false" ht="15" hidden="false" customHeight="false" outlineLevel="0" collapsed="false">
      <c r="A504" s="2" t="s">
        <v>786</v>
      </c>
      <c r="B504" s="8" t="n">
        <v>46065</v>
      </c>
      <c r="C504" s="2" t="s">
        <v>100</v>
      </c>
      <c r="D504" s="3" t="str">
        <f aca="false">INDEX(Vendedores!$C$2:$C$101,MATCH(C504,Vendedores!$A$2:$A$101,0))</f>
        <v>L03</v>
      </c>
      <c r="E504" s="3" t="str">
        <f aca="false">INDEX(Lojas!$E$2:$E$11,MATCH(D504,Lojas!$A$2:$A$11,0))</f>
        <v>Sudeste</v>
      </c>
      <c r="F504" s="2" t="s">
        <v>252</v>
      </c>
      <c r="G504" s="3" t="str">
        <f aca="false">INDEX(Produtos!$B$2:$B$11,MATCH(F504,Produtos!$A$2:$A$11,0))&amp;" "&amp;INDEX(Produtos!$C$2:$C$11,MATCH(F504,Produtos!$A$2:$A$11,0))</f>
        <v>Notebook Lenovo</v>
      </c>
      <c r="H504" s="2" t="n">
        <v>2</v>
      </c>
      <c r="I504" s="5" t="n">
        <f aca="false">INDEX(Produtos!$D$2:$D$11,MATCH(F504,Produtos!$A$2:$A$11,0))</f>
        <v>3199</v>
      </c>
      <c r="J504" s="5" t="n">
        <f aca="false">H504*I504</f>
        <v>6398</v>
      </c>
      <c r="K504" s="5" t="n">
        <f aca="false">INDEX(Produtos!$E$2:$E$11,MATCH(F504,Produtos!$A$2:$A$11,0))</f>
        <v>2350</v>
      </c>
      <c r="L504" s="5" t="n">
        <f aca="false">H504*K504</f>
        <v>4700</v>
      </c>
    </row>
    <row r="505" customFormat="false" ht="15" hidden="false" customHeight="false" outlineLevel="0" collapsed="false">
      <c r="A505" s="2" t="s">
        <v>787</v>
      </c>
      <c r="B505" s="8" t="n">
        <v>46065</v>
      </c>
      <c r="C505" s="2" t="s">
        <v>176</v>
      </c>
      <c r="D505" s="3" t="str">
        <f aca="false">INDEX(Vendedores!$C$2:$C$101,MATCH(C505,Vendedores!$A$2:$A$101,0))</f>
        <v>L07</v>
      </c>
      <c r="E505" s="3" t="str">
        <f aca="false">INDEX(Lojas!$E$2:$E$11,MATCH(D505,Lojas!$A$2:$A$11,0))</f>
        <v>Sul</v>
      </c>
      <c r="F505" s="2" t="s">
        <v>275</v>
      </c>
      <c r="G505" s="3" t="str">
        <f aca="false">INDEX(Produtos!$B$2:$B$11,MATCH(F505,Produtos!$A$2:$A$11,0))&amp;" "&amp;INDEX(Produtos!$C$2:$C$11,MATCH(F505,Produtos!$A$2:$A$11,0))</f>
        <v>Controle de Videogame PS5</v>
      </c>
      <c r="H505" s="2" t="n">
        <v>1</v>
      </c>
      <c r="I505" s="5" t="n">
        <f aca="false">INDEX(Produtos!$D$2:$D$11,MATCH(F505,Produtos!$A$2:$A$11,0))</f>
        <v>379.9</v>
      </c>
      <c r="J505" s="5" t="n">
        <f aca="false">H505*I505</f>
        <v>379.9</v>
      </c>
      <c r="K505" s="5" t="n">
        <f aca="false">INDEX(Produtos!$E$2:$E$11,MATCH(F505,Produtos!$A$2:$A$11,0))</f>
        <v>235</v>
      </c>
      <c r="L505" s="5" t="n">
        <f aca="false">H505*K505</f>
        <v>235</v>
      </c>
    </row>
    <row r="506" customFormat="false" ht="15" hidden="false" customHeight="false" outlineLevel="0" collapsed="false">
      <c r="A506" s="2" t="s">
        <v>788</v>
      </c>
      <c r="B506" s="8" t="n">
        <v>46065</v>
      </c>
      <c r="C506" s="2" t="s">
        <v>187</v>
      </c>
      <c r="D506" s="3" t="str">
        <f aca="false">INDEX(Vendedores!$C$2:$C$101,MATCH(C506,Vendedores!$A$2:$A$101,0))</f>
        <v>L08</v>
      </c>
      <c r="E506" s="3" t="str">
        <f aca="false">INDEX(Lojas!$E$2:$E$11,MATCH(D506,Lojas!$A$2:$A$11,0))</f>
        <v>Nordeste</v>
      </c>
      <c r="F506" s="2" t="s">
        <v>270</v>
      </c>
      <c r="G506" s="3" t="str">
        <f aca="false">INDEX(Produtos!$B$2:$B$11,MATCH(F506,Produtos!$A$2:$A$11,0))&amp;" "&amp;INDEX(Produtos!$C$2:$C$11,MATCH(F506,Produtos!$A$2:$A$11,0))</f>
        <v>Controle de Videogame Xbox</v>
      </c>
      <c r="H506" s="2" t="n">
        <v>1</v>
      </c>
      <c r="I506" s="5" t="n">
        <f aca="false">INDEX(Produtos!$D$2:$D$11,MATCH(F506,Produtos!$A$2:$A$11,0))</f>
        <v>349.9</v>
      </c>
      <c r="J506" s="5" t="n">
        <f aca="false">H506*I506</f>
        <v>349.9</v>
      </c>
      <c r="K506" s="5" t="n">
        <f aca="false">INDEX(Produtos!$E$2:$E$11,MATCH(F506,Produtos!$A$2:$A$11,0))</f>
        <v>215</v>
      </c>
      <c r="L506" s="5" t="n">
        <f aca="false">H506*K506</f>
        <v>215</v>
      </c>
    </row>
    <row r="507" customFormat="false" ht="15" hidden="false" customHeight="false" outlineLevel="0" collapsed="false">
      <c r="A507" s="2" t="s">
        <v>789</v>
      </c>
      <c r="B507" s="8" t="n">
        <v>46065</v>
      </c>
      <c r="C507" s="2" t="s">
        <v>185</v>
      </c>
      <c r="D507" s="3" t="str">
        <f aca="false">INDEX(Vendedores!$C$2:$C$101,MATCH(C507,Vendedores!$A$2:$A$101,0))</f>
        <v>L08</v>
      </c>
      <c r="E507" s="3" t="str">
        <f aca="false">INDEX(Lojas!$E$2:$E$11,MATCH(D507,Lojas!$A$2:$A$11,0))</f>
        <v>Nordeste</v>
      </c>
      <c r="F507" s="2" t="s">
        <v>267</v>
      </c>
      <c r="G507" s="3" t="str">
        <f aca="false">INDEX(Produtos!$B$2:$B$11,MATCH(F507,Produtos!$A$2:$A$11,0))&amp;" "&amp;INDEX(Produtos!$C$2:$C$11,MATCH(F507,Produtos!$A$2:$A$11,0))</f>
        <v>Carregador de Celular Tipo C</v>
      </c>
      <c r="H507" s="2" t="n">
        <v>2</v>
      </c>
      <c r="I507" s="5" t="n">
        <f aca="false">INDEX(Produtos!$D$2:$D$11,MATCH(F507,Produtos!$A$2:$A$11,0))</f>
        <v>44.9</v>
      </c>
      <c r="J507" s="5" t="n">
        <f aca="false">H507*I507</f>
        <v>89.8</v>
      </c>
      <c r="K507" s="5" t="n">
        <f aca="false">INDEX(Produtos!$E$2:$E$11,MATCH(F507,Produtos!$A$2:$A$11,0))</f>
        <v>18</v>
      </c>
      <c r="L507" s="5" t="n">
        <f aca="false">H507*K507</f>
        <v>36</v>
      </c>
    </row>
    <row r="508" customFormat="false" ht="15" hidden="false" customHeight="false" outlineLevel="0" collapsed="false">
      <c r="A508" s="2" t="s">
        <v>790</v>
      </c>
      <c r="B508" s="8" t="n">
        <v>46065</v>
      </c>
      <c r="C508" s="2" t="s">
        <v>237</v>
      </c>
      <c r="D508" s="3" t="str">
        <f aca="false">INDEX(Vendedores!$C$2:$C$101,MATCH(C508,Vendedores!$A$2:$A$101,0))</f>
        <v>L10</v>
      </c>
      <c r="E508" s="3" t="str">
        <f aca="false">INDEX(Lojas!$E$2:$E$11,MATCH(D508,Lojas!$A$2:$A$11,0))</f>
        <v>Nordeste</v>
      </c>
      <c r="F508" s="2" t="s">
        <v>267</v>
      </c>
      <c r="G508" s="3" t="str">
        <f aca="false">INDEX(Produtos!$B$2:$B$11,MATCH(F508,Produtos!$A$2:$A$11,0))&amp;" "&amp;INDEX(Produtos!$C$2:$C$11,MATCH(F508,Produtos!$A$2:$A$11,0))</f>
        <v>Carregador de Celular Tipo C</v>
      </c>
      <c r="H508" s="2" t="n">
        <v>1</v>
      </c>
      <c r="I508" s="5" t="n">
        <f aca="false">INDEX(Produtos!$D$2:$D$11,MATCH(F508,Produtos!$A$2:$A$11,0))</f>
        <v>44.9</v>
      </c>
      <c r="J508" s="5" t="n">
        <f aca="false">H508*I508</f>
        <v>44.9</v>
      </c>
      <c r="K508" s="5" t="n">
        <f aca="false">INDEX(Produtos!$E$2:$E$11,MATCH(F508,Produtos!$A$2:$A$11,0))</f>
        <v>18</v>
      </c>
      <c r="L508" s="5" t="n">
        <f aca="false">H508*K508</f>
        <v>18</v>
      </c>
    </row>
    <row r="509" customFormat="false" ht="15" hidden="false" customHeight="false" outlineLevel="0" collapsed="false">
      <c r="A509" s="2" t="s">
        <v>791</v>
      </c>
      <c r="B509" s="8" t="n">
        <v>46066</v>
      </c>
      <c r="C509" s="2" t="s">
        <v>187</v>
      </c>
      <c r="D509" s="3" t="str">
        <f aca="false">INDEX(Vendedores!$C$2:$C$101,MATCH(C509,Vendedores!$A$2:$A$101,0))</f>
        <v>L08</v>
      </c>
      <c r="E509" s="3" t="str">
        <f aca="false">INDEX(Lojas!$E$2:$E$11,MATCH(D509,Lojas!$A$2:$A$11,0))</f>
        <v>Nordeste</v>
      </c>
      <c r="F509" s="2" t="s">
        <v>262</v>
      </c>
      <c r="G509" s="3" t="str">
        <f aca="false">INDEX(Produtos!$B$2:$B$11,MATCH(F509,Produtos!$A$2:$A$11,0))&amp;" "&amp;INDEX(Produtos!$C$2:$C$11,MATCH(F509,Produtos!$A$2:$A$11,0))</f>
        <v>Fone de Ouvido De Celular</v>
      </c>
      <c r="H509" s="2" t="n">
        <v>2</v>
      </c>
      <c r="I509" s="5" t="n">
        <f aca="false">INDEX(Produtos!$D$2:$D$11,MATCH(F509,Produtos!$A$2:$A$11,0))</f>
        <v>59.9</v>
      </c>
      <c r="J509" s="5" t="n">
        <f aca="false">H509*I509</f>
        <v>119.8</v>
      </c>
      <c r="K509" s="5" t="n">
        <f aca="false">INDEX(Produtos!$E$2:$E$11,MATCH(F509,Produtos!$A$2:$A$11,0))</f>
        <v>28</v>
      </c>
      <c r="L509" s="5" t="n">
        <f aca="false">H509*K509</f>
        <v>56</v>
      </c>
    </row>
    <row r="510" customFormat="false" ht="15" hidden="false" customHeight="false" outlineLevel="0" collapsed="false">
      <c r="A510" s="2" t="s">
        <v>792</v>
      </c>
      <c r="B510" s="8" t="n">
        <v>46066</v>
      </c>
      <c r="C510" s="2" t="s">
        <v>62</v>
      </c>
      <c r="D510" s="3" t="str">
        <f aca="false">INDEX(Vendedores!$C$2:$C$101,MATCH(C510,Vendedores!$A$2:$A$101,0))</f>
        <v>L01</v>
      </c>
      <c r="E510" s="3" t="str">
        <f aca="false">INDEX(Lojas!$E$2:$E$11,MATCH(D510,Lojas!$A$2:$A$11,0))</f>
        <v>Sudeste</v>
      </c>
      <c r="F510" s="2" t="s">
        <v>273</v>
      </c>
      <c r="G510" s="3" t="str">
        <f aca="false">INDEX(Produtos!$B$2:$B$11,MATCH(F510,Produtos!$A$2:$A$11,0))&amp;" "&amp;INDEX(Produtos!$C$2:$C$11,MATCH(F510,Produtos!$A$2:$A$11,0))</f>
        <v>Controle de Videogame PS4</v>
      </c>
      <c r="H510" s="2" t="n">
        <v>1</v>
      </c>
      <c r="I510" s="5" t="n">
        <f aca="false">INDEX(Produtos!$D$2:$D$11,MATCH(F510,Produtos!$A$2:$A$11,0))</f>
        <v>299.9</v>
      </c>
      <c r="J510" s="5" t="n">
        <f aca="false">H510*I510</f>
        <v>299.9</v>
      </c>
      <c r="K510" s="5" t="n">
        <f aca="false">INDEX(Produtos!$E$2:$E$11,MATCH(F510,Produtos!$A$2:$A$11,0))</f>
        <v>175</v>
      </c>
      <c r="L510" s="5" t="n">
        <f aca="false">H510*K510</f>
        <v>175</v>
      </c>
    </row>
    <row r="511" customFormat="false" ht="15" hidden="false" customHeight="false" outlineLevel="0" collapsed="false">
      <c r="A511" s="2" t="s">
        <v>793</v>
      </c>
      <c r="B511" s="8" t="n">
        <v>46066</v>
      </c>
      <c r="C511" s="2" t="s">
        <v>92</v>
      </c>
      <c r="D511" s="3" t="str">
        <f aca="false">INDEX(Vendedores!$C$2:$C$101,MATCH(C511,Vendedores!$A$2:$A$101,0))</f>
        <v>L03</v>
      </c>
      <c r="E511" s="3" t="str">
        <f aca="false">INDEX(Lojas!$E$2:$E$11,MATCH(D511,Lojas!$A$2:$A$11,0))</f>
        <v>Sudeste</v>
      </c>
      <c r="F511" s="2" t="s">
        <v>273</v>
      </c>
      <c r="G511" s="3" t="str">
        <f aca="false">INDEX(Produtos!$B$2:$B$11,MATCH(F511,Produtos!$A$2:$A$11,0))&amp;" "&amp;INDEX(Produtos!$C$2:$C$11,MATCH(F511,Produtos!$A$2:$A$11,0))</f>
        <v>Controle de Videogame PS4</v>
      </c>
      <c r="H511" s="2" t="n">
        <v>1</v>
      </c>
      <c r="I511" s="5" t="n">
        <f aca="false">INDEX(Produtos!$D$2:$D$11,MATCH(F511,Produtos!$A$2:$A$11,0))</f>
        <v>299.9</v>
      </c>
      <c r="J511" s="5" t="n">
        <f aca="false">H511*I511</f>
        <v>299.9</v>
      </c>
      <c r="K511" s="5" t="n">
        <f aca="false">INDEX(Produtos!$E$2:$E$11,MATCH(F511,Produtos!$A$2:$A$11,0))</f>
        <v>175</v>
      </c>
      <c r="L511" s="5" t="n">
        <f aca="false">H511*K511</f>
        <v>175</v>
      </c>
    </row>
    <row r="512" customFormat="false" ht="15" hidden="false" customHeight="false" outlineLevel="0" collapsed="false">
      <c r="A512" s="2" t="s">
        <v>794</v>
      </c>
      <c r="B512" s="8" t="n">
        <v>46066</v>
      </c>
      <c r="C512" s="2" t="s">
        <v>102</v>
      </c>
      <c r="D512" s="3" t="str">
        <f aca="false">INDEX(Vendedores!$C$2:$C$101,MATCH(C512,Vendedores!$A$2:$A$101,0))</f>
        <v>L03</v>
      </c>
      <c r="E512" s="3" t="str">
        <f aca="false">INDEX(Lojas!$E$2:$E$11,MATCH(D512,Lojas!$A$2:$A$11,0))</f>
        <v>Sudeste</v>
      </c>
      <c r="F512" s="2" t="s">
        <v>270</v>
      </c>
      <c r="G512" s="3" t="str">
        <f aca="false">INDEX(Produtos!$B$2:$B$11,MATCH(F512,Produtos!$A$2:$A$11,0))&amp;" "&amp;INDEX(Produtos!$C$2:$C$11,MATCH(F512,Produtos!$A$2:$A$11,0))</f>
        <v>Controle de Videogame Xbox</v>
      </c>
      <c r="H512" s="2" t="n">
        <v>1</v>
      </c>
      <c r="I512" s="5" t="n">
        <f aca="false">INDEX(Produtos!$D$2:$D$11,MATCH(F512,Produtos!$A$2:$A$11,0))</f>
        <v>349.9</v>
      </c>
      <c r="J512" s="5" t="n">
        <f aca="false">H512*I512</f>
        <v>349.9</v>
      </c>
      <c r="K512" s="5" t="n">
        <f aca="false">INDEX(Produtos!$E$2:$E$11,MATCH(F512,Produtos!$A$2:$A$11,0))</f>
        <v>215</v>
      </c>
      <c r="L512" s="5" t="n">
        <f aca="false">H512*K512</f>
        <v>215</v>
      </c>
    </row>
    <row r="513" customFormat="false" ht="15" hidden="false" customHeight="false" outlineLevel="0" collapsed="false">
      <c r="A513" s="2" t="s">
        <v>795</v>
      </c>
      <c r="B513" s="8" t="n">
        <v>46066</v>
      </c>
      <c r="C513" s="2" t="s">
        <v>128</v>
      </c>
      <c r="D513" s="3" t="str">
        <f aca="false">INDEX(Vendedores!$C$2:$C$101,MATCH(C513,Vendedores!$A$2:$A$101,0))</f>
        <v>L04</v>
      </c>
      <c r="E513" s="3" t="str">
        <f aca="false">INDEX(Lojas!$E$2:$E$11,MATCH(D513,Lojas!$A$2:$A$11,0))</f>
        <v>Sudeste</v>
      </c>
      <c r="F513" s="2" t="s">
        <v>270</v>
      </c>
      <c r="G513" s="3" t="str">
        <f aca="false">INDEX(Produtos!$B$2:$B$11,MATCH(F513,Produtos!$A$2:$A$11,0))&amp;" "&amp;INDEX(Produtos!$C$2:$C$11,MATCH(F513,Produtos!$A$2:$A$11,0))</f>
        <v>Controle de Videogame Xbox</v>
      </c>
      <c r="H513" s="2" t="n">
        <v>2</v>
      </c>
      <c r="I513" s="5" t="n">
        <f aca="false">INDEX(Produtos!$D$2:$D$11,MATCH(F513,Produtos!$A$2:$A$11,0))</f>
        <v>349.9</v>
      </c>
      <c r="J513" s="5" t="n">
        <f aca="false">H513*I513</f>
        <v>699.8</v>
      </c>
      <c r="K513" s="5" t="n">
        <f aca="false">INDEX(Produtos!$E$2:$E$11,MATCH(F513,Produtos!$A$2:$A$11,0))</f>
        <v>215</v>
      </c>
      <c r="L513" s="5" t="n">
        <f aca="false">H513*K513</f>
        <v>430</v>
      </c>
    </row>
    <row r="514" customFormat="false" ht="15" hidden="false" customHeight="false" outlineLevel="0" collapsed="false">
      <c r="A514" s="2" t="s">
        <v>796</v>
      </c>
      <c r="B514" s="8" t="n">
        <v>46066</v>
      </c>
      <c r="C514" s="2" t="s">
        <v>146</v>
      </c>
      <c r="D514" s="3" t="str">
        <f aca="false">INDEX(Vendedores!$C$2:$C$101,MATCH(C514,Vendedores!$A$2:$A$101,0))</f>
        <v>L05</v>
      </c>
      <c r="E514" s="3" t="str">
        <f aca="false">INDEX(Lojas!$E$2:$E$11,MATCH(D514,Lojas!$A$2:$A$11,0))</f>
        <v>Sul</v>
      </c>
      <c r="F514" s="2" t="s">
        <v>260</v>
      </c>
      <c r="G514" s="3" t="str">
        <f aca="false">INDEX(Produtos!$B$2:$B$11,MATCH(F514,Produtos!$A$2:$A$11,0))&amp;" "&amp;INDEX(Produtos!$C$2:$C$11,MATCH(F514,Produtos!$A$2:$A$11,0))</f>
        <v>Celular Motorola</v>
      </c>
      <c r="H514" s="2" t="n">
        <v>2</v>
      </c>
      <c r="I514" s="5" t="n">
        <f aca="false">INDEX(Produtos!$D$2:$D$11,MATCH(F514,Produtos!$A$2:$A$11,0))</f>
        <v>1799</v>
      </c>
      <c r="J514" s="5" t="n">
        <f aca="false">H514*I514</f>
        <v>3598</v>
      </c>
      <c r="K514" s="5" t="n">
        <f aca="false">INDEX(Produtos!$E$2:$E$11,MATCH(F514,Produtos!$A$2:$A$11,0))</f>
        <v>1250</v>
      </c>
      <c r="L514" s="5" t="n">
        <f aca="false">H514*K514</f>
        <v>2500</v>
      </c>
    </row>
    <row r="515" customFormat="false" ht="15" hidden="false" customHeight="false" outlineLevel="0" collapsed="false">
      <c r="A515" s="2" t="s">
        <v>797</v>
      </c>
      <c r="B515" s="8" t="n">
        <v>46067</v>
      </c>
      <c r="C515" s="2" t="s">
        <v>74</v>
      </c>
      <c r="D515" s="3" t="str">
        <f aca="false">INDEX(Vendedores!$C$2:$C$101,MATCH(C515,Vendedores!$A$2:$A$101,0))</f>
        <v>L02</v>
      </c>
      <c r="E515" s="3" t="str">
        <f aca="false">INDEX(Lojas!$E$2:$E$11,MATCH(D515,Lojas!$A$2:$A$11,0))</f>
        <v>Sudeste</v>
      </c>
      <c r="F515" s="2" t="s">
        <v>255</v>
      </c>
      <c r="G515" s="3" t="str">
        <f aca="false">INDEX(Produtos!$B$2:$B$11,MATCH(F515,Produtos!$A$2:$A$11,0))&amp;" "&amp;INDEX(Produtos!$C$2:$C$11,MATCH(F515,Produtos!$A$2:$A$11,0))</f>
        <v>Notebook Positivo</v>
      </c>
      <c r="H515" s="2" t="n">
        <v>1</v>
      </c>
      <c r="I515" s="5" t="n">
        <f aca="false">INDEX(Produtos!$D$2:$D$11,MATCH(F515,Produtos!$A$2:$A$11,0))</f>
        <v>2199</v>
      </c>
      <c r="J515" s="5" t="n">
        <f aca="false">H515*I515</f>
        <v>2199</v>
      </c>
      <c r="K515" s="5" t="n">
        <f aca="false">INDEX(Produtos!$E$2:$E$11,MATCH(F515,Produtos!$A$2:$A$11,0))</f>
        <v>1550</v>
      </c>
      <c r="L515" s="5" t="n">
        <f aca="false">H515*K515</f>
        <v>1550</v>
      </c>
    </row>
    <row r="516" customFormat="false" ht="15" hidden="false" customHeight="false" outlineLevel="0" collapsed="false">
      <c r="A516" s="2" t="s">
        <v>798</v>
      </c>
      <c r="B516" s="8" t="n">
        <v>46067</v>
      </c>
      <c r="C516" s="2" t="s">
        <v>225</v>
      </c>
      <c r="D516" s="3" t="str">
        <f aca="false">INDEX(Vendedores!$C$2:$C$101,MATCH(C516,Vendedores!$A$2:$A$101,0))</f>
        <v>L10</v>
      </c>
      <c r="E516" s="3" t="str">
        <f aca="false">INDEX(Lojas!$E$2:$E$11,MATCH(D516,Lojas!$A$2:$A$11,0))</f>
        <v>Nordeste</v>
      </c>
      <c r="F516" s="2" t="s">
        <v>262</v>
      </c>
      <c r="G516" s="3" t="str">
        <f aca="false">INDEX(Produtos!$B$2:$B$11,MATCH(F516,Produtos!$A$2:$A$11,0))&amp;" "&amp;INDEX(Produtos!$C$2:$C$11,MATCH(F516,Produtos!$A$2:$A$11,0))</f>
        <v>Fone de Ouvido De Celular</v>
      </c>
      <c r="H516" s="2" t="n">
        <v>1</v>
      </c>
      <c r="I516" s="5" t="n">
        <f aca="false">INDEX(Produtos!$D$2:$D$11,MATCH(F516,Produtos!$A$2:$A$11,0))</f>
        <v>59.9</v>
      </c>
      <c r="J516" s="5" t="n">
        <f aca="false">H516*I516</f>
        <v>59.9</v>
      </c>
      <c r="K516" s="5" t="n">
        <f aca="false">INDEX(Produtos!$E$2:$E$11,MATCH(F516,Produtos!$A$2:$A$11,0))</f>
        <v>28</v>
      </c>
      <c r="L516" s="5" t="n">
        <f aca="false">H516*K516</f>
        <v>28</v>
      </c>
    </row>
    <row r="517" customFormat="false" ht="15" hidden="false" customHeight="false" outlineLevel="0" collapsed="false">
      <c r="A517" s="2" t="s">
        <v>799</v>
      </c>
      <c r="B517" s="8" t="n">
        <v>46067</v>
      </c>
      <c r="C517" s="2" t="s">
        <v>62</v>
      </c>
      <c r="D517" s="3" t="str">
        <f aca="false">INDEX(Vendedores!$C$2:$C$101,MATCH(C517,Vendedores!$A$2:$A$101,0))</f>
        <v>L01</v>
      </c>
      <c r="E517" s="3" t="str">
        <f aca="false">INDEX(Lojas!$E$2:$E$11,MATCH(D517,Lojas!$A$2:$A$11,0))</f>
        <v>Sudeste</v>
      </c>
      <c r="F517" s="2" t="s">
        <v>273</v>
      </c>
      <c r="G517" s="3" t="str">
        <f aca="false">INDEX(Produtos!$B$2:$B$11,MATCH(F517,Produtos!$A$2:$A$11,0))&amp;" "&amp;INDEX(Produtos!$C$2:$C$11,MATCH(F517,Produtos!$A$2:$A$11,0))</f>
        <v>Controle de Videogame PS4</v>
      </c>
      <c r="H517" s="2" t="n">
        <v>1</v>
      </c>
      <c r="I517" s="5" t="n">
        <f aca="false">INDEX(Produtos!$D$2:$D$11,MATCH(F517,Produtos!$A$2:$A$11,0))</f>
        <v>299.9</v>
      </c>
      <c r="J517" s="5" t="n">
        <f aca="false">H517*I517</f>
        <v>299.9</v>
      </c>
      <c r="K517" s="5" t="n">
        <f aca="false">INDEX(Produtos!$E$2:$E$11,MATCH(F517,Produtos!$A$2:$A$11,0))</f>
        <v>175</v>
      </c>
      <c r="L517" s="5" t="n">
        <f aca="false">H517*K517</f>
        <v>175</v>
      </c>
    </row>
    <row r="518" customFormat="false" ht="15" hidden="false" customHeight="false" outlineLevel="0" collapsed="false">
      <c r="A518" s="2" t="s">
        <v>800</v>
      </c>
      <c r="B518" s="8" t="n">
        <v>46067</v>
      </c>
      <c r="C518" s="2" t="s">
        <v>106</v>
      </c>
      <c r="D518" s="3" t="str">
        <f aca="false">INDEX(Vendedores!$C$2:$C$101,MATCH(C518,Vendedores!$A$2:$A$101,0))</f>
        <v>L03</v>
      </c>
      <c r="E518" s="3" t="str">
        <f aca="false">INDEX(Lojas!$E$2:$E$11,MATCH(D518,Lojas!$A$2:$A$11,0))</f>
        <v>Sudeste</v>
      </c>
      <c r="F518" s="2" t="s">
        <v>262</v>
      </c>
      <c r="G518" s="3" t="str">
        <f aca="false">INDEX(Produtos!$B$2:$B$11,MATCH(F518,Produtos!$A$2:$A$11,0))&amp;" "&amp;INDEX(Produtos!$C$2:$C$11,MATCH(F518,Produtos!$A$2:$A$11,0))</f>
        <v>Fone de Ouvido De Celular</v>
      </c>
      <c r="H518" s="2" t="n">
        <v>3</v>
      </c>
      <c r="I518" s="5" t="n">
        <f aca="false">INDEX(Produtos!$D$2:$D$11,MATCH(F518,Produtos!$A$2:$A$11,0))</f>
        <v>59.9</v>
      </c>
      <c r="J518" s="5" t="n">
        <f aca="false">H518*I518</f>
        <v>179.7</v>
      </c>
      <c r="K518" s="5" t="n">
        <f aca="false">INDEX(Produtos!$E$2:$E$11,MATCH(F518,Produtos!$A$2:$A$11,0))</f>
        <v>28</v>
      </c>
      <c r="L518" s="5" t="n">
        <f aca="false">H518*K518</f>
        <v>84</v>
      </c>
    </row>
    <row r="519" customFormat="false" ht="15" hidden="false" customHeight="false" outlineLevel="0" collapsed="false">
      <c r="A519" s="2" t="s">
        <v>801</v>
      </c>
      <c r="B519" s="8" t="n">
        <v>46067</v>
      </c>
      <c r="C519" s="2" t="s">
        <v>144</v>
      </c>
      <c r="D519" s="3" t="str">
        <f aca="false">INDEX(Vendedores!$C$2:$C$101,MATCH(C519,Vendedores!$A$2:$A$101,0))</f>
        <v>L05</v>
      </c>
      <c r="E519" s="3" t="str">
        <f aca="false">INDEX(Lojas!$E$2:$E$11,MATCH(D519,Lojas!$A$2:$A$11,0))</f>
        <v>Sul</v>
      </c>
      <c r="F519" s="2" t="s">
        <v>262</v>
      </c>
      <c r="G519" s="3" t="str">
        <f aca="false">INDEX(Produtos!$B$2:$B$11,MATCH(F519,Produtos!$A$2:$A$11,0))&amp;" "&amp;INDEX(Produtos!$C$2:$C$11,MATCH(F519,Produtos!$A$2:$A$11,0))</f>
        <v>Fone de Ouvido De Celular</v>
      </c>
      <c r="H519" s="2" t="n">
        <v>1</v>
      </c>
      <c r="I519" s="5" t="n">
        <f aca="false">INDEX(Produtos!$D$2:$D$11,MATCH(F519,Produtos!$A$2:$A$11,0))</f>
        <v>59.9</v>
      </c>
      <c r="J519" s="5" t="n">
        <f aca="false">H519*I519</f>
        <v>59.9</v>
      </c>
      <c r="K519" s="5" t="n">
        <f aca="false">INDEX(Produtos!$E$2:$E$11,MATCH(F519,Produtos!$A$2:$A$11,0))</f>
        <v>28</v>
      </c>
      <c r="L519" s="5" t="n">
        <f aca="false">H519*K519</f>
        <v>28</v>
      </c>
    </row>
    <row r="520" customFormat="false" ht="15" hidden="false" customHeight="false" outlineLevel="0" collapsed="false">
      <c r="A520" s="2" t="s">
        <v>802</v>
      </c>
      <c r="B520" s="8" t="n">
        <v>46067</v>
      </c>
      <c r="C520" s="2" t="s">
        <v>185</v>
      </c>
      <c r="D520" s="3" t="str">
        <f aca="false">INDEX(Vendedores!$C$2:$C$101,MATCH(C520,Vendedores!$A$2:$A$101,0))</f>
        <v>L08</v>
      </c>
      <c r="E520" s="3" t="str">
        <f aca="false">INDEX(Lojas!$E$2:$E$11,MATCH(D520,Lojas!$A$2:$A$11,0))</f>
        <v>Nordeste</v>
      </c>
      <c r="F520" s="2" t="s">
        <v>267</v>
      </c>
      <c r="G520" s="3" t="str">
        <f aca="false">INDEX(Produtos!$B$2:$B$11,MATCH(F520,Produtos!$A$2:$A$11,0))&amp;" "&amp;INDEX(Produtos!$C$2:$C$11,MATCH(F520,Produtos!$A$2:$A$11,0))</f>
        <v>Carregador de Celular Tipo C</v>
      </c>
      <c r="H520" s="2" t="n">
        <v>1</v>
      </c>
      <c r="I520" s="5" t="n">
        <f aca="false">INDEX(Produtos!$D$2:$D$11,MATCH(F520,Produtos!$A$2:$A$11,0))</f>
        <v>44.9</v>
      </c>
      <c r="J520" s="5" t="n">
        <f aca="false">H520*I520</f>
        <v>44.9</v>
      </c>
      <c r="K520" s="5" t="n">
        <f aca="false">INDEX(Produtos!$E$2:$E$11,MATCH(F520,Produtos!$A$2:$A$11,0))</f>
        <v>18</v>
      </c>
      <c r="L520" s="5" t="n">
        <f aca="false">H520*K520</f>
        <v>18</v>
      </c>
    </row>
    <row r="521" customFormat="false" ht="15" hidden="false" customHeight="false" outlineLevel="0" collapsed="false">
      <c r="A521" s="2" t="s">
        <v>803</v>
      </c>
      <c r="B521" s="8" t="n">
        <v>46067</v>
      </c>
      <c r="C521" s="2" t="s">
        <v>235</v>
      </c>
      <c r="D521" s="3" t="str">
        <f aca="false">INDEX(Vendedores!$C$2:$C$101,MATCH(C521,Vendedores!$A$2:$A$101,0))</f>
        <v>L10</v>
      </c>
      <c r="E521" s="3" t="str">
        <f aca="false">INDEX(Lojas!$E$2:$E$11,MATCH(D521,Lojas!$A$2:$A$11,0))</f>
        <v>Nordeste</v>
      </c>
      <c r="F521" s="2" t="s">
        <v>255</v>
      </c>
      <c r="G521" s="3" t="str">
        <f aca="false">INDEX(Produtos!$B$2:$B$11,MATCH(F521,Produtos!$A$2:$A$11,0))&amp;" "&amp;INDEX(Produtos!$C$2:$C$11,MATCH(F521,Produtos!$A$2:$A$11,0))</f>
        <v>Notebook Positivo</v>
      </c>
      <c r="H521" s="2" t="n">
        <v>1</v>
      </c>
      <c r="I521" s="5" t="n">
        <f aca="false">INDEX(Produtos!$D$2:$D$11,MATCH(F521,Produtos!$A$2:$A$11,0))</f>
        <v>2199</v>
      </c>
      <c r="J521" s="5" t="n">
        <f aca="false">H521*I521</f>
        <v>2199</v>
      </c>
      <c r="K521" s="5" t="n">
        <f aca="false">INDEX(Produtos!$E$2:$E$11,MATCH(F521,Produtos!$A$2:$A$11,0))</f>
        <v>1550</v>
      </c>
      <c r="L521" s="5" t="n">
        <f aca="false">H521*K521</f>
        <v>1550</v>
      </c>
    </row>
    <row r="522" customFormat="false" ht="15" hidden="false" customHeight="false" outlineLevel="0" collapsed="false">
      <c r="A522" s="2" t="s">
        <v>804</v>
      </c>
      <c r="B522" s="8" t="n">
        <v>46067</v>
      </c>
      <c r="C522" s="2" t="s">
        <v>217</v>
      </c>
      <c r="D522" s="3" t="str">
        <f aca="false">INDEX(Vendedores!$C$2:$C$101,MATCH(C522,Vendedores!$A$2:$A$101,0))</f>
        <v>L09</v>
      </c>
      <c r="E522" s="3" t="str">
        <f aca="false">INDEX(Lojas!$E$2:$E$11,MATCH(D522,Lojas!$A$2:$A$11,0))</f>
        <v>Nordeste</v>
      </c>
      <c r="F522" s="2" t="s">
        <v>260</v>
      </c>
      <c r="G522" s="3" t="str">
        <f aca="false">INDEX(Produtos!$B$2:$B$11,MATCH(F522,Produtos!$A$2:$A$11,0))&amp;" "&amp;INDEX(Produtos!$C$2:$C$11,MATCH(F522,Produtos!$A$2:$A$11,0))</f>
        <v>Celular Motorola</v>
      </c>
      <c r="H522" s="2" t="n">
        <v>1</v>
      </c>
      <c r="I522" s="5" t="n">
        <f aca="false">INDEX(Produtos!$D$2:$D$11,MATCH(F522,Produtos!$A$2:$A$11,0))</f>
        <v>1799</v>
      </c>
      <c r="J522" s="5" t="n">
        <f aca="false">H522*I522</f>
        <v>1799</v>
      </c>
      <c r="K522" s="5" t="n">
        <f aca="false">INDEX(Produtos!$E$2:$E$11,MATCH(F522,Produtos!$A$2:$A$11,0))</f>
        <v>1250</v>
      </c>
      <c r="L522" s="5" t="n">
        <f aca="false">H522*K522</f>
        <v>1250</v>
      </c>
    </row>
    <row r="523" customFormat="false" ht="15" hidden="false" customHeight="false" outlineLevel="0" collapsed="false">
      <c r="A523" s="2" t="s">
        <v>805</v>
      </c>
      <c r="B523" s="8" t="n">
        <v>46067</v>
      </c>
      <c r="C523" s="2" t="s">
        <v>239</v>
      </c>
      <c r="D523" s="3" t="str">
        <f aca="false">INDEX(Vendedores!$C$2:$C$101,MATCH(C523,Vendedores!$A$2:$A$101,0))</f>
        <v>L10</v>
      </c>
      <c r="E523" s="3" t="str">
        <f aca="false">INDEX(Lojas!$E$2:$E$11,MATCH(D523,Lojas!$A$2:$A$11,0))</f>
        <v>Nordeste</v>
      </c>
      <c r="F523" s="2" t="s">
        <v>262</v>
      </c>
      <c r="G523" s="3" t="str">
        <f aca="false">INDEX(Produtos!$B$2:$B$11,MATCH(F523,Produtos!$A$2:$A$11,0))&amp;" "&amp;INDEX(Produtos!$C$2:$C$11,MATCH(F523,Produtos!$A$2:$A$11,0))</f>
        <v>Fone de Ouvido De Celular</v>
      </c>
      <c r="H523" s="2" t="n">
        <v>1</v>
      </c>
      <c r="I523" s="5" t="n">
        <f aca="false">INDEX(Produtos!$D$2:$D$11,MATCH(F523,Produtos!$A$2:$A$11,0))</f>
        <v>59.9</v>
      </c>
      <c r="J523" s="5" t="n">
        <f aca="false">H523*I523</f>
        <v>59.9</v>
      </c>
      <c r="K523" s="5" t="n">
        <f aca="false">INDEX(Produtos!$E$2:$E$11,MATCH(F523,Produtos!$A$2:$A$11,0))</f>
        <v>28</v>
      </c>
      <c r="L523" s="5" t="n">
        <f aca="false">H523*K523</f>
        <v>28</v>
      </c>
    </row>
    <row r="524" customFormat="false" ht="15" hidden="false" customHeight="false" outlineLevel="0" collapsed="false">
      <c r="A524" s="2" t="s">
        <v>806</v>
      </c>
      <c r="B524" s="8" t="n">
        <v>46067</v>
      </c>
      <c r="C524" s="2" t="s">
        <v>154</v>
      </c>
      <c r="D524" s="3" t="str">
        <f aca="false">INDEX(Vendedores!$C$2:$C$101,MATCH(C524,Vendedores!$A$2:$A$101,0))</f>
        <v>L06</v>
      </c>
      <c r="E524" s="3" t="str">
        <f aca="false">INDEX(Lojas!$E$2:$E$11,MATCH(D524,Lojas!$A$2:$A$11,0))</f>
        <v>Sul</v>
      </c>
      <c r="F524" s="2" t="s">
        <v>262</v>
      </c>
      <c r="G524" s="3" t="str">
        <f aca="false">INDEX(Produtos!$B$2:$B$11,MATCH(F524,Produtos!$A$2:$A$11,0))&amp;" "&amp;INDEX(Produtos!$C$2:$C$11,MATCH(F524,Produtos!$A$2:$A$11,0))</f>
        <v>Fone de Ouvido De Celular</v>
      </c>
      <c r="H524" s="2" t="n">
        <v>1</v>
      </c>
      <c r="I524" s="5" t="n">
        <f aca="false">INDEX(Produtos!$D$2:$D$11,MATCH(F524,Produtos!$A$2:$A$11,0))</f>
        <v>59.9</v>
      </c>
      <c r="J524" s="5" t="n">
        <f aca="false">H524*I524</f>
        <v>59.9</v>
      </c>
      <c r="K524" s="5" t="n">
        <f aca="false">INDEX(Produtos!$E$2:$E$11,MATCH(F524,Produtos!$A$2:$A$11,0))</f>
        <v>28</v>
      </c>
      <c r="L524" s="5" t="n">
        <f aca="false">H524*K524</f>
        <v>28</v>
      </c>
    </row>
    <row r="525" customFormat="false" ht="15" hidden="false" customHeight="false" outlineLevel="0" collapsed="false">
      <c r="A525" s="2" t="s">
        <v>807</v>
      </c>
      <c r="B525" s="8" t="n">
        <v>46067</v>
      </c>
      <c r="C525" s="2" t="s">
        <v>164</v>
      </c>
      <c r="D525" s="3" t="str">
        <f aca="false">INDEX(Vendedores!$C$2:$C$101,MATCH(C525,Vendedores!$A$2:$A$101,0))</f>
        <v>L06</v>
      </c>
      <c r="E525" s="3" t="str">
        <f aca="false">INDEX(Lojas!$E$2:$E$11,MATCH(D525,Lojas!$A$2:$A$11,0))</f>
        <v>Sul</v>
      </c>
      <c r="F525" s="2" t="s">
        <v>262</v>
      </c>
      <c r="G525" s="3" t="str">
        <f aca="false">INDEX(Produtos!$B$2:$B$11,MATCH(F525,Produtos!$A$2:$A$11,0))&amp;" "&amp;INDEX(Produtos!$C$2:$C$11,MATCH(F525,Produtos!$A$2:$A$11,0))</f>
        <v>Fone de Ouvido De Celular</v>
      </c>
      <c r="H525" s="2" t="n">
        <v>1</v>
      </c>
      <c r="I525" s="5" t="n">
        <f aca="false">INDEX(Produtos!$D$2:$D$11,MATCH(F525,Produtos!$A$2:$A$11,0))</f>
        <v>59.9</v>
      </c>
      <c r="J525" s="5" t="n">
        <f aca="false">H525*I525</f>
        <v>59.9</v>
      </c>
      <c r="K525" s="5" t="n">
        <f aca="false">INDEX(Produtos!$E$2:$E$11,MATCH(F525,Produtos!$A$2:$A$11,0))</f>
        <v>28</v>
      </c>
      <c r="L525" s="5" t="n">
        <f aca="false">H525*K525</f>
        <v>28</v>
      </c>
    </row>
    <row r="526" customFormat="false" ht="15" hidden="false" customHeight="false" outlineLevel="0" collapsed="false">
      <c r="A526" s="2" t="s">
        <v>808</v>
      </c>
      <c r="B526" s="8" t="n">
        <v>46067</v>
      </c>
      <c r="C526" s="2" t="s">
        <v>233</v>
      </c>
      <c r="D526" s="3" t="str">
        <f aca="false">INDEX(Vendedores!$C$2:$C$101,MATCH(C526,Vendedores!$A$2:$A$101,0))</f>
        <v>L10</v>
      </c>
      <c r="E526" s="3" t="str">
        <f aca="false">INDEX(Lojas!$E$2:$E$11,MATCH(D526,Lojas!$A$2:$A$11,0))</f>
        <v>Nordeste</v>
      </c>
      <c r="F526" s="2" t="s">
        <v>255</v>
      </c>
      <c r="G526" s="3" t="str">
        <f aca="false">INDEX(Produtos!$B$2:$B$11,MATCH(F526,Produtos!$A$2:$A$11,0))&amp;" "&amp;INDEX(Produtos!$C$2:$C$11,MATCH(F526,Produtos!$A$2:$A$11,0))</f>
        <v>Notebook Positivo</v>
      </c>
      <c r="H526" s="2" t="n">
        <v>1</v>
      </c>
      <c r="I526" s="5" t="n">
        <f aca="false">INDEX(Produtos!$D$2:$D$11,MATCH(F526,Produtos!$A$2:$A$11,0))</f>
        <v>2199</v>
      </c>
      <c r="J526" s="5" t="n">
        <f aca="false">H526*I526</f>
        <v>2199</v>
      </c>
      <c r="K526" s="5" t="n">
        <f aca="false">INDEX(Produtos!$E$2:$E$11,MATCH(F526,Produtos!$A$2:$A$11,0))</f>
        <v>1550</v>
      </c>
      <c r="L526" s="5" t="n">
        <f aca="false">H526*K526</f>
        <v>1550</v>
      </c>
    </row>
    <row r="527" customFormat="false" ht="15" hidden="false" customHeight="false" outlineLevel="0" collapsed="false">
      <c r="A527" s="2" t="s">
        <v>809</v>
      </c>
      <c r="B527" s="8" t="n">
        <v>46067</v>
      </c>
      <c r="C527" s="2" t="s">
        <v>138</v>
      </c>
      <c r="D527" s="3" t="str">
        <f aca="false">INDEX(Vendedores!$C$2:$C$101,MATCH(C527,Vendedores!$A$2:$A$101,0))</f>
        <v>L05</v>
      </c>
      <c r="E527" s="3" t="str">
        <f aca="false">INDEX(Lojas!$E$2:$E$11,MATCH(D527,Lojas!$A$2:$A$11,0))</f>
        <v>Sul</v>
      </c>
      <c r="F527" s="2" t="s">
        <v>265</v>
      </c>
      <c r="G527" s="3" t="str">
        <f aca="false">INDEX(Produtos!$B$2:$B$11,MATCH(F527,Produtos!$A$2:$A$11,0))&amp;" "&amp;INDEX(Produtos!$C$2:$C$11,MATCH(F527,Produtos!$A$2:$A$11,0))</f>
        <v>Fone de Ouvido Headset</v>
      </c>
      <c r="H527" s="2" t="n">
        <v>2</v>
      </c>
      <c r="I527" s="5" t="n">
        <f aca="false">INDEX(Produtos!$D$2:$D$11,MATCH(F527,Produtos!$A$2:$A$11,0))</f>
        <v>249.9</v>
      </c>
      <c r="J527" s="5" t="n">
        <f aca="false">H527*I527</f>
        <v>499.8</v>
      </c>
      <c r="K527" s="5" t="n">
        <f aca="false">INDEX(Produtos!$E$2:$E$11,MATCH(F527,Produtos!$A$2:$A$11,0))</f>
        <v>145</v>
      </c>
      <c r="L527" s="5" t="n">
        <f aca="false">H527*K527</f>
        <v>290</v>
      </c>
    </row>
    <row r="528" customFormat="false" ht="15" hidden="false" customHeight="false" outlineLevel="0" collapsed="false">
      <c r="A528" s="2" t="s">
        <v>810</v>
      </c>
      <c r="B528" s="8" t="n">
        <v>46067</v>
      </c>
      <c r="C528" s="2" t="s">
        <v>213</v>
      </c>
      <c r="D528" s="3" t="str">
        <f aca="false">INDEX(Vendedores!$C$2:$C$101,MATCH(C528,Vendedores!$A$2:$A$101,0))</f>
        <v>L09</v>
      </c>
      <c r="E528" s="3" t="str">
        <f aca="false">INDEX(Lojas!$E$2:$E$11,MATCH(D528,Lojas!$A$2:$A$11,0))</f>
        <v>Nordeste</v>
      </c>
      <c r="F528" s="2" t="s">
        <v>257</v>
      </c>
      <c r="G528" s="3" t="str">
        <f aca="false">INDEX(Produtos!$B$2:$B$11,MATCH(F528,Produtos!$A$2:$A$11,0))&amp;" "&amp;INDEX(Produtos!$C$2:$C$11,MATCH(F528,Produtos!$A$2:$A$11,0))</f>
        <v>Celular Samsung</v>
      </c>
      <c r="H528" s="2" t="n">
        <v>2</v>
      </c>
      <c r="I528" s="5" t="n">
        <f aca="false">INDEX(Produtos!$D$2:$D$11,MATCH(F528,Produtos!$A$2:$A$11,0))</f>
        <v>2499</v>
      </c>
      <c r="J528" s="5" t="n">
        <f aca="false">H528*I528</f>
        <v>4998</v>
      </c>
      <c r="K528" s="5" t="n">
        <f aca="false">INDEX(Produtos!$E$2:$E$11,MATCH(F528,Produtos!$A$2:$A$11,0))</f>
        <v>1800</v>
      </c>
      <c r="L528" s="5" t="n">
        <f aca="false">H528*K528</f>
        <v>3600</v>
      </c>
    </row>
    <row r="529" customFormat="false" ht="15" hidden="false" customHeight="false" outlineLevel="0" collapsed="false">
      <c r="A529" s="2" t="s">
        <v>811</v>
      </c>
      <c r="B529" s="8" t="n">
        <v>46067</v>
      </c>
      <c r="C529" s="2" t="s">
        <v>54</v>
      </c>
      <c r="D529" s="3" t="str">
        <f aca="false">INDEX(Vendedores!$C$2:$C$101,MATCH(C529,Vendedores!$A$2:$A$101,0))</f>
        <v>L01</v>
      </c>
      <c r="E529" s="3" t="str">
        <f aca="false">INDEX(Lojas!$E$2:$E$11,MATCH(D529,Lojas!$A$2:$A$11,0))</f>
        <v>Sudeste</v>
      </c>
      <c r="F529" s="2" t="s">
        <v>257</v>
      </c>
      <c r="G529" s="3" t="str">
        <f aca="false">INDEX(Produtos!$B$2:$B$11,MATCH(F529,Produtos!$A$2:$A$11,0))&amp;" "&amp;INDEX(Produtos!$C$2:$C$11,MATCH(F529,Produtos!$A$2:$A$11,0))</f>
        <v>Celular Samsung</v>
      </c>
      <c r="H529" s="2" t="n">
        <v>1</v>
      </c>
      <c r="I529" s="5" t="n">
        <f aca="false">INDEX(Produtos!$D$2:$D$11,MATCH(F529,Produtos!$A$2:$A$11,0))</f>
        <v>2499</v>
      </c>
      <c r="J529" s="5" t="n">
        <f aca="false">H529*I529</f>
        <v>2499</v>
      </c>
      <c r="K529" s="5" t="n">
        <f aca="false">INDEX(Produtos!$E$2:$E$11,MATCH(F529,Produtos!$A$2:$A$11,0))</f>
        <v>1800</v>
      </c>
      <c r="L529" s="5" t="n">
        <f aca="false">H529*K529</f>
        <v>1800</v>
      </c>
    </row>
    <row r="530" customFormat="false" ht="15" hidden="false" customHeight="false" outlineLevel="0" collapsed="false">
      <c r="A530" s="2" t="s">
        <v>812</v>
      </c>
      <c r="B530" s="8" t="n">
        <v>46068</v>
      </c>
      <c r="C530" s="2" t="s">
        <v>137</v>
      </c>
      <c r="D530" s="3" t="str">
        <f aca="false">INDEX(Vendedores!$C$2:$C$101,MATCH(C530,Vendedores!$A$2:$A$101,0))</f>
        <v>L05</v>
      </c>
      <c r="E530" s="3" t="str">
        <f aca="false">INDEX(Lojas!$E$2:$E$11,MATCH(D530,Lojas!$A$2:$A$11,0))</f>
        <v>Sul</v>
      </c>
      <c r="F530" s="2" t="s">
        <v>262</v>
      </c>
      <c r="G530" s="3" t="str">
        <f aca="false">INDEX(Produtos!$B$2:$B$11,MATCH(F530,Produtos!$A$2:$A$11,0))&amp;" "&amp;INDEX(Produtos!$C$2:$C$11,MATCH(F530,Produtos!$A$2:$A$11,0))</f>
        <v>Fone de Ouvido De Celular</v>
      </c>
      <c r="H530" s="2" t="n">
        <v>2</v>
      </c>
      <c r="I530" s="5" t="n">
        <f aca="false">INDEX(Produtos!$D$2:$D$11,MATCH(F530,Produtos!$A$2:$A$11,0))</f>
        <v>59.9</v>
      </c>
      <c r="J530" s="5" t="n">
        <f aca="false">H530*I530</f>
        <v>119.8</v>
      </c>
      <c r="K530" s="5" t="n">
        <f aca="false">INDEX(Produtos!$E$2:$E$11,MATCH(F530,Produtos!$A$2:$A$11,0))</f>
        <v>28</v>
      </c>
      <c r="L530" s="5" t="n">
        <f aca="false">H530*K530</f>
        <v>56</v>
      </c>
    </row>
    <row r="531" customFormat="false" ht="15" hidden="false" customHeight="false" outlineLevel="0" collapsed="false">
      <c r="A531" s="2" t="s">
        <v>813</v>
      </c>
      <c r="B531" s="8" t="n">
        <v>46068</v>
      </c>
      <c r="C531" s="2" t="s">
        <v>52</v>
      </c>
      <c r="D531" s="3" t="str">
        <f aca="false">INDEX(Vendedores!$C$2:$C$101,MATCH(C531,Vendedores!$A$2:$A$101,0))</f>
        <v>L01</v>
      </c>
      <c r="E531" s="3" t="str">
        <f aca="false">INDEX(Lojas!$E$2:$E$11,MATCH(D531,Lojas!$A$2:$A$11,0))</f>
        <v>Sudeste</v>
      </c>
      <c r="F531" s="2" t="s">
        <v>273</v>
      </c>
      <c r="G531" s="3" t="str">
        <f aca="false">INDEX(Produtos!$B$2:$B$11,MATCH(F531,Produtos!$A$2:$A$11,0))&amp;" "&amp;INDEX(Produtos!$C$2:$C$11,MATCH(F531,Produtos!$A$2:$A$11,0))</f>
        <v>Controle de Videogame PS4</v>
      </c>
      <c r="H531" s="2" t="n">
        <v>1</v>
      </c>
      <c r="I531" s="5" t="n">
        <f aca="false">INDEX(Produtos!$D$2:$D$11,MATCH(F531,Produtos!$A$2:$A$11,0))</f>
        <v>299.9</v>
      </c>
      <c r="J531" s="5" t="n">
        <f aca="false">H531*I531</f>
        <v>299.9</v>
      </c>
      <c r="K531" s="5" t="n">
        <f aca="false">INDEX(Produtos!$E$2:$E$11,MATCH(F531,Produtos!$A$2:$A$11,0))</f>
        <v>175</v>
      </c>
      <c r="L531" s="5" t="n">
        <f aca="false">H531*K531</f>
        <v>175</v>
      </c>
    </row>
    <row r="532" customFormat="false" ht="15" hidden="false" customHeight="false" outlineLevel="0" collapsed="false">
      <c r="A532" s="2" t="s">
        <v>814</v>
      </c>
      <c r="B532" s="8" t="n">
        <v>46068</v>
      </c>
      <c r="C532" s="2" t="s">
        <v>156</v>
      </c>
      <c r="D532" s="3" t="str">
        <f aca="false">INDEX(Vendedores!$C$2:$C$101,MATCH(C532,Vendedores!$A$2:$A$101,0))</f>
        <v>L06</v>
      </c>
      <c r="E532" s="3" t="str">
        <f aca="false">INDEX(Lojas!$E$2:$E$11,MATCH(D532,Lojas!$A$2:$A$11,0))</f>
        <v>Sul</v>
      </c>
      <c r="F532" s="2" t="s">
        <v>275</v>
      </c>
      <c r="G532" s="3" t="str">
        <f aca="false">INDEX(Produtos!$B$2:$B$11,MATCH(F532,Produtos!$A$2:$A$11,0))&amp;" "&amp;INDEX(Produtos!$C$2:$C$11,MATCH(F532,Produtos!$A$2:$A$11,0))</f>
        <v>Controle de Videogame PS5</v>
      </c>
      <c r="H532" s="2" t="n">
        <v>2</v>
      </c>
      <c r="I532" s="5" t="n">
        <f aca="false">INDEX(Produtos!$D$2:$D$11,MATCH(F532,Produtos!$A$2:$A$11,0))</f>
        <v>379.9</v>
      </c>
      <c r="J532" s="5" t="n">
        <f aca="false">H532*I532</f>
        <v>759.8</v>
      </c>
      <c r="K532" s="5" t="n">
        <f aca="false">INDEX(Produtos!$E$2:$E$11,MATCH(F532,Produtos!$A$2:$A$11,0))</f>
        <v>235</v>
      </c>
      <c r="L532" s="5" t="n">
        <f aca="false">H532*K532</f>
        <v>470</v>
      </c>
    </row>
    <row r="533" customFormat="false" ht="15" hidden="false" customHeight="false" outlineLevel="0" collapsed="false">
      <c r="A533" s="2" t="s">
        <v>815</v>
      </c>
      <c r="B533" s="8" t="n">
        <v>46068</v>
      </c>
      <c r="C533" s="2" t="s">
        <v>191</v>
      </c>
      <c r="D533" s="3" t="str">
        <f aca="false">INDEX(Vendedores!$C$2:$C$101,MATCH(C533,Vendedores!$A$2:$A$101,0))</f>
        <v>L08</v>
      </c>
      <c r="E533" s="3" t="str">
        <f aca="false">INDEX(Lojas!$E$2:$E$11,MATCH(D533,Lojas!$A$2:$A$11,0))</f>
        <v>Nordeste</v>
      </c>
      <c r="F533" s="2" t="s">
        <v>257</v>
      </c>
      <c r="G533" s="3" t="str">
        <f aca="false">INDEX(Produtos!$B$2:$B$11,MATCH(F533,Produtos!$A$2:$A$11,0))&amp;" "&amp;INDEX(Produtos!$C$2:$C$11,MATCH(F533,Produtos!$A$2:$A$11,0))</f>
        <v>Celular Samsung</v>
      </c>
      <c r="H533" s="2" t="n">
        <v>3</v>
      </c>
      <c r="I533" s="5" t="n">
        <f aca="false">INDEX(Produtos!$D$2:$D$11,MATCH(F533,Produtos!$A$2:$A$11,0))</f>
        <v>2499</v>
      </c>
      <c r="J533" s="5" t="n">
        <f aca="false">H533*I533</f>
        <v>7497</v>
      </c>
      <c r="K533" s="5" t="n">
        <f aca="false">INDEX(Produtos!$E$2:$E$11,MATCH(F533,Produtos!$A$2:$A$11,0))</f>
        <v>1800</v>
      </c>
      <c r="L533" s="5" t="n">
        <f aca="false">H533*K533</f>
        <v>5400</v>
      </c>
    </row>
    <row r="534" customFormat="false" ht="15" hidden="false" customHeight="false" outlineLevel="0" collapsed="false">
      <c r="A534" s="2" t="s">
        <v>816</v>
      </c>
      <c r="B534" s="8" t="n">
        <v>46068</v>
      </c>
      <c r="C534" s="2" t="s">
        <v>235</v>
      </c>
      <c r="D534" s="3" t="str">
        <f aca="false">INDEX(Vendedores!$C$2:$C$101,MATCH(C534,Vendedores!$A$2:$A$101,0))</f>
        <v>L10</v>
      </c>
      <c r="E534" s="3" t="str">
        <f aca="false">INDEX(Lojas!$E$2:$E$11,MATCH(D534,Lojas!$A$2:$A$11,0))</f>
        <v>Nordeste</v>
      </c>
      <c r="F534" s="2" t="s">
        <v>252</v>
      </c>
      <c r="G534" s="3" t="str">
        <f aca="false">INDEX(Produtos!$B$2:$B$11,MATCH(F534,Produtos!$A$2:$A$11,0))&amp;" "&amp;INDEX(Produtos!$C$2:$C$11,MATCH(F534,Produtos!$A$2:$A$11,0))</f>
        <v>Notebook Lenovo</v>
      </c>
      <c r="H534" s="2" t="n">
        <v>2</v>
      </c>
      <c r="I534" s="5" t="n">
        <f aca="false">INDEX(Produtos!$D$2:$D$11,MATCH(F534,Produtos!$A$2:$A$11,0))</f>
        <v>3199</v>
      </c>
      <c r="J534" s="5" t="n">
        <f aca="false">H534*I534</f>
        <v>6398</v>
      </c>
      <c r="K534" s="5" t="n">
        <f aca="false">INDEX(Produtos!$E$2:$E$11,MATCH(F534,Produtos!$A$2:$A$11,0))</f>
        <v>2350</v>
      </c>
      <c r="L534" s="5" t="n">
        <f aca="false">H534*K534</f>
        <v>4700</v>
      </c>
    </row>
    <row r="535" customFormat="false" ht="15" hidden="false" customHeight="false" outlineLevel="0" collapsed="false">
      <c r="A535" s="2" t="s">
        <v>817</v>
      </c>
      <c r="B535" s="8" t="n">
        <v>46068</v>
      </c>
      <c r="C535" s="2" t="s">
        <v>118</v>
      </c>
      <c r="D535" s="3" t="str">
        <f aca="false">INDEX(Vendedores!$C$2:$C$101,MATCH(C535,Vendedores!$A$2:$A$101,0))</f>
        <v>L04</v>
      </c>
      <c r="E535" s="3" t="str">
        <f aca="false">INDEX(Lojas!$E$2:$E$11,MATCH(D535,Lojas!$A$2:$A$11,0))</f>
        <v>Sudeste</v>
      </c>
      <c r="F535" s="2" t="s">
        <v>270</v>
      </c>
      <c r="G535" s="3" t="str">
        <f aca="false">INDEX(Produtos!$B$2:$B$11,MATCH(F535,Produtos!$A$2:$A$11,0))&amp;" "&amp;INDEX(Produtos!$C$2:$C$11,MATCH(F535,Produtos!$A$2:$A$11,0))</f>
        <v>Controle de Videogame Xbox</v>
      </c>
      <c r="H535" s="2" t="n">
        <v>1</v>
      </c>
      <c r="I535" s="5" t="n">
        <f aca="false">INDEX(Produtos!$D$2:$D$11,MATCH(F535,Produtos!$A$2:$A$11,0))</f>
        <v>349.9</v>
      </c>
      <c r="J535" s="5" t="n">
        <f aca="false">H535*I535</f>
        <v>349.9</v>
      </c>
      <c r="K535" s="5" t="n">
        <f aca="false">INDEX(Produtos!$E$2:$E$11,MATCH(F535,Produtos!$A$2:$A$11,0))</f>
        <v>215</v>
      </c>
      <c r="L535" s="5" t="n">
        <f aca="false">H535*K535</f>
        <v>215</v>
      </c>
    </row>
    <row r="536" customFormat="false" ht="15" hidden="false" customHeight="false" outlineLevel="0" collapsed="false">
      <c r="A536" s="2" t="s">
        <v>818</v>
      </c>
      <c r="B536" s="8" t="n">
        <v>46068</v>
      </c>
      <c r="C536" s="2" t="s">
        <v>104</v>
      </c>
      <c r="D536" s="3" t="str">
        <f aca="false">INDEX(Vendedores!$C$2:$C$101,MATCH(C536,Vendedores!$A$2:$A$101,0))</f>
        <v>L03</v>
      </c>
      <c r="E536" s="3" t="str">
        <f aca="false">INDEX(Lojas!$E$2:$E$11,MATCH(D536,Lojas!$A$2:$A$11,0))</f>
        <v>Sudeste</v>
      </c>
      <c r="F536" s="2" t="s">
        <v>260</v>
      </c>
      <c r="G536" s="3" t="str">
        <f aca="false">INDEX(Produtos!$B$2:$B$11,MATCH(F536,Produtos!$A$2:$A$11,0))&amp;" "&amp;INDEX(Produtos!$C$2:$C$11,MATCH(F536,Produtos!$A$2:$A$11,0))</f>
        <v>Celular Motorola</v>
      </c>
      <c r="H536" s="2" t="n">
        <v>1</v>
      </c>
      <c r="I536" s="5" t="n">
        <f aca="false">INDEX(Produtos!$D$2:$D$11,MATCH(F536,Produtos!$A$2:$A$11,0))</f>
        <v>1799</v>
      </c>
      <c r="J536" s="5" t="n">
        <f aca="false">H536*I536</f>
        <v>1799</v>
      </c>
      <c r="K536" s="5" t="n">
        <f aca="false">INDEX(Produtos!$E$2:$E$11,MATCH(F536,Produtos!$A$2:$A$11,0))</f>
        <v>1250</v>
      </c>
      <c r="L536" s="5" t="n">
        <f aca="false">H536*K536</f>
        <v>1250</v>
      </c>
    </row>
    <row r="537" customFormat="false" ht="15" hidden="false" customHeight="false" outlineLevel="0" collapsed="false">
      <c r="A537" s="2" t="s">
        <v>819</v>
      </c>
      <c r="B537" s="8" t="n">
        <v>46068</v>
      </c>
      <c r="C537" s="2" t="s">
        <v>215</v>
      </c>
      <c r="D537" s="3" t="str">
        <f aca="false">INDEX(Vendedores!$C$2:$C$101,MATCH(C537,Vendedores!$A$2:$A$101,0))</f>
        <v>L09</v>
      </c>
      <c r="E537" s="3" t="str">
        <f aca="false">INDEX(Lojas!$E$2:$E$11,MATCH(D537,Lojas!$A$2:$A$11,0))</f>
        <v>Nordeste</v>
      </c>
      <c r="F537" s="2" t="s">
        <v>270</v>
      </c>
      <c r="G537" s="3" t="str">
        <f aca="false">INDEX(Produtos!$B$2:$B$11,MATCH(F537,Produtos!$A$2:$A$11,0))&amp;" "&amp;INDEX(Produtos!$C$2:$C$11,MATCH(F537,Produtos!$A$2:$A$11,0))</f>
        <v>Controle de Videogame Xbox</v>
      </c>
      <c r="H537" s="2" t="n">
        <v>1</v>
      </c>
      <c r="I537" s="5" t="n">
        <f aca="false">INDEX(Produtos!$D$2:$D$11,MATCH(F537,Produtos!$A$2:$A$11,0))</f>
        <v>349.9</v>
      </c>
      <c r="J537" s="5" t="n">
        <f aca="false">H537*I537</f>
        <v>349.9</v>
      </c>
      <c r="K537" s="5" t="n">
        <f aca="false">INDEX(Produtos!$E$2:$E$11,MATCH(F537,Produtos!$A$2:$A$11,0))</f>
        <v>215</v>
      </c>
      <c r="L537" s="5" t="n">
        <f aca="false">H537*K537</f>
        <v>215</v>
      </c>
    </row>
    <row r="538" customFormat="false" ht="15" hidden="false" customHeight="false" outlineLevel="0" collapsed="false">
      <c r="A538" s="2" t="s">
        <v>820</v>
      </c>
      <c r="B538" s="8" t="n">
        <v>46068</v>
      </c>
      <c r="C538" s="2" t="s">
        <v>100</v>
      </c>
      <c r="D538" s="3" t="str">
        <f aca="false">INDEX(Vendedores!$C$2:$C$101,MATCH(C538,Vendedores!$A$2:$A$101,0))</f>
        <v>L03</v>
      </c>
      <c r="E538" s="3" t="str">
        <f aca="false">INDEX(Lojas!$E$2:$E$11,MATCH(D538,Lojas!$A$2:$A$11,0))</f>
        <v>Sudeste</v>
      </c>
      <c r="F538" s="2" t="s">
        <v>267</v>
      </c>
      <c r="G538" s="3" t="str">
        <f aca="false">INDEX(Produtos!$B$2:$B$11,MATCH(F538,Produtos!$A$2:$A$11,0))&amp;" "&amp;INDEX(Produtos!$C$2:$C$11,MATCH(F538,Produtos!$A$2:$A$11,0))</f>
        <v>Carregador de Celular Tipo C</v>
      </c>
      <c r="H538" s="2" t="n">
        <v>1</v>
      </c>
      <c r="I538" s="5" t="n">
        <f aca="false">INDEX(Produtos!$D$2:$D$11,MATCH(F538,Produtos!$A$2:$A$11,0))</f>
        <v>44.9</v>
      </c>
      <c r="J538" s="5" t="n">
        <f aca="false">H538*I538</f>
        <v>44.9</v>
      </c>
      <c r="K538" s="5" t="n">
        <f aca="false">INDEX(Produtos!$E$2:$E$11,MATCH(F538,Produtos!$A$2:$A$11,0))</f>
        <v>18</v>
      </c>
      <c r="L538" s="5" t="n">
        <f aca="false">H538*K538</f>
        <v>18</v>
      </c>
    </row>
    <row r="539" customFormat="false" ht="15" hidden="false" customHeight="false" outlineLevel="0" collapsed="false">
      <c r="A539" s="2" t="s">
        <v>821</v>
      </c>
      <c r="B539" s="8" t="n">
        <v>46068</v>
      </c>
      <c r="C539" s="2" t="s">
        <v>82</v>
      </c>
      <c r="D539" s="3" t="str">
        <f aca="false">INDEX(Vendedores!$C$2:$C$101,MATCH(C539,Vendedores!$A$2:$A$101,0))</f>
        <v>L02</v>
      </c>
      <c r="E539" s="3" t="str">
        <f aca="false">INDEX(Lojas!$E$2:$E$11,MATCH(D539,Lojas!$A$2:$A$11,0))</f>
        <v>Sudeste</v>
      </c>
      <c r="F539" s="2" t="s">
        <v>252</v>
      </c>
      <c r="G539" s="3" t="str">
        <f aca="false">INDEX(Produtos!$B$2:$B$11,MATCH(F539,Produtos!$A$2:$A$11,0))&amp;" "&amp;INDEX(Produtos!$C$2:$C$11,MATCH(F539,Produtos!$A$2:$A$11,0))</f>
        <v>Notebook Lenovo</v>
      </c>
      <c r="H539" s="2" t="n">
        <v>1</v>
      </c>
      <c r="I539" s="5" t="n">
        <f aca="false">INDEX(Produtos!$D$2:$D$11,MATCH(F539,Produtos!$A$2:$A$11,0))</f>
        <v>3199</v>
      </c>
      <c r="J539" s="5" t="n">
        <f aca="false">H539*I539</f>
        <v>3199</v>
      </c>
      <c r="K539" s="5" t="n">
        <f aca="false">INDEX(Produtos!$E$2:$E$11,MATCH(F539,Produtos!$A$2:$A$11,0))</f>
        <v>2350</v>
      </c>
      <c r="L539" s="5" t="n">
        <f aca="false">H539*K539</f>
        <v>2350</v>
      </c>
    </row>
    <row r="540" customFormat="false" ht="15" hidden="false" customHeight="false" outlineLevel="0" collapsed="false">
      <c r="A540" s="2" t="s">
        <v>822</v>
      </c>
      <c r="B540" s="8" t="n">
        <v>46068</v>
      </c>
      <c r="C540" s="2" t="s">
        <v>211</v>
      </c>
      <c r="D540" s="3" t="str">
        <f aca="false">INDEX(Vendedores!$C$2:$C$101,MATCH(C540,Vendedores!$A$2:$A$101,0))</f>
        <v>L09</v>
      </c>
      <c r="E540" s="3" t="str">
        <f aca="false">INDEX(Lojas!$E$2:$E$11,MATCH(D540,Lojas!$A$2:$A$11,0))</f>
        <v>Nordeste</v>
      </c>
      <c r="F540" s="2" t="s">
        <v>273</v>
      </c>
      <c r="G540" s="3" t="str">
        <f aca="false">INDEX(Produtos!$B$2:$B$11,MATCH(F540,Produtos!$A$2:$A$11,0))&amp;" "&amp;INDEX(Produtos!$C$2:$C$11,MATCH(F540,Produtos!$A$2:$A$11,0))</f>
        <v>Controle de Videogame PS4</v>
      </c>
      <c r="H540" s="2" t="n">
        <v>1</v>
      </c>
      <c r="I540" s="5" t="n">
        <f aca="false">INDEX(Produtos!$D$2:$D$11,MATCH(F540,Produtos!$A$2:$A$11,0))</f>
        <v>299.9</v>
      </c>
      <c r="J540" s="5" t="n">
        <f aca="false">H540*I540</f>
        <v>299.9</v>
      </c>
      <c r="K540" s="5" t="n">
        <f aca="false">INDEX(Produtos!$E$2:$E$11,MATCH(F540,Produtos!$A$2:$A$11,0))</f>
        <v>175</v>
      </c>
      <c r="L540" s="5" t="n">
        <f aca="false">H540*K540</f>
        <v>175</v>
      </c>
    </row>
    <row r="541" customFormat="false" ht="15" hidden="false" customHeight="false" outlineLevel="0" collapsed="false">
      <c r="A541" s="2" t="s">
        <v>823</v>
      </c>
      <c r="B541" s="8" t="n">
        <v>46068</v>
      </c>
      <c r="C541" s="2" t="s">
        <v>158</v>
      </c>
      <c r="D541" s="3" t="str">
        <f aca="false">INDEX(Vendedores!$C$2:$C$101,MATCH(C541,Vendedores!$A$2:$A$101,0))</f>
        <v>L06</v>
      </c>
      <c r="E541" s="3" t="str">
        <f aca="false">INDEX(Lojas!$E$2:$E$11,MATCH(D541,Lojas!$A$2:$A$11,0))</f>
        <v>Sul</v>
      </c>
      <c r="F541" s="2" t="s">
        <v>265</v>
      </c>
      <c r="G541" s="3" t="str">
        <f aca="false">INDEX(Produtos!$B$2:$B$11,MATCH(F541,Produtos!$A$2:$A$11,0))&amp;" "&amp;INDEX(Produtos!$C$2:$C$11,MATCH(F541,Produtos!$A$2:$A$11,0))</f>
        <v>Fone de Ouvido Headset</v>
      </c>
      <c r="H541" s="2" t="n">
        <v>1</v>
      </c>
      <c r="I541" s="5" t="n">
        <f aca="false">INDEX(Produtos!$D$2:$D$11,MATCH(F541,Produtos!$A$2:$A$11,0))</f>
        <v>249.9</v>
      </c>
      <c r="J541" s="5" t="n">
        <f aca="false">H541*I541</f>
        <v>249.9</v>
      </c>
      <c r="K541" s="5" t="n">
        <f aca="false">INDEX(Produtos!$E$2:$E$11,MATCH(F541,Produtos!$A$2:$A$11,0))</f>
        <v>145</v>
      </c>
      <c r="L541" s="5" t="n">
        <f aca="false">H541*K541</f>
        <v>145</v>
      </c>
    </row>
    <row r="542" customFormat="false" ht="15" hidden="false" customHeight="false" outlineLevel="0" collapsed="false">
      <c r="A542" s="2" t="s">
        <v>824</v>
      </c>
      <c r="B542" s="8" t="n">
        <v>46068</v>
      </c>
      <c r="C542" s="2" t="s">
        <v>183</v>
      </c>
      <c r="D542" s="3" t="str">
        <f aca="false">INDEX(Vendedores!$C$2:$C$101,MATCH(C542,Vendedores!$A$2:$A$101,0))</f>
        <v>L07</v>
      </c>
      <c r="E542" s="3" t="str">
        <f aca="false">INDEX(Lojas!$E$2:$E$11,MATCH(D542,Lojas!$A$2:$A$11,0))</f>
        <v>Sul</v>
      </c>
      <c r="F542" s="2" t="s">
        <v>262</v>
      </c>
      <c r="G542" s="3" t="str">
        <f aca="false">INDEX(Produtos!$B$2:$B$11,MATCH(F542,Produtos!$A$2:$A$11,0))&amp;" "&amp;INDEX(Produtos!$C$2:$C$11,MATCH(F542,Produtos!$A$2:$A$11,0))</f>
        <v>Fone de Ouvido De Celular</v>
      </c>
      <c r="H542" s="2" t="n">
        <v>1</v>
      </c>
      <c r="I542" s="5" t="n">
        <f aca="false">INDEX(Produtos!$D$2:$D$11,MATCH(F542,Produtos!$A$2:$A$11,0))</f>
        <v>59.9</v>
      </c>
      <c r="J542" s="5" t="n">
        <f aca="false">H542*I542</f>
        <v>59.9</v>
      </c>
      <c r="K542" s="5" t="n">
        <f aca="false">INDEX(Produtos!$E$2:$E$11,MATCH(F542,Produtos!$A$2:$A$11,0))</f>
        <v>28</v>
      </c>
      <c r="L542" s="5" t="n">
        <f aca="false">H542*K542</f>
        <v>28</v>
      </c>
    </row>
    <row r="543" customFormat="false" ht="15" hidden="false" customHeight="false" outlineLevel="0" collapsed="false">
      <c r="A543" s="2" t="s">
        <v>825</v>
      </c>
      <c r="B543" s="8" t="n">
        <v>46068</v>
      </c>
      <c r="C543" s="2" t="s">
        <v>148</v>
      </c>
      <c r="D543" s="3" t="str">
        <f aca="false">INDEX(Vendedores!$C$2:$C$101,MATCH(C543,Vendedores!$A$2:$A$101,0))</f>
        <v>L06</v>
      </c>
      <c r="E543" s="3" t="str">
        <f aca="false">INDEX(Lojas!$E$2:$E$11,MATCH(D543,Lojas!$A$2:$A$11,0))</f>
        <v>Sul</v>
      </c>
      <c r="F543" s="2" t="s">
        <v>260</v>
      </c>
      <c r="G543" s="3" t="str">
        <f aca="false">INDEX(Produtos!$B$2:$B$11,MATCH(F543,Produtos!$A$2:$A$11,0))&amp;" "&amp;INDEX(Produtos!$C$2:$C$11,MATCH(F543,Produtos!$A$2:$A$11,0))</f>
        <v>Celular Motorola</v>
      </c>
      <c r="H543" s="2" t="n">
        <v>3</v>
      </c>
      <c r="I543" s="5" t="n">
        <f aca="false">INDEX(Produtos!$D$2:$D$11,MATCH(F543,Produtos!$A$2:$A$11,0))</f>
        <v>1799</v>
      </c>
      <c r="J543" s="5" t="n">
        <f aca="false">H543*I543</f>
        <v>5397</v>
      </c>
      <c r="K543" s="5" t="n">
        <f aca="false">INDEX(Produtos!$E$2:$E$11,MATCH(F543,Produtos!$A$2:$A$11,0))</f>
        <v>1250</v>
      </c>
      <c r="L543" s="5" t="n">
        <f aca="false">H543*K543</f>
        <v>3750</v>
      </c>
    </row>
    <row r="544" customFormat="false" ht="15" hidden="false" customHeight="false" outlineLevel="0" collapsed="false">
      <c r="A544" s="2" t="s">
        <v>826</v>
      </c>
      <c r="B544" s="8" t="n">
        <v>46069</v>
      </c>
      <c r="C544" s="2" t="s">
        <v>118</v>
      </c>
      <c r="D544" s="3" t="str">
        <f aca="false">INDEX(Vendedores!$C$2:$C$101,MATCH(C544,Vendedores!$A$2:$A$101,0))</f>
        <v>L04</v>
      </c>
      <c r="E544" s="3" t="str">
        <f aca="false">INDEX(Lojas!$E$2:$E$11,MATCH(D544,Lojas!$A$2:$A$11,0))</f>
        <v>Sudeste</v>
      </c>
      <c r="F544" s="2" t="s">
        <v>275</v>
      </c>
      <c r="G544" s="3" t="str">
        <f aca="false">INDEX(Produtos!$B$2:$B$11,MATCH(F544,Produtos!$A$2:$A$11,0))&amp;" "&amp;INDEX(Produtos!$C$2:$C$11,MATCH(F544,Produtos!$A$2:$A$11,0))</f>
        <v>Controle de Videogame PS5</v>
      </c>
      <c r="H544" s="2" t="n">
        <v>3</v>
      </c>
      <c r="I544" s="5" t="n">
        <f aca="false">INDEX(Produtos!$D$2:$D$11,MATCH(F544,Produtos!$A$2:$A$11,0))</f>
        <v>379.9</v>
      </c>
      <c r="J544" s="5" t="n">
        <f aca="false">H544*I544</f>
        <v>1139.7</v>
      </c>
      <c r="K544" s="5" t="n">
        <f aca="false">INDEX(Produtos!$E$2:$E$11,MATCH(F544,Produtos!$A$2:$A$11,0))</f>
        <v>235</v>
      </c>
      <c r="L544" s="5" t="n">
        <f aca="false">H544*K544</f>
        <v>705</v>
      </c>
    </row>
    <row r="545" customFormat="false" ht="15" hidden="false" customHeight="false" outlineLevel="0" collapsed="false">
      <c r="A545" s="2" t="s">
        <v>827</v>
      </c>
      <c r="B545" s="8" t="n">
        <v>46069</v>
      </c>
      <c r="C545" s="2" t="s">
        <v>86</v>
      </c>
      <c r="D545" s="3" t="str">
        <f aca="false">INDEX(Vendedores!$C$2:$C$101,MATCH(C545,Vendedores!$A$2:$A$101,0))</f>
        <v>L02</v>
      </c>
      <c r="E545" s="3" t="str">
        <f aca="false">INDEX(Lojas!$E$2:$E$11,MATCH(D545,Lojas!$A$2:$A$11,0))</f>
        <v>Sudeste</v>
      </c>
      <c r="F545" s="2" t="s">
        <v>275</v>
      </c>
      <c r="G545" s="3" t="str">
        <f aca="false">INDEX(Produtos!$B$2:$B$11,MATCH(F545,Produtos!$A$2:$A$11,0))&amp;" "&amp;INDEX(Produtos!$C$2:$C$11,MATCH(F545,Produtos!$A$2:$A$11,0))</f>
        <v>Controle de Videogame PS5</v>
      </c>
      <c r="H545" s="2" t="n">
        <v>2</v>
      </c>
      <c r="I545" s="5" t="n">
        <f aca="false">INDEX(Produtos!$D$2:$D$11,MATCH(F545,Produtos!$A$2:$A$11,0))</f>
        <v>379.9</v>
      </c>
      <c r="J545" s="5" t="n">
        <f aca="false">H545*I545</f>
        <v>759.8</v>
      </c>
      <c r="K545" s="5" t="n">
        <f aca="false">INDEX(Produtos!$E$2:$E$11,MATCH(F545,Produtos!$A$2:$A$11,0))</f>
        <v>235</v>
      </c>
      <c r="L545" s="5" t="n">
        <f aca="false">H545*K545</f>
        <v>470</v>
      </c>
    </row>
    <row r="546" customFormat="false" ht="15" hidden="false" customHeight="false" outlineLevel="0" collapsed="false">
      <c r="A546" s="2" t="s">
        <v>828</v>
      </c>
      <c r="B546" s="8" t="n">
        <v>46069</v>
      </c>
      <c r="C546" s="2" t="s">
        <v>148</v>
      </c>
      <c r="D546" s="3" t="str">
        <f aca="false">INDEX(Vendedores!$C$2:$C$101,MATCH(C546,Vendedores!$A$2:$A$101,0))</f>
        <v>L06</v>
      </c>
      <c r="E546" s="3" t="str">
        <f aca="false">INDEX(Lojas!$E$2:$E$11,MATCH(D546,Lojas!$A$2:$A$11,0))</f>
        <v>Sul</v>
      </c>
      <c r="F546" s="2" t="s">
        <v>275</v>
      </c>
      <c r="G546" s="3" t="str">
        <f aca="false">INDEX(Produtos!$B$2:$B$11,MATCH(F546,Produtos!$A$2:$A$11,0))&amp;" "&amp;INDEX(Produtos!$C$2:$C$11,MATCH(F546,Produtos!$A$2:$A$11,0))</f>
        <v>Controle de Videogame PS5</v>
      </c>
      <c r="H546" s="2" t="n">
        <v>1</v>
      </c>
      <c r="I546" s="5" t="n">
        <f aca="false">INDEX(Produtos!$D$2:$D$11,MATCH(F546,Produtos!$A$2:$A$11,0))</f>
        <v>379.9</v>
      </c>
      <c r="J546" s="5" t="n">
        <f aca="false">H546*I546</f>
        <v>379.9</v>
      </c>
      <c r="K546" s="5" t="n">
        <f aca="false">INDEX(Produtos!$E$2:$E$11,MATCH(F546,Produtos!$A$2:$A$11,0))</f>
        <v>235</v>
      </c>
      <c r="L546" s="5" t="n">
        <f aca="false">H546*K546</f>
        <v>235</v>
      </c>
    </row>
    <row r="547" customFormat="false" ht="15" hidden="false" customHeight="false" outlineLevel="0" collapsed="false">
      <c r="A547" s="2" t="s">
        <v>829</v>
      </c>
      <c r="B547" s="8" t="n">
        <v>46069</v>
      </c>
      <c r="C547" s="2" t="s">
        <v>135</v>
      </c>
      <c r="D547" s="3" t="str">
        <f aca="false">INDEX(Vendedores!$C$2:$C$101,MATCH(C547,Vendedores!$A$2:$A$101,0))</f>
        <v>L05</v>
      </c>
      <c r="E547" s="3" t="str">
        <f aca="false">INDEX(Lojas!$E$2:$E$11,MATCH(D547,Lojas!$A$2:$A$11,0))</f>
        <v>Sul</v>
      </c>
      <c r="F547" s="2" t="s">
        <v>260</v>
      </c>
      <c r="G547" s="3" t="str">
        <f aca="false">INDEX(Produtos!$B$2:$B$11,MATCH(F547,Produtos!$A$2:$A$11,0))&amp;" "&amp;INDEX(Produtos!$C$2:$C$11,MATCH(F547,Produtos!$A$2:$A$11,0))</f>
        <v>Celular Motorola</v>
      </c>
      <c r="H547" s="2" t="n">
        <v>1</v>
      </c>
      <c r="I547" s="5" t="n">
        <f aca="false">INDEX(Produtos!$D$2:$D$11,MATCH(F547,Produtos!$A$2:$A$11,0))</f>
        <v>1799</v>
      </c>
      <c r="J547" s="5" t="n">
        <f aca="false">H547*I547</f>
        <v>1799</v>
      </c>
      <c r="K547" s="5" t="n">
        <f aca="false">INDEX(Produtos!$E$2:$E$11,MATCH(F547,Produtos!$A$2:$A$11,0))</f>
        <v>1250</v>
      </c>
      <c r="L547" s="5" t="n">
        <f aca="false">H547*K547</f>
        <v>1250</v>
      </c>
    </row>
    <row r="548" customFormat="false" ht="15" hidden="false" customHeight="false" outlineLevel="0" collapsed="false">
      <c r="A548" s="2" t="s">
        <v>830</v>
      </c>
      <c r="B548" s="8" t="n">
        <v>46069</v>
      </c>
      <c r="C548" s="2" t="s">
        <v>78</v>
      </c>
      <c r="D548" s="3" t="str">
        <f aca="false">INDEX(Vendedores!$C$2:$C$101,MATCH(C548,Vendedores!$A$2:$A$101,0))</f>
        <v>L02</v>
      </c>
      <c r="E548" s="3" t="str">
        <f aca="false">INDEX(Lojas!$E$2:$E$11,MATCH(D548,Lojas!$A$2:$A$11,0))</f>
        <v>Sudeste</v>
      </c>
      <c r="F548" s="2" t="s">
        <v>275</v>
      </c>
      <c r="G548" s="3" t="str">
        <f aca="false">INDEX(Produtos!$B$2:$B$11,MATCH(F548,Produtos!$A$2:$A$11,0))&amp;" "&amp;INDEX(Produtos!$C$2:$C$11,MATCH(F548,Produtos!$A$2:$A$11,0))</f>
        <v>Controle de Videogame PS5</v>
      </c>
      <c r="H548" s="2" t="n">
        <v>1</v>
      </c>
      <c r="I548" s="5" t="n">
        <f aca="false">INDEX(Produtos!$D$2:$D$11,MATCH(F548,Produtos!$A$2:$A$11,0))</f>
        <v>379.9</v>
      </c>
      <c r="J548" s="5" t="n">
        <f aca="false">H548*I548</f>
        <v>379.9</v>
      </c>
      <c r="K548" s="5" t="n">
        <f aca="false">INDEX(Produtos!$E$2:$E$11,MATCH(F548,Produtos!$A$2:$A$11,0))</f>
        <v>235</v>
      </c>
      <c r="L548" s="5" t="n">
        <f aca="false">H548*K548</f>
        <v>235</v>
      </c>
    </row>
    <row r="549" customFormat="false" ht="15" hidden="false" customHeight="false" outlineLevel="0" collapsed="false">
      <c r="A549" s="2" t="s">
        <v>831</v>
      </c>
      <c r="B549" s="8" t="n">
        <v>46069</v>
      </c>
      <c r="C549" s="2" t="s">
        <v>179</v>
      </c>
      <c r="D549" s="3" t="str">
        <f aca="false">INDEX(Vendedores!$C$2:$C$101,MATCH(C549,Vendedores!$A$2:$A$101,0))</f>
        <v>L07</v>
      </c>
      <c r="E549" s="3" t="str">
        <f aca="false">INDEX(Lojas!$E$2:$E$11,MATCH(D549,Lojas!$A$2:$A$11,0))</f>
        <v>Sul</v>
      </c>
      <c r="F549" s="2" t="s">
        <v>257</v>
      </c>
      <c r="G549" s="3" t="str">
        <f aca="false">INDEX(Produtos!$B$2:$B$11,MATCH(F549,Produtos!$A$2:$A$11,0))&amp;" "&amp;INDEX(Produtos!$C$2:$C$11,MATCH(F549,Produtos!$A$2:$A$11,0))</f>
        <v>Celular Samsung</v>
      </c>
      <c r="H549" s="2" t="n">
        <v>1</v>
      </c>
      <c r="I549" s="5" t="n">
        <f aca="false">INDEX(Produtos!$D$2:$D$11,MATCH(F549,Produtos!$A$2:$A$11,0))</f>
        <v>2499</v>
      </c>
      <c r="J549" s="5" t="n">
        <f aca="false">H549*I549</f>
        <v>2499</v>
      </c>
      <c r="K549" s="5" t="n">
        <f aca="false">INDEX(Produtos!$E$2:$E$11,MATCH(F549,Produtos!$A$2:$A$11,0))</f>
        <v>1800</v>
      </c>
      <c r="L549" s="5" t="n">
        <f aca="false">H549*K549</f>
        <v>1800</v>
      </c>
    </row>
    <row r="550" customFormat="false" ht="15" hidden="false" customHeight="false" outlineLevel="0" collapsed="false">
      <c r="A550" s="2" t="s">
        <v>832</v>
      </c>
      <c r="B550" s="8" t="n">
        <v>46069</v>
      </c>
      <c r="C550" s="2" t="s">
        <v>201</v>
      </c>
      <c r="D550" s="3" t="str">
        <f aca="false">INDEX(Vendedores!$C$2:$C$101,MATCH(C550,Vendedores!$A$2:$A$101,0))</f>
        <v>L08</v>
      </c>
      <c r="E550" s="3" t="str">
        <f aca="false">INDEX(Lojas!$E$2:$E$11,MATCH(D550,Lojas!$A$2:$A$11,0))</f>
        <v>Nordeste</v>
      </c>
      <c r="F550" s="2" t="s">
        <v>267</v>
      </c>
      <c r="G550" s="3" t="str">
        <f aca="false">INDEX(Produtos!$B$2:$B$11,MATCH(F550,Produtos!$A$2:$A$11,0))&amp;" "&amp;INDEX(Produtos!$C$2:$C$11,MATCH(F550,Produtos!$A$2:$A$11,0))</f>
        <v>Carregador de Celular Tipo C</v>
      </c>
      <c r="H550" s="2" t="n">
        <v>3</v>
      </c>
      <c r="I550" s="5" t="n">
        <f aca="false">INDEX(Produtos!$D$2:$D$11,MATCH(F550,Produtos!$A$2:$A$11,0))</f>
        <v>44.9</v>
      </c>
      <c r="J550" s="5" t="n">
        <f aca="false">H550*I550</f>
        <v>134.7</v>
      </c>
      <c r="K550" s="5" t="n">
        <f aca="false">INDEX(Produtos!$E$2:$E$11,MATCH(F550,Produtos!$A$2:$A$11,0))</f>
        <v>18</v>
      </c>
      <c r="L550" s="5" t="n">
        <f aca="false">H550*K550</f>
        <v>54</v>
      </c>
    </row>
    <row r="551" customFormat="false" ht="15" hidden="false" customHeight="false" outlineLevel="0" collapsed="false">
      <c r="A551" s="2" t="s">
        <v>833</v>
      </c>
      <c r="B551" s="8" t="n">
        <v>46069</v>
      </c>
      <c r="C551" s="2" t="s">
        <v>191</v>
      </c>
      <c r="D551" s="3" t="str">
        <f aca="false">INDEX(Vendedores!$C$2:$C$101,MATCH(C551,Vendedores!$A$2:$A$101,0))</f>
        <v>L08</v>
      </c>
      <c r="E551" s="3" t="str">
        <f aca="false">INDEX(Lojas!$E$2:$E$11,MATCH(D551,Lojas!$A$2:$A$11,0))</f>
        <v>Nordeste</v>
      </c>
      <c r="F551" s="2" t="s">
        <v>267</v>
      </c>
      <c r="G551" s="3" t="str">
        <f aca="false">INDEX(Produtos!$B$2:$B$11,MATCH(F551,Produtos!$A$2:$A$11,0))&amp;" "&amp;INDEX(Produtos!$C$2:$C$11,MATCH(F551,Produtos!$A$2:$A$11,0))</f>
        <v>Carregador de Celular Tipo C</v>
      </c>
      <c r="H551" s="2" t="n">
        <v>2</v>
      </c>
      <c r="I551" s="5" t="n">
        <f aca="false">INDEX(Produtos!$D$2:$D$11,MATCH(F551,Produtos!$A$2:$A$11,0))</f>
        <v>44.9</v>
      </c>
      <c r="J551" s="5" t="n">
        <f aca="false">H551*I551</f>
        <v>89.8</v>
      </c>
      <c r="K551" s="5" t="n">
        <f aca="false">INDEX(Produtos!$E$2:$E$11,MATCH(F551,Produtos!$A$2:$A$11,0))</f>
        <v>18</v>
      </c>
      <c r="L551" s="5" t="n">
        <f aca="false">H551*K551</f>
        <v>36</v>
      </c>
    </row>
    <row r="552" customFormat="false" ht="15" hidden="false" customHeight="false" outlineLevel="0" collapsed="false">
      <c r="A552" s="2" t="s">
        <v>834</v>
      </c>
      <c r="B552" s="8" t="n">
        <v>46069</v>
      </c>
      <c r="C552" s="2" t="s">
        <v>235</v>
      </c>
      <c r="D552" s="3" t="str">
        <f aca="false">INDEX(Vendedores!$C$2:$C$101,MATCH(C552,Vendedores!$A$2:$A$101,0))</f>
        <v>L10</v>
      </c>
      <c r="E552" s="3" t="str">
        <f aca="false">INDEX(Lojas!$E$2:$E$11,MATCH(D552,Lojas!$A$2:$A$11,0))</f>
        <v>Nordeste</v>
      </c>
      <c r="F552" s="2" t="s">
        <v>255</v>
      </c>
      <c r="G552" s="3" t="str">
        <f aca="false">INDEX(Produtos!$B$2:$B$11,MATCH(F552,Produtos!$A$2:$A$11,0))&amp;" "&amp;INDEX(Produtos!$C$2:$C$11,MATCH(F552,Produtos!$A$2:$A$11,0))</f>
        <v>Notebook Positivo</v>
      </c>
      <c r="H552" s="2" t="n">
        <v>1</v>
      </c>
      <c r="I552" s="5" t="n">
        <f aca="false">INDEX(Produtos!$D$2:$D$11,MATCH(F552,Produtos!$A$2:$A$11,0))</f>
        <v>2199</v>
      </c>
      <c r="J552" s="5" t="n">
        <f aca="false">H552*I552</f>
        <v>2199</v>
      </c>
      <c r="K552" s="5" t="n">
        <f aca="false">INDEX(Produtos!$E$2:$E$11,MATCH(F552,Produtos!$A$2:$A$11,0))</f>
        <v>1550</v>
      </c>
      <c r="L552" s="5" t="n">
        <f aca="false">H552*K552</f>
        <v>1550</v>
      </c>
    </row>
    <row r="553" customFormat="false" ht="15" hidden="false" customHeight="false" outlineLevel="0" collapsed="false">
      <c r="A553" s="2" t="s">
        <v>835</v>
      </c>
      <c r="B553" s="8" t="n">
        <v>46069</v>
      </c>
      <c r="C553" s="2" t="s">
        <v>168</v>
      </c>
      <c r="D553" s="3" t="str">
        <f aca="false">INDEX(Vendedores!$C$2:$C$101,MATCH(C553,Vendedores!$A$2:$A$101,0))</f>
        <v>L07</v>
      </c>
      <c r="E553" s="3" t="str">
        <f aca="false">INDEX(Lojas!$E$2:$E$11,MATCH(D553,Lojas!$A$2:$A$11,0))</f>
        <v>Sul</v>
      </c>
      <c r="F553" s="2" t="s">
        <v>257</v>
      </c>
      <c r="G553" s="3" t="str">
        <f aca="false">INDEX(Produtos!$B$2:$B$11,MATCH(F553,Produtos!$A$2:$A$11,0))&amp;" "&amp;INDEX(Produtos!$C$2:$C$11,MATCH(F553,Produtos!$A$2:$A$11,0))</f>
        <v>Celular Samsung</v>
      </c>
      <c r="H553" s="2" t="n">
        <v>2</v>
      </c>
      <c r="I553" s="5" t="n">
        <f aca="false">INDEX(Produtos!$D$2:$D$11,MATCH(F553,Produtos!$A$2:$A$11,0))</f>
        <v>2499</v>
      </c>
      <c r="J553" s="5" t="n">
        <f aca="false">H553*I553</f>
        <v>4998</v>
      </c>
      <c r="K553" s="5" t="n">
        <f aca="false">INDEX(Produtos!$E$2:$E$11,MATCH(F553,Produtos!$A$2:$A$11,0))</f>
        <v>1800</v>
      </c>
      <c r="L553" s="5" t="n">
        <f aca="false">H553*K553</f>
        <v>3600</v>
      </c>
    </row>
    <row r="554" customFormat="false" ht="15" hidden="false" customHeight="false" outlineLevel="0" collapsed="false">
      <c r="A554" s="2" t="s">
        <v>836</v>
      </c>
      <c r="B554" s="8" t="n">
        <v>46069</v>
      </c>
      <c r="C554" s="2" t="s">
        <v>138</v>
      </c>
      <c r="D554" s="3" t="str">
        <f aca="false">INDEX(Vendedores!$C$2:$C$101,MATCH(C554,Vendedores!$A$2:$A$101,0))</f>
        <v>L05</v>
      </c>
      <c r="E554" s="3" t="str">
        <f aca="false">INDEX(Lojas!$E$2:$E$11,MATCH(D554,Lojas!$A$2:$A$11,0))</f>
        <v>Sul</v>
      </c>
      <c r="F554" s="2" t="s">
        <v>255</v>
      </c>
      <c r="G554" s="3" t="str">
        <f aca="false">INDEX(Produtos!$B$2:$B$11,MATCH(F554,Produtos!$A$2:$A$11,0))&amp;" "&amp;INDEX(Produtos!$C$2:$C$11,MATCH(F554,Produtos!$A$2:$A$11,0))</f>
        <v>Notebook Positivo</v>
      </c>
      <c r="H554" s="2" t="n">
        <v>2</v>
      </c>
      <c r="I554" s="5" t="n">
        <f aca="false">INDEX(Produtos!$D$2:$D$11,MATCH(F554,Produtos!$A$2:$A$11,0))</f>
        <v>2199</v>
      </c>
      <c r="J554" s="5" t="n">
        <f aca="false">H554*I554</f>
        <v>4398</v>
      </c>
      <c r="K554" s="5" t="n">
        <f aca="false">INDEX(Produtos!$E$2:$E$11,MATCH(F554,Produtos!$A$2:$A$11,0))</f>
        <v>1550</v>
      </c>
      <c r="L554" s="5" t="n">
        <f aca="false">H554*K554</f>
        <v>3100</v>
      </c>
    </row>
    <row r="555" customFormat="false" ht="15" hidden="false" customHeight="false" outlineLevel="0" collapsed="false">
      <c r="A555" s="2" t="s">
        <v>837</v>
      </c>
      <c r="B555" s="8" t="n">
        <v>46069</v>
      </c>
      <c r="C555" s="2" t="s">
        <v>92</v>
      </c>
      <c r="D555" s="3" t="str">
        <f aca="false">INDEX(Vendedores!$C$2:$C$101,MATCH(C555,Vendedores!$A$2:$A$101,0))</f>
        <v>L03</v>
      </c>
      <c r="E555" s="3" t="str">
        <f aca="false">INDEX(Lojas!$E$2:$E$11,MATCH(D555,Lojas!$A$2:$A$11,0))</f>
        <v>Sudeste</v>
      </c>
      <c r="F555" s="2" t="s">
        <v>262</v>
      </c>
      <c r="G555" s="3" t="str">
        <f aca="false">INDEX(Produtos!$B$2:$B$11,MATCH(F555,Produtos!$A$2:$A$11,0))&amp;" "&amp;INDEX(Produtos!$C$2:$C$11,MATCH(F555,Produtos!$A$2:$A$11,0))</f>
        <v>Fone de Ouvido De Celular</v>
      </c>
      <c r="H555" s="2" t="n">
        <v>1</v>
      </c>
      <c r="I555" s="5" t="n">
        <f aca="false">INDEX(Produtos!$D$2:$D$11,MATCH(F555,Produtos!$A$2:$A$11,0))</f>
        <v>59.9</v>
      </c>
      <c r="J555" s="5" t="n">
        <f aca="false">H555*I555</f>
        <v>59.9</v>
      </c>
      <c r="K555" s="5" t="n">
        <f aca="false">INDEX(Produtos!$E$2:$E$11,MATCH(F555,Produtos!$A$2:$A$11,0))</f>
        <v>28</v>
      </c>
      <c r="L555" s="5" t="n">
        <f aca="false">H555*K555</f>
        <v>28</v>
      </c>
    </row>
    <row r="556" customFormat="false" ht="15" hidden="false" customHeight="false" outlineLevel="0" collapsed="false">
      <c r="A556" s="2" t="s">
        <v>838</v>
      </c>
      <c r="B556" s="8" t="n">
        <v>46069</v>
      </c>
      <c r="C556" s="2" t="s">
        <v>110</v>
      </c>
      <c r="D556" s="3" t="str">
        <f aca="false">INDEX(Vendedores!$C$2:$C$101,MATCH(C556,Vendedores!$A$2:$A$101,0))</f>
        <v>L04</v>
      </c>
      <c r="E556" s="3" t="str">
        <f aca="false">INDEX(Lojas!$E$2:$E$11,MATCH(D556,Lojas!$A$2:$A$11,0))</f>
        <v>Sudeste</v>
      </c>
      <c r="F556" s="2" t="s">
        <v>267</v>
      </c>
      <c r="G556" s="3" t="str">
        <f aca="false">INDEX(Produtos!$B$2:$B$11,MATCH(F556,Produtos!$A$2:$A$11,0))&amp;" "&amp;INDEX(Produtos!$C$2:$C$11,MATCH(F556,Produtos!$A$2:$A$11,0))</f>
        <v>Carregador de Celular Tipo C</v>
      </c>
      <c r="H556" s="2" t="n">
        <v>1</v>
      </c>
      <c r="I556" s="5" t="n">
        <f aca="false">INDEX(Produtos!$D$2:$D$11,MATCH(F556,Produtos!$A$2:$A$11,0))</f>
        <v>44.9</v>
      </c>
      <c r="J556" s="5" t="n">
        <f aca="false">H556*I556</f>
        <v>44.9</v>
      </c>
      <c r="K556" s="5" t="n">
        <f aca="false">INDEX(Produtos!$E$2:$E$11,MATCH(F556,Produtos!$A$2:$A$11,0))</f>
        <v>18</v>
      </c>
      <c r="L556" s="5" t="n">
        <f aca="false">H556*K556</f>
        <v>18</v>
      </c>
    </row>
    <row r="557" customFormat="false" ht="15" hidden="false" customHeight="false" outlineLevel="0" collapsed="false">
      <c r="A557" s="2" t="s">
        <v>839</v>
      </c>
      <c r="B557" s="8" t="n">
        <v>46069</v>
      </c>
      <c r="C557" s="2" t="s">
        <v>122</v>
      </c>
      <c r="D557" s="3" t="str">
        <f aca="false">INDEX(Vendedores!$C$2:$C$101,MATCH(C557,Vendedores!$A$2:$A$101,0))</f>
        <v>L04</v>
      </c>
      <c r="E557" s="3" t="str">
        <f aca="false">INDEX(Lojas!$E$2:$E$11,MATCH(D557,Lojas!$A$2:$A$11,0))</f>
        <v>Sudeste</v>
      </c>
      <c r="F557" s="2" t="s">
        <v>275</v>
      </c>
      <c r="G557" s="3" t="str">
        <f aca="false">INDEX(Produtos!$B$2:$B$11,MATCH(F557,Produtos!$A$2:$A$11,0))&amp;" "&amp;INDEX(Produtos!$C$2:$C$11,MATCH(F557,Produtos!$A$2:$A$11,0))</f>
        <v>Controle de Videogame PS5</v>
      </c>
      <c r="H557" s="2" t="n">
        <v>1</v>
      </c>
      <c r="I557" s="5" t="n">
        <f aca="false">INDEX(Produtos!$D$2:$D$11,MATCH(F557,Produtos!$A$2:$A$11,0))</f>
        <v>379.9</v>
      </c>
      <c r="J557" s="5" t="n">
        <f aca="false">H557*I557</f>
        <v>379.9</v>
      </c>
      <c r="K557" s="5" t="n">
        <f aca="false">INDEX(Produtos!$E$2:$E$11,MATCH(F557,Produtos!$A$2:$A$11,0))</f>
        <v>235</v>
      </c>
      <c r="L557" s="5" t="n">
        <f aca="false">H557*K557</f>
        <v>235</v>
      </c>
    </row>
    <row r="558" customFormat="false" ht="15" hidden="false" customHeight="false" outlineLevel="0" collapsed="false">
      <c r="A558" s="2" t="s">
        <v>840</v>
      </c>
      <c r="B558" s="8" t="n">
        <v>46069</v>
      </c>
      <c r="C558" s="2" t="s">
        <v>146</v>
      </c>
      <c r="D558" s="3" t="str">
        <f aca="false">INDEX(Vendedores!$C$2:$C$101,MATCH(C558,Vendedores!$A$2:$A$101,0))</f>
        <v>L05</v>
      </c>
      <c r="E558" s="3" t="str">
        <f aca="false">INDEX(Lojas!$E$2:$E$11,MATCH(D558,Lojas!$A$2:$A$11,0))</f>
        <v>Sul</v>
      </c>
      <c r="F558" s="2" t="s">
        <v>270</v>
      </c>
      <c r="G558" s="3" t="str">
        <f aca="false">INDEX(Produtos!$B$2:$B$11,MATCH(F558,Produtos!$A$2:$A$11,0))&amp;" "&amp;INDEX(Produtos!$C$2:$C$11,MATCH(F558,Produtos!$A$2:$A$11,0))</f>
        <v>Controle de Videogame Xbox</v>
      </c>
      <c r="H558" s="2" t="n">
        <v>3</v>
      </c>
      <c r="I558" s="5" t="n">
        <f aca="false">INDEX(Produtos!$D$2:$D$11,MATCH(F558,Produtos!$A$2:$A$11,0))</f>
        <v>349.9</v>
      </c>
      <c r="J558" s="5" t="n">
        <f aca="false">H558*I558</f>
        <v>1049.7</v>
      </c>
      <c r="K558" s="5" t="n">
        <f aca="false">INDEX(Produtos!$E$2:$E$11,MATCH(F558,Produtos!$A$2:$A$11,0))</f>
        <v>215</v>
      </c>
      <c r="L558" s="5" t="n">
        <f aca="false">H558*K558</f>
        <v>645</v>
      </c>
    </row>
    <row r="559" customFormat="false" ht="15" hidden="false" customHeight="false" outlineLevel="0" collapsed="false">
      <c r="A559" s="2" t="s">
        <v>841</v>
      </c>
      <c r="B559" s="8" t="n">
        <v>46070</v>
      </c>
      <c r="C559" s="2" t="s">
        <v>223</v>
      </c>
      <c r="D559" s="3" t="str">
        <f aca="false">INDEX(Vendedores!$C$2:$C$101,MATCH(C559,Vendedores!$A$2:$A$101,0))</f>
        <v>L09</v>
      </c>
      <c r="E559" s="3" t="str">
        <f aca="false">INDEX(Lojas!$E$2:$E$11,MATCH(D559,Lojas!$A$2:$A$11,0))</f>
        <v>Nordeste</v>
      </c>
      <c r="F559" s="2" t="s">
        <v>275</v>
      </c>
      <c r="G559" s="3" t="str">
        <f aca="false">INDEX(Produtos!$B$2:$B$11,MATCH(F559,Produtos!$A$2:$A$11,0))&amp;" "&amp;INDEX(Produtos!$C$2:$C$11,MATCH(F559,Produtos!$A$2:$A$11,0))</f>
        <v>Controle de Videogame PS5</v>
      </c>
      <c r="H559" s="2" t="n">
        <v>1</v>
      </c>
      <c r="I559" s="5" t="n">
        <f aca="false">INDEX(Produtos!$D$2:$D$11,MATCH(F559,Produtos!$A$2:$A$11,0))</f>
        <v>379.9</v>
      </c>
      <c r="J559" s="5" t="n">
        <f aca="false">H559*I559</f>
        <v>379.9</v>
      </c>
      <c r="K559" s="5" t="n">
        <f aca="false">INDEX(Produtos!$E$2:$E$11,MATCH(F559,Produtos!$A$2:$A$11,0))</f>
        <v>235</v>
      </c>
      <c r="L559" s="5" t="n">
        <f aca="false">H559*K559</f>
        <v>235</v>
      </c>
    </row>
    <row r="560" customFormat="false" ht="15" hidden="false" customHeight="false" outlineLevel="0" collapsed="false">
      <c r="A560" s="2" t="s">
        <v>842</v>
      </c>
      <c r="B560" s="8" t="n">
        <v>46070</v>
      </c>
      <c r="C560" s="2" t="s">
        <v>92</v>
      </c>
      <c r="D560" s="3" t="str">
        <f aca="false">INDEX(Vendedores!$C$2:$C$101,MATCH(C560,Vendedores!$A$2:$A$101,0))</f>
        <v>L03</v>
      </c>
      <c r="E560" s="3" t="str">
        <f aca="false">INDEX(Lojas!$E$2:$E$11,MATCH(D560,Lojas!$A$2:$A$11,0))</f>
        <v>Sudeste</v>
      </c>
      <c r="F560" s="2" t="s">
        <v>252</v>
      </c>
      <c r="G560" s="3" t="str">
        <f aca="false">INDEX(Produtos!$B$2:$B$11,MATCH(F560,Produtos!$A$2:$A$11,0))&amp;" "&amp;INDEX(Produtos!$C$2:$C$11,MATCH(F560,Produtos!$A$2:$A$11,0))</f>
        <v>Notebook Lenovo</v>
      </c>
      <c r="H560" s="2" t="n">
        <v>3</v>
      </c>
      <c r="I560" s="5" t="n">
        <f aca="false">INDEX(Produtos!$D$2:$D$11,MATCH(F560,Produtos!$A$2:$A$11,0))</f>
        <v>3199</v>
      </c>
      <c r="J560" s="5" t="n">
        <f aca="false">H560*I560</f>
        <v>9597</v>
      </c>
      <c r="K560" s="5" t="n">
        <f aca="false">INDEX(Produtos!$E$2:$E$11,MATCH(F560,Produtos!$A$2:$A$11,0))</f>
        <v>2350</v>
      </c>
      <c r="L560" s="5" t="n">
        <f aca="false">H560*K560</f>
        <v>7050</v>
      </c>
    </row>
    <row r="561" customFormat="false" ht="15" hidden="false" customHeight="false" outlineLevel="0" collapsed="false">
      <c r="A561" s="2" t="s">
        <v>843</v>
      </c>
      <c r="B561" s="8" t="n">
        <v>46070</v>
      </c>
      <c r="C561" s="2" t="s">
        <v>211</v>
      </c>
      <c r="D561" s="3" t="str">
        <f aca="false">INDEX(Vendedores!$C$2:$C$101,MATCH(C561,Vendedores!$A$2:$A$101,0))</f>
        <v>L09</v>
      </c>
      <c r="E561" s="3" t="str">
        <f aca="false">INDEX(Lojas!$E$2:$E$11,MATCH(D561,Lojas!$A$2:$A$11,0))</f>
        <v>Nordeste</v>
      </c>
      <c r="F561" s="2" t="s">
        <v>260</v>
      </c>
      <c r="G561" s="3" t="str">
        <f aca="false">INDEX(Produtos!$B$2:$B$11,MATCH(F561,Produtos!$A$2:$A$11,0))&amp;" "&amp;INDEX(Produtos!$C$2:$C$11,MATCH(F561,Produtos!$A$2:$A$11,0))</f>
        <v>Celular Motorola</v>
      </c>
      <c r="H561" s="2" t="n">
        <v>1</v>
      </c>
      <c r="I561" s="5" t="n">
        <f aca="false">INDEX(Produtos!$D$2:$D$11,MATCH(F561,Produtos!$A$2:$A$11,0))</f>
        <v>1799</v>
      </c>
      <c r="J561" s="5" t="n">
        <f aca="false">H561*I561</f>
        <v>1799</v>
      </c>
      <c r="K561" s="5" t="n">
        <f aca="false">INDEX(Produtos!$E$2:$E$11,MATCH(F561,Produtos!$A$2:$A$11,0))</f>
        <v>1250</v>
      </c>
      <c r="L561" s="5" t="n">
        <f aca="false">H561*K561</f>
        <v>1250</v>
      </c>
    </row>
    <row r="562" customFormat="false" ht="15" hidden="false" customHeight="false" outlineLevel="0" collapsed="false">
      <c r="A562" s="2" t="s">
        <v>844</v>
      </c>
      <c r="B562" s="8" t="n">
        <v>46070</v>
      </c>
      <c r="C562" s="2" t="s">
        <v>231</v>
      </c>
      <c r="D562" s="3" t="str">
        <f aca="false">INDEX(Vendedores!$C$2:$C$101,MATCH(C562,Vendedores!$A$2:$A$101,0))</f>
        <v>L10</v>
      </c>
      <c r="E562" s="3" t="str">
        <f aca="false">INDEX(Lojas!$E$2:$E$11,MATCH(D562,Lojas!$A$2:$A$11,0))</f>
        <v>Nordeste</v>
      </c>
      <c r="F562" s="2" t="s">
        <v>267</v>
      </c>
      <c r="G562" s="3" t="str">
        <f aca="false">INDEX(Produtos!$B$2:$B$11,MATCH(F562,Produtos!$A$2:$A$11,0))&amp;" "&amp;INDEX(Produtos!$C$2:$C$11,MATCH(F562,Produtos!$A$2:$A$11,0))</f>
        <v>Carregador de Celular Tipo C</v>
      </c>
      <c r="H562" s="2" t="n">
        <v>2</v>
      </c>
      <c r="I562" s="5" t="n">
        <f aca="false">INDEX(Produtos!$D$2:$D$11,MATCH(F562,Produtos!$A$2:$A$11,0))</f>
        <v>44.9</v>
      </c>
      <c r="J562" s="5" t="n">
        <f aca="false">H562*I562</f>
        <v>89.8</v>
      </c>
      <c r="K562" s="5" t="n">
        <f aca="false">INDEX(Produtos!$E$2:$E$11,MATCH(F562,Produtos!$A$2:$A$11,0))</f>
        <v>18</v>
      </c>
      <c r="L562" s="5" t="n">
        <f aca="false">H562*K562</f>
        <v>36</v>
      </c>
    </row>
    <row r="563" customFormat="false" ht="15" hidden="false" customHeight="false" outlineLevel="0" collapsed="false">
      <c r="A563" s="2" t="s">
        <v>845</v>
      </c>
      <c r="B563" s="8" t="n">
        <v>46070</v>
      </c>
      <c r="C563" s="2" t="s">
        <v>215</v>
      </c>
      <c r="D563" s="3" t="str">
        <f aca="false">INDEX(Vendedores!$C$2:$C$101,MATCH(C563,Vendedores!$A$2:$A$101,0))</f>
        <v>L09</v>
      </c>
      <c r="E563" s="3" t="str">
        <f aca="false">INDEX(Lojas!$E$2:$E$11,MATCH(D563,Lojas!$A$2:$A$11,0))</f>
        <v>Nordeste</v>
      </c>
      <c r="F563" s="2" t="s">
        <v>260</v>
      </c>
      <c r="G563" s="3" t="str">
        <f aca="false">INDEX(Produtos!$B$2:$B$11,MATCH(F563,Produtos!$A$2:$A$11,0))&amp;" "&amp;INDEX(Produtos!$C$2:$C$11,MATCH(F563,Produtos!$A$2:$A$11,0))</f>
        <v>Celular Motorola</v>
      </c>
      <c r="H563" s="2" t="n">
        <v>2</v>
      </c>
      <c r="I563" s="5" t="n">
        <f aca="false">INDEX(Produtos!$D$2:$D$11,MATCH(F563,Produtos!$A$2:$A$11,0))</f>
        <v>1799</v>
      </c>
      <c r="J563" s="5" t="n">
        <f aca="false">H563*I563</f>
        <v>3598</v>
      </c>
      <c r="K563" s="5" t="n">
        <f aca="false">INDEX(Produtos!$E$2:$E$11,MATCH(F563,Produtos!$A$2:$A$11,0))</f>
        <v>1250</v>
      </c>
      <c r="L563" s="5" t="n">
        <f aca="false">H563*K563</f>
        <v>2500</v>
      </c>
    </row>
    <row r="564" customFormat="false" ht="15" hidden="false" customHeight="false" outlineLevel="0" collapsed="false">
      <c r="A564" s="2" t="s">
        <v>846</v>
      </c>
      <c r="B564" s="8" t="n">
        <v>46070</v>
      </c>
      <c r="C564" s="2" t="s">
        <v>142</v>
      </c>
      <c r="D564" s="3" t="str">
        <f aca="false">INDEX(Vendedores!$C$2:$C$101,MATCH(C564,Vendedores!$A$2:$A$101,0))</f>
        <v>L05</v>
      </c>
      <c r="E564" s="3" t="str">
        <f aca="false">INDEX(Lojas!$E$2:$E$11,MATCH(D564,Lojas!$A$2:$A$11,0))</f>
        <v>Sul</v>
      </c>
      <c r="F564" s="2" t="s">
        <v>270</v>
      </c>
      <c r="G564" s="3" t="str">
        <f aca="false">INDEX(Produtos!$B$2:$B$11,MATCH(F564,Produtos!$A$2:$A$11,0))&amp;" "&amp;INDEX(Produtos!$C$2:$C$11,MATCH(F564,Produtos!$A$2:$A$11,0))</f>
        <v>Controle de Videogame Xbox</v>
      </c>
      <c r="H564" s="2" t="n">
        <v>1</v>
      </c>
      <c r="I564" s="5" t="n">
        <f aca="false">INDEX(Produtos!$D$2:$D$11,MATCH(F564,Produtos!$A$2:$A$11,0))</f>
        <v>349.9</v>
      </c>
      <c r="J564" s="5" t="n">
        <f aca="false">H564*I564</f>
        <v>349.9</v>
      </c>
      <c r="K564" s="5" t="n">
        <f aca="false">INDEX(Produtos!$E$2:$E$11,MATCH(F564,Produtos!$A$2:$A$11,0))</f>
        <v>215</v>
      </c>
      <c r="L564" s="5" t="n">
        <f aca="false">H564*K564</f>
        <v>215</v>
      </c>
    </row>
    <row r="565" customFormat="false" ht="15" hidden="false" customHeight="false" outlineLevel="0" collapsed="false">
      <c r="A565" s="2" t="s">
        <v>847</v>
      </c>
      <c r="B565" s="8" t="n">
        <v>46070</v>
      </c>
      <c r="C565" s="2" t="s">
        <v>178</v>
      </c>
      <c r="D565" s="3" t="str">
        <f aca="false">INDEX(Vendedores!$C$2:$C$101,MATCH(C565,Vendedores!$A$2:$A$101,0))</f>
        <v>L07</v>
      </c>
      <c r="E565" s="3" t="str">
        <f aca="false">INDEX(Lojas!$E$2:$E$11,MATCH(D565,Lojas!$A$2:$A$11,0))</f>
        <v>Sul</v>
      </c>
      <c r="F565" s="2" t="s">
        <v>270</v>
      </c>
      <c r="G565" s="3" t="str">
        <f aca="false">INDEX(Produtos!$B$2:$B$11,MATCH(F565,Produtos!$A$2:$A$11,0))&amp;" "&amp;INDEX(Produtos!$C$2:$C$11,MATCH(F565,Produtos!$A$2:$A$11,0))</f>
        <v>Controle de Videogame Xbox</v>
      </c>
      <c r="H565" s="2" t="n">
        <v>2</v>
      </c>
      <c r="I565" s="5" t="n">
        <f aca="false">INDEX(Produtos!$D$2:$D$11,MATCH(F565,Produtos!$A$2:$A$11,0))</f>
        <v>349.9</v>
      </c>
      <c r="J565" s="5" t="n">
        <f aca="false">H565*I565</f>
        <v>699.8</v>
      </c>
      <c r="K565" s="5" t="n">
        <f aca="false">INDEX(Produtos!$E$2:$E$11,MATCH(F565,Produtos!$A$2:$A$11,0))</f>
        <v>215</v>
      </c>
      <c r="L565" s="5" t="n">
        <f aca="false">H565*K565</f>
        <v>430</v>
      </c>
    </row>
    <row r="566" customFormat="false" ht="15" hidden="false" customHeight="false" outlineLevel="0" collapsed="false">
      <c r="A566" s="2" t="s">
        <v>848</v>
      </c>
      <c r="B566" s="8" t="n">
        <v>46070</v>
      </c>
      <c r="C566" s="2" t="s">
        <v>60</v>
      </c>
      <c r="D566" s="3" t="str">
        <f aca="false">INDEX(Vendedores!$C$2:$C$101,MATCH(C566,Vendedores!$A$2:$A$101,0))</f>
        <v>L01</v>
      </c>
      <c r="E566" s="3" t="str">
        <f aca="false">INDEX(Lojas!$E$2:$E$11,MATCH(D566,Lojas!$A$2:$A$11,0))</f>
        <v>Sudeste</v>
      </c>
      <c r="F566" s="2" t="s">
        <v>260</v>
      </c>
      <c r="G566" s="3" t="str">
        <f aca="false">INDEX(Produtos!$B$2:$B$11,MATCH(F566,Produtos!$A$2:$A$11,0))&amp;" "&amp;INDEX(Produtos!$C$2:$C$11,MATCH(F566,Produtos!$A$2:$A$11,0))</f>
        <v>Celular Motorola</v>
      </c>
      <c r="H566" s="2" t="n">
        <v>1</v>
      </c>
      <c r="I566" s="5" t="n">
        <f aca="false">INDEX(Produtos!$D$2:$D$11,MATCH(F566,Produtos!$A$2:$A$11,0))</f>
        <v>1799</v>
      </c>
      <c r="J566" s="5" t="n">
        <f aca="false">H566*I566</f>
        <v>1799</v>
      </c>
      <c r="K566" s="5" t="n">
        <f aca="false">INDEX(Produtos!$E$2:$E$11,MATCH(F566,Produtos!$A$2:$A$11,0))</f>
        <v>1250</v>
      </c>
      <c r="L566" s="5" t="n">
        <f aca="false">H566*K566</f>
        <v>1250</v>
      </c>
    </row>
    <row r="567" customFormat="false" ht="15" hidden="false" customHeight="false" outlineLevel="0" collapsed="false">
      <c r="A567" s="2" t="s">
        <v>849</v>
      </c>
      <c r="B567" s="8" t="n">
        <v>46070</v>
      </c>
      <c r="C567" s="2" t="s">
        <v>98</v>
      </c>
      <c r="D567" s="3" t="str">
        <f aca="false">INDEX(Vendedores!$C$2:$C$101,MATCH(C567,Vendedores!$A$2:$A$101,0))</f>
        <v>L03</v>
      </c>
      <c r="E567" s="3" t="str">
        <f aca="false">INDEX(Lojas!$E$2:$E$11,MATCH(D567,Lojas!$A$2:$A$11,0))</f>
        <v>Sudeste</v>
      </c>
      <c r="F567" s="2" t="s">
        <v>260</v>
      </c>
      <c r="G567" s="3" t="str">
        <f aca="false">INDEX(Produtos!$B$2:$B$11,MATCH(F567,Produtos!$A$2:$A$11,0))&amp;" "&amp;INDEX(Produtos!$C$2:$C$11,MATCH(F567,Produtos!$A$2:$A$11,0))</f>
        <v>Celular Motorola</v>
      </c>
      <c r="H567" s="2" t="n">
        <v>2</v>
      </c>
      <c r="I567" s="5" t="n">
        <f aca="false">INDEX(Produtos!$D$2:$D$11,MATCH(F567,Produtos!$A$2:$A$11,0))</f>
        <v>1799</v>
      </c>
      <c r="J567" s="5" t="n">
        <f aca="false">H567*I567</f>
        <v>3598</v>
      </c>
      <c r="K567" s="5" t="n">
        <f aca="false">INDEX(Produtos!$E$2:$E$11,MATCH(F567,Produtos!$A$2:$A$11,0))</f>
        <v>1250</v>
      </c>
      <c r="L567" s="5" t="n">
        <f aca="false">H567*K567</f>
        <v>2500</v>
      </c>
    </row>
    <row r="568" customFormat="false" ht="15" hidden="false" customHeight="false" outlineLevel="0" collapsed="false">
      <c r="A568" s="2" t="s">
        <v>850</v>
      </c>
      <c r="B568" s="8" t="n">
        <v>46070</v>
      </c>
      <c r="C568" s="2" t="s">
        <v>112</v>
      </c>
      <c r="D568" s="3" t="str">
        <f aca="false">INDEX(Vendedores!$C$2:$C$101,MATCH(C568,Vendedores!$A$2:$A$101,0))</f>
        <v>L04</v>
      </c>
      <c r="E568" s="3" t="str">
        <f aca="false">INDEX(Lojas!$E$2:$E$11,MATCH(D568,Lojas!$A$2:$A$11,0))</f>
        <v>Sudeste</v>
      </c>
      <c r="F568" s="2" t="s">
        <v>257</v>
      </c>
      <c r="G568" s="3" t="str">
        <f aca="false">INDEX(Produtos!$B$2:$B$11,MATCH(F568,Produtos!$A$2:$A$11,0))&amp;" "&amp;INDEX(Produtos!$C$2:$C$11,MATCH(F568,Produtos!$A$2:$A$11,0))</f>
        <v>Celular Samsung</v>
      </c>
      <c r="H568" s="2" t="n">
        <v>2</v>
      </c>
      <c r="I568" s="5" t="n">
        <f aca="false">INDEX(Produtos!$D$2:$D$11,MATCH(F568,Produtos!$A$2:$A$11,0))</f>
        <v>2499</v>
      </c>
      <c r="J568" s="5" t="n">
        <f aca="false">H568*I568</f>
        <v>4998</v>
      </c>
      <c r="K568" s="5" t="n">
        <f aca="false">INDEX(Produtos!$E$2:$E$11,MATCH(F568,Produtos!$A$2:$A$11,0))</f>
        <v>1800</v>
      </c>
      <c r="L568" s="5" t="n">
        <f aca="false">H568*K568</f>
        <v>3600</v>
      </c>
    </row>
    <row r="569" customFormat="false" ht="15" hidden="false" customHeight="false" outlineLevel="0" collapsed="false">
      <c r="A569" s="2" t="s">
        <v>851</v>
      </c>
      <c r="B569" s="8" t="n">
        <v>46070</v>
      </c>
      <c r="C569" s="2" t="s">
        <v>152</v>
      </c>
      <c r="D569" s="3" t="str">
        <f aca="false">INDEX(Vendedores!$C$2:$C$101,MATCH(C569,Vendedores!$A$2:$A$101,0))</f>
        <v>L06</v>
      </c>
      <c r="E569" s="3" t="str">
        <f aca="false">INDEX(Lojas!$E$2:$E$11,MATCH(D569,Lojas!$A$2:$A$11,0))</f>
        <v>Sul</v>
      </c>
      <c r="F569" s="2" t="s">
        <v>262</v>
      </c>
      <c r="G569" s="3" t="str">
        <f aca="false">INDEX(Produtos!$B$2:$B$11,MATCH(F569,Produtos!$A$2:$A$11,0))&amp;" "&amp;INDEX(Produtos!$C$2:$C$11,MATCH(F569,Produtos!$A$2:$A$11,0))</f>
        <v>Fone de Ouvido De Celular</v>
      </c>
      <c r="H569" s="2" t="n">
        <v>1</v>
      </c>
      <c r="I569" s="5" t="n">
        <f aca="false">INDEX(Produtos!$D$2:$D$11,MATCH(F569,Produtos!$A$2:$A$11,0))</f>
        <v>59.9</v>
      </c>
      <c r="J569" s="5" t="n">
        <f aca="false">H569*I569</f>
        <v>59.9</v>
      </c>
      <c r="K569" s="5" t="n">
        <f aca="false">INDEX(Produtos!$E$2:$E$11,MATCH(F569,Produtos!$A$2:$A$11,0))</f>
        <v>28</v>
      </c>
      <c r="L569" s="5" t="n">
        <f aca="false">H569*K569</f>
        <v>28</v>
      </c>
    </row>
    <row r="570" customFormat="false" ht="15" hidden="false" customHeight="false" outlineLevel="0" collapsed="false">
      <c r="A570" s="2" t="s">
        <v>852</v>
      </c>
      <c r="B570" s="8" t="n">
        <v>46070</v>
      </c>
      <c r="C570" s="2" t="s">
        <v>183</v>
      </c>
      <c r="D570" s="3" t="str">
        <f aca="false">INDEX(Vendedores!$C$2:$C$101,MATCH(C570,Vendedores!$A$2:$A$101,0))</f>
        <v>L07</v>
      </c>
      <c r="E570" s="3" t="str">
        <f aca="false">INDEX(Lojas!$E$2:$E$11,MATCH(D570,Lojas!$A$2:$A$11,0))</f>
        <v>Sul</v>
      </c>
      <c r="F570" s="2" t="s">
        <v>275</v>
      </c>
      <c r="G570" s="3" t="str">
        <f aca="false">INDEX(Produtos!$B$2:$B$11,MATCH(F570,Produtos!$A$2:$A$11,0))&amp;" "&amp;INDEX(Produtos!$C$2:$C$11,MATCH(F570,Produtos!$A$2:$A$11,0))</f>
        <v>Controle de Videogame PS5</v>
      </c>
      <c r="H570" s="2" t="n">
        <v>1</v>
      </c>
      <c r="I570" s="5" t="n">
        <f aca="false">INDEX(Produtos!$D$2:$D$11,MATCH(F570,Produtos!$A$2:$A$11,0))</f>
        <v>379.9</v>
      </c>
      <c r="J570" s="5" t="n">
        <f aca="false">H570*I570</f>
        <v>379.9</v>
      </c>
      <c r="K570" s="5" t="n">
        <f aca="false">INDEX(Produtos!$E$2:$E$11,MATCH(F570,Produtos!$A$2:$A$11,0))</f>
        <v>235</v>
      </c>
      <c r="L570" s="5" t="n">
        <f aca="false">H570*K570</f>
        <v>235</v>
      </c>
    </row>
    <row r="571" customFormat="false" ht="15" hidden="false" customHeight="false" outlineLevel="0" collapsed="false">
      <c r="A571" s="2" t="s">
        <v>853</v>
      </c>
      <c r="B571" s="8" t="n">
        <v>46070</v>
      </c>
      <c r="C571" s="2" t="s">
        <v>195</v>
      </c>
      <c r="D571" s="3" t="str">
        <f aca="false">INDEX(Vendedores!$C$2:$C$101,MATCH(C571,Vendedores!$A$2:$A$101,0))</f>
        <v>L08</v>
      </c>
      <c r="E571" s="3" t="str">
        <f aca="false">INDEX(Lojas!$E$2:$E$11,MATCH(D571,Lojas!$A$2:$A$11,0))</f>
        <v>Nordeste</v>
      </c>
      <c r="F571" s="2" t="s">
        <v>260</v>
      </c>
      <c r="G571" s="3" t="str">
        <f aca="false">INDEX(Produtos!$B$2:$B$11,MATCH(F571,Produtos!$A$2:$A$11,0))&amp;" "&amp;INDEX(Produtos!$C$2:$C$11,MATCH(F571,Produtos!$A$2:$A$11,0))</f>
        <v>Celular Motorola</v>
      </c>
      <c r="H571" s="2" t="n">
        <v>1</v>
      </c>
      <c r="I571" s="5" t="n">
        <f aca="false">INDEX(Produtos!$D$2:$D$11,MATCH(F571,Produtos!$A$2:$A$11,0))</f>
        <v>1799</v>
      </c>
      <c r="J571" s="5" t="n">
        <f aca="false">H571*I571</f>
        <v>1799</v>
      </c>
      <c r="K571" s="5" t="n">
        <f aca="false">INDEX(Produtos!$E$2:$E$11,MATCH(F571,Produtos!$A$2:$A$11,0))</f>
        <v>1250</v>
      </c>
      <c r="L571" s="5" t="n">
        <f aca="false">H571*K571</f>
        <v>1250</v>
      </c>
    </row>
    <row r="572" customFormat="false" ht="15" hidden="false" customHeight="false" outlineLevel="0" collapsed="false">
      <c r="A572" s="2" t="s">
        <v>854</v>
      </c>
      <c r="B572" s="8" t="n">
        <v>46070</v>
      </c>
      <c r="C572" s="2" t="s">
        <v>62</v>
      </c>
      <c r="D572" s="3" t="str">
        <f aca="false">INDEX(Vendedores!$C$2:$C$101,MATCH(C572,Vendedores!$A$2:$A$101,0))</f>
        <v>L01</v>
      </c>
      <c r="E572" s="3" t="str">
        <f aca="false">INDEX(Lojas!$E$2:$E$11,MATCH(D572,Lojas!$A$2:$A$11,0))</f>
        <v>Sudeste</v>
      </c>
      <c r="F572" s="2" t="s">
        <v>257</v>
      </c>
      <c r="G572" s="3" t="str">
        <f aca="false">INDEX(Produtos!$B$2:$B$11,MATCH(F572,Produtos!$A$2:$A$11,0))&amp;" "&amp;INDEX(Produtos!$C$2:$C$11,MATCH(F572,Produtos!$A$2:$A$11,0))</f>
        <v>Celular Samsung</v>
      </c>
      <c r="H572" s="2" t="n">
        <v>3</v>
      </c>
      <c r="I572" s="5" t="n">
        <f aca="false">INDEX(Produtos!$D$2:$D$11,MATCH(F572,Produtos!$A$2:$A$11,0))</f>
        <v>2499</v>
      </c>
      <c r="J572" s="5" t="n">
        <f aca="false">H572*I572</f>
        <v>7497</v>
      </c>
      <c r="K572" s="5" t="n">
        <f aca="false">INDEX(Produtos!$E$2:$E$11,MATCH(F572,Produtos!$A$2:$A$11,0))</f>
        <v>1800</v>
      </c>
      <c r="L572" s="5" t="n">
        <f aca="false">H572*K572</f>
        <v>5400</v>
      </c>
    </row>
    <row r="573" customFormat="false" ht="15" hidden="false" customHeight="false" outlineLevel="0" collapsed="false">
      <c r="A573" s="2" t="s">
        <v>855</v>
      </c>
      <c r="B573" s="8" t="n">
        <v>46070</v>
      </c>
      <c r="C573" s="2" t="s">
        <v>68</v>
      </c>
      <c r="D573" s="3" t="str">
        <f aca="false">INDEX(Vendedores!$C$2:$C$101,MATCH(C573,Vendedores!$A$2:$A$101,0))</f>
        <v>L01</v>
      </c>
      <c r="E573" s="3" t="str">
        <f aca="false">INDEX(Lojas!$E$2:$E$11,MATCH(D573,Lojas!$A$2:$A$11,0))</f>
        <v>Sudeste</v>
      </c>
      <c r="F573" s="2" t="s">
        <v>265</v>
      </c>
      <c r="G573" s="3" t="str">
        <f aca="false">INDEX(Produtos!$B$2:$B$11,MATCH(F573,Produtos!$A$2:$A$11,0))&amp;" "&amp;INDEX(Produtos!$C$2:$C$11,MATCH(F573,Produtos!$A$2:$A$11,0))</f>
        <v>Fone de Ouvido Headset</v>
      </c>
      <c r="H573" s="2" t="n">
        <v>1</v>
      </c>
      <c r="I573" s="5" t="n">
        <f aca="false">INDEX(Produtos!$D$2:$D$11,MATCH(F573,Produtos!$A$2:$A$11,0))</f>
        <v>249.9</v>
      </c>
      <c r="J573" s="5" t="n">
        <f aca="false">H573*I573</f>
        <v>249.9</v>
      </c>
      <c r="K573" s="5" t="n">
        <f aca="false">INDEX(Produtos!$E$2:$E$11,MATCH(F573,Produtos!$A$2:$A$11,0))</f>
        <v>145</v>
      </c>
      <c r="L573" s="5" t="n">
        <f aca="false">H573*K573</f>
        <v>145</v>
      </c>
    </row>
    <row r="574" customFormat="false" ht="15" hidden="false" customHeight="false" outlineLevel="0" collapsed="false">
      <c r="A574" s="2" t="s">
        <v>856</v>
      </c>
      <c r="B574" s="8" t="n">
        <v>46071</v>
      </c>
      <c r="C574" s="2" t="s">
        <v>239</v>
      </c>
      <c r="D574" s="3" t="str">
        <f aca="false">INDEX(Vendedores!$C$2:$C$101,MATCH(C574,Vendedores!$A$2:$A$101,0))</f>
        <v>L10</v>
      </c>
      <c r="E574" s="3" t="str">
        <f aca="false">INDEX(Lojas!$E$2:$E$11,MATCH(D574,Lojas!$A$2:$A$11,0))</f>
        <v>Nordeste</v>
      </c>
      <c r="F574" s="2" t="s">
        <v>255</v>
      </c>
      <c r="G574" s="3" t="str">
        <f aca="false">INDEX(Produtos!$B$2:$B$11,MATCH(F574,Produtos!$A$2:$A$11,0))&amp;" "&amp;INDEX(Produtos!$C$2:$C$11,MATCH(F574,Produtos!$A$2:$A$11,0))</f>
        <v>Notebook Positivo</v>
      </c>
      <c r="H574" s="2" t="n">
        <v>3</v>
      </c>
      <c r="I574" s="5" t="n">
        <f aca="false">INDEX(Produtos!$D$2:$D$11,MATCH(F574,Produtos!$A$2:$A$11,0))</f>
        <v>2199</v>
      </c>
      <c r="J574" s="5" t="n">
        <f aca="false">H574*I574</f>
        <v>6597</v>
      </c>
      <c r="K574" s="5" t="n">
        <f aca="false">INDEX(Produtos!$E$2:$E$11,MATCH(F574,Produtos!$A$2:$A$11,0))</f>
        <v>1550</v>
      </c>
      <c r="L574" s="5" t="n">
        <f aca="false">H574*K574</f>
        <v>4650</v>
      </c>
    </row>
    <row r="575" customFormat="false" ht="15" hidden="false" customHeight="false" outlineLevel="0" collapsed="false">
      <c r="A575" s="2" t="s">
        <v>857</v>
      </c>
      <c r="B575" s="8" t="n">
        <v>46071</v>
      </c>
      <c r="C575" s="2" t="s">
        <v>189</v>
      </c>
      <c r="D575" s="3" t="str">
        <f aca="false">INDEX(Vendedores!$C$2:$C$101,MATCH(C575,Vendedores!$A$2:$A$101,0))</f>
        <v>L08</v>
      </c>
      <c r="E575" s="3" t="str">
        <f aca="false">INDEX(Lojas!$E$2:$E$11,MATCH(D575,Lojas!$A$2:$A$11,0))</f>
        <v>Nordeste</v>
      </c>
      <c r="F575" s="2" t="s">
        <v>270</v>
      </c>
      <c r="G575" s="3" t="str">
        <f aca="false">INDEX(Produtos!$B$2:$B$11,MATCH(F575,Produtos!$A$2:$A$11,0))&amp;" "&amp;INDEX(Produtos!$C$2:$C$11,MATCH(F575,Produtos!$A$2:$A$11,0))</f>
        <v>Controle de Videogame Xbox</v>
      </c>
      <c r="H575" s="2" t="n">
        <v>2</v>
      </c>
      <c r="I575" s="5" t="n">
        <f aca="false">INDEX(Produtos!$D$2:$D$11,MATCH(F575,Produtos!$A$2:$A$11,0))</f>
        <v>349.9</v>
      </c>
      <c r="J575" s="5" t="n">
        <f aca="false">H575*I575</f>
        <v>699.8</v>
      </c>
      <c r="K575" s="5" t="n">
        <f aca="false">INDEX(Produtos!$E$2:$E$11,MATCH(F575,Produtos!$A$2:$A$11,0))</f>
        <v>215</v>
      </c>
      <c r="L575" s="5" t="n">
        <f aca="false">H575*K575</f>
        <v>430</v>
      </c>
    </row>
    <row r="576" customFormat="false" ht="15" hidden="false" customHeight="false" outlineLevel="0" collapsed="false">
      <c r="A576" s="2" t="s">
        <v>858</v>
      </c>
      <c r="B576" s="8" t="n">
        <v>46071</v>
      </c>
      <c r="C576" s="2" t="s">
        <v>104</v>
      </c>
      <c r="D576" s="3" t="str">
        <f aca="false">INDEX(Vendedores!$C$2:$C$101,MATCH(C576,Vendedores!$A$2:$A$101,0))</f>
        <v>L03</v>
      </c>
      <c r="E576" s="3" t="str">
        <f aca="false">INDEX(Lojas!$E$2:$E$11,MATCH(D576,Lojas!$A$2:$A$11,0))</f>
        <v>Sudeste</v>
      </c>
      <c r="F576" s="2" t="s">
        <v>273</v>
      </c>
      <c r="G576" s="3" t="str">
        <f aca="false">INDEX(Produtos!$B$2:$B$11,MATCH(F576,Produtos!$A$2:$A$11,0))&amp;" "&amp;INDEX(Produtos!$C$2:$C$11,MATCH(F576,Produtos!$A$2:$A$11,0))</f>
        <v>Controle de Videogame PS4</v>
      </c>
      <c r="H576" s="2" t="n">
        <v>2</v>
      </c>
      <c r="I576" s="5" t="n">
        <f aca="false">INDEX(Produtos!$D$2:$D$11,MATCH(F576,Produtos!$A$2:$A$11,0))</f>
        <v>299.9</v>
      </c>
      <c r="J576" s="5" t="n">
        <f aca="false">H576*I576</f>
        <v>599.8</v>
      </c>
      <c r="K576" s="5" t="n">
        <f aca="false">INDEX(Produtos!$E$2:$E$11,MATCH(F576,Produtos!$A$2:$A$11,0))</f>
        <v>175</v>
      </c>
      <c r="L576" s="5" t="n">
        <f aca="false">H576*K576</f>
        <v>350</v>
      </c>
    </row>
    <row r="577" customFormat="false" ht="15" hidden="false" customHeight="false" outlineLevel="0" collapsed="false">
      <c r="A577" s="2" t="s">
        <v>859</v>
      </c>
      <c r="B577" s="8" t="n">
        <v>46071</v>
      </c>
      <c r="C577" s="2" t="s">
        <v>225</v>
      </c>
      <c r="D577" s="3" t="str">
        <f aca="false">INDEX(Vendedores!$C$2:$C$101,MATCH(C577,Vendedores!$A$2:$A$101,0))</f>
        <v>L10</v>
      </c>
      <c r="E577" s="3" t="str">
        <f aca="false">INDEX(Lojas!$E$2:$E$11,MATCH(D577,Lojas!$A$2:$A$11,0))</f>
        <v>Nordeste</v>
      </c>
      <c r="F577" s="2" t="s">
        <v>255</v>
      </c>
      <c r="G577" s="3" t="str">
        <f aca="false">INDEX(Produtos!$B$2:$B$11,MATCH(F577,Produtos!$A$2:$A$11,0))&amp;" "&amp;INDEX(Produtos!$C$2:$C$11,MATCH(F577,Produtos!$A$2:$A$11,0))</f>
        <v>Notebook Positivo</v>
      </c>
      <c r="H577" s="2" t="n">
        <v>1</v>
      </c>
      <c r="I577" s="5" t="n">
        <f aca="false">INDEX(Produtos!$D$2:$D$11,MATCH(F577,Produtos!$A$2:$A$11,0))</f>
        <v>2199</v>
      </c>
      <c r="J577" s="5" t="n">
        <f aca="false">H577*I577</f>
        <v>2199</v>
      </c>
      <c r="K577" s="5" t="n">
        <f aca="false">INDEX(Produtos!$E$2:$E$11,MATCH(F577,Produtos!$A$2:$A$11,0))</f>
        <v>1550</v>
      </c>
      <c r="L577" s="5" t="n">
        <f aca="false">H577*K577</f>
        <v>1550</v>
      </c>
    </row>
    <row r="578" customFormat="false" ht="15" hidden="false" customHeight="false" outlineLevel="0" collapsed="false">
      <c r="A578" s="2" t="s">
        <v>860</v>
      </c>
      <c r="B578" s="8" t="n">
        <v>46071</v>
      </c>
      <c r="C578" s="2" t="s">
        <v>187</v>
      </c>
      <c r="D578" s="3" t="str">
        <f aca="false">INDEX(Vendedores!$C$2:$C$101,MATCH(C578,Vendedores!$A$2:$A$101,0))</f>
        <v>L08</v>
      </c>
      <c r="E578" s="3" t="str">
        <f aca="false">INDEX(Lojas!$E$2:$E$11,MATCH(D578,Lojas!$A$2:$A$11,0))</f>
        <v>Nordeste</v>
      </c>
      <c r="F578" s="2" t="s">
        <v>255</v>
      </c>
      <c r="G578" s="3" t="str">
        <f aca="false">INDEX(Produtos!$B$2:$B$11,MATCH(F578,Produtos!$A$2:$A$11,0))&amp;" "&amp;INDEX(Produtos!$C$2:$C$11,MATCH(F578,Produtos!$A$2:$A$11,0))</f>
        <v>Notebook Positivo</v>
      </c>
      <c r="H578" s="2" t="n">
        <v>1</v>
      </c>
      <c r="I578" s="5" t="n">
        <f aca="false">INDEX(Produtos!$D$2:$D$11,MATCH(F578,Produtos!$A$2:$A$11,0))</f>
        <v>2199</v>
      </c>
      <c r="J578" s="5" t="n">
        <f aca="false">H578*I578</f>
        <v>2199</v>
      </c>
      <c r="K578" s="5" t="n">
        <f aca="false">INDEX(Produtos!$E$2:$E$11,MATCH(F578,Produtos!$A$2:$A$11,0))</f>
        <v>1550</v>
      </c>
      <c r="L578" s="5" t="n">
        <f aca="false">H578*K578</f>
        <v>1550</v>
      </c>
    </row>
    <row r="579" customFormat="false" ht="15" hidden="false" customHeight="false" outlineLevel="0" collapsed="false">
      <c r="A579" s="2" t="s">
        <v>861</v>
      </c>
      <c r="B579" s="8" t="n">
        <v>46071</v>
      </c>
      <c r="C579" s="2" t="s">
        <v>82</v>
      </c>
      <c r="D579" s="3" t="str">
        <f aca="false">INDEX(Vendedores!$C$2:$C$101,MATCH(C579,Vendedores!$A$2:$A$101,0))</f>
        <v>L02</v>
      </c>
      <c r="E579" s="3" t="str">
        <f aca="false">INDEX(Lojas!$E$2:$E$11,MATCH(D579,Lojas!$A$2:$A$11,0))</f>
        <v>Sudeste</v>
      </c>
      <c r="F579" s="2" t="s">
        <v>265</v>
      </c>
      <c r="G579" s="3" t="str">
        <f aca="false">INDEX(Produtos!$B$2:$B$11,MATCH(F579,Produtos!$A$2:$A$11,0))&amp;" "&amp;INDEX(Produtos!$C$2:$C$11,MATCH(F579,Produtos!$A$2:$A$11,0))</f>
        <v>Fone de Ouvido Headset</v>
      </c>
      <c r="H579" s="2" t="n">
        <v>1</v>
      </c>
      <c r="I579" s="5" t="n">
        <f aca="false">INDEX(Produtos!$D$2:$D$11,MATCH(F579,Produtos!$A$2:$A$11,0))</f>
        <v>249.9</v>
      </c>
      <c r="J579" s="5" t="n">
        <f aca="false">H579*I579</f>
        <v>249.9</v>
      </c>
      <c r="K579" s="5" t="n">
        <f aca="false">INDEX(Produtos!$E$2:$E$11,MATCH(F579,Produtos!$A$2:$A$11,0))</f>
        <v>145</v>
      </c>
      <c r="L579" s="5" t="n">
        <f aca="false">H579*K579</f>
        <v>145</v>
      </c>
    </row>
    <row r="580" customFormat="false" ht="15" hidden="false" customHeight="false" outlineLevel="0" collapsed="false">
      <c r="A580" s="2" t="s">
        <v>862</v>
      </c>
      <c r="B580" s="8" t="n">
        <v>46071</v>
      </c>
      <c r="C580" s="2" t="s">
        <v>197</v>
      </c>
      <c r="D580" s="3" t="str">
        <f aca="false">INDEX(Vendedores!$C$2:$C$101,MATCH(C580,Vendedores!$A$2:$A$101,0))</f>
        <v>L08</v>
      </c>
      <c r="E580" s="3" t="str">
        <f aca="false">INDEX(Lojas!$E$2:$E$11,MATCH(D580,Lojas!$A$2:$A$11,0))</f>
        <v>Nordeste</v>
      </c>
      <c r="F580" s="2" t="s">
        <v>260</v>
      </c>
      <c r="G580" s="3" t="str">
        <f aca="false">INDEX(Produtos!$B$2:$B$11,MATCH(F580,Produtos!$A$2:$A$11,0))&amp;" "&amp;INDEX(Produtos!$C$2:$C$11,MATCH(F580,Produtos!$A$2:$A$11,0))</f>
        <v>Celular Motorola</v>
      </c>
      <c r="H580" s="2" t="n">
        <v>3</v>
      </c>
      <c r="I580" s="5" t="n">
        <f aca="false">INDEX(Produtos!$D$2:$D$11,MATCH(F580,Produtos!$A$2:$A$11,0))</f>
        <v>1799</v>
      </c>
      <c r="J580" s="5" t="n">
        <f aca="false">H580*I580</f>
        <v>5397</v>
      </c>
      <c r="K580" s="5" t="n">
        <f aca="false">INDEX(Produtos!$E$2:$E$11,MATCH(F580,Produtos!$A$2:$A$11,0))</f>
        <v>1250</v>
      </c>
      <c r="L580" s="5" t="n">
        <f aca="false">H580*K580</f>
        <v>3750</v>
      </c>
    </row>
    <row r="581" customFormat="false" ht="15" hidden="false" customHeight="false" outlineLevel="0" collapsed="false">
      <c r="A581" s="2" t="s">
        <v>863</v>
      </c>
      <c r="B581" s="8" t="n">
        <v>46071</v>
      </c>
      <c r="C581" s="2" t="s">
        <v>243</v>
      </c>
      <c r="D581" s="3" t="str">
        <f aca="false">INDEX(Vendedores!$C$2:$C$101,MATCH(C581,Vendedores!$A$2:$A$101,0))</f>
        <v>L10</v>
      </c>
      <c r="E581" s="3" t="str">
        <f aca="false">INDEX(Lojas!$E$2:$E$11,MATCH(D581,Lojas!$A$2:$A$11,0))</f>
        <v>Nordeste</v>
      </c>
      <c r="F581" s="2" t="s">
        <v>267</v>
      </c>
      <c r="G581" s="3" t="str">
        <f aca="false">INDEX(Produtos!$B$2:$B$11,MATCH(F581,Produtos!$A$2:$A$11,0))&amp;" "&amp;INDEX(Produtos!$C$2:$C$11,MATCH(F581,Produtos!$A$2:$A$11,0))</f>
        <v>Carregador de Celular Tipo C</v>
      </c>
      <c r="H581" s="2" t="n">
        <v>1</v>
      </c>
      <c r="I581" s="5" t="n">
        <f aca="false">INDEX(Produtos!$D$2:$D$11,MATCH(F581,Produtos!$A$2:$A$11,0))</f>
        <v>44.9</v>
      </c>
      <c r="J581" s="5" t="n">
        <f aca="false">H581*I581</f>
        <v>44.9</v>
      </c>
      <c r="K581" s="5" t="n">
        <f aca="false">INDEX(Produtos!$E$2:$E$11,MATCH(F581,Produtos!$A$2:$A$11,0))</f>
        <v>18</v>
      </c>
      <c r="L581" s="5" t="n">
        <f aca="false">H581*K581</f>
        <v>18</v>
      </c>
    </row>
    <row r="582" customFormat="false" ht="15" hidden="false" customHeight="false" outlineLevel="0" collapsed="false">
      <c r="A582" s="2" t="s">
        <v>864</v>
      </c>
      <c r="B582" s="8" t="n">
        <v>46071</v>
      </c>
      <c r="C582" s="2" t="s">
        <v>96</v>
      </c>
      <c r="D582" s="3" t="str">
        <f aca="false">INDEX(Vendedores!$C$2:$C$101,MATCH(C582,Vendedores!$A$2:$A$101,0))</f>
        <v>L03</v>
      </c>
      <c r="E582" s="3" t="str">
        <f aca="false">INDEX(Lojas!$E$2:$E$11,MATCH(D582,Lojas!$A$2:$A$11,0))</f>
        <v>Sudeste</v>
      </c>
      <c r="F582" s="2" t="s">
        <v>267</v>
      </c>
      <c r="G582" s="3" t="str">
        <f aca="false">INDEX(Produtos!$B$2:$B$11,MATCH(F582,Produtos!$A$2:$A$11,0))&amp;" "&amp;INDEX(Produtos!$C$2:$C$11,MATCH(F582,Produtos!$A$2:$A$11,0))</f>
        <v>Carregador de Celular Tipo C</v>
      </c>
      <c r="H582" s="2" t="n">
        <v>1</v>
      </c>
      <c r="I582" s="5" t="n">
        <f aca="false">INDEX(Produtos!$D$2:$D$11,MATCH(F582,Produtos!$A$2:$A$11,0))</f>
        <v>44.9</v>
      </c>
      <c r="J582" s="5" t="n">
        <f aca="false">H582*I582</f>
        <v>44.9</v>
      </c>
      <c r="K582" s="5" t="n">
        <f aca="false">INDEX(Produtos!$E$2:$E$11,MATCH(F582,Produtos!$A$2:$A$11,0))</f>
        <v>18</v>
      </c>
      <c r="L582" s="5" t="n">
        <f aca="false">H582*K582</f>
        <v>18</v>
      </c>
    </row>
    <row r="583" customFormat="false" ht="15" hidden="false" customHeight="false" outlineLevel="0" collapsed="false">
      <c r="A583" s="2" t="s">
        <v>865</v>
      </c>
      <c r="B583" s="8" t="n">
        <v>46071</v>
      </c>
      <c r="C583" s="2" t="s">
        <v>156</v>
      </c>
      <c r="D583" s="3" t="str">
        <f aca="false">INDEX(Vendedores!$C$2:$C$101,MATCH(C583,Vendedores!$A$2:$A$101,0))</f>
        <v>L06</v>
      </c>
      <c r="E583" s="3" t="str">
        <f aca="false">INDEX(Lojas!$E$2:$E$11,MATCH(D583,Lojas!$A$2:$A$11,0))</f>
        <v>Sul</v>
      </c>
      <c r="F583" s="2" t="s">
        <v>262</v>
      </c>
      <c r="G583" s="3" t="str">
        <f aca="false">INDEX(Produtos!$B$2:$B$11,MATCH(F583,Produtos!$A$2:$A$11,0))&amp;" "&amp;INDEX(Produtos!$C$2:$C$11,MATCH(F583,Produtos!$A$2:$A$11,0))</f>
        <v>Fone de Ouvido De Celular</v>
      </c>
      <c r="H583" s="2" t="n">
        <v>1</v>
      </c>
      <c r="I583" s="5" t="n">
        <f aca="false">INDEX(Produtos!$D$2:$D$11,MATCH(F583,Produtos!$A$2:$A$11,0))</f>
        <v>59.9</v>
      </c>
      <c r="J583" s="5" t="n">
        <f aca="false">H583*I583</f>
        <v>59.9</v>
      </c>
      <c r="K583" s="5" t="n">
        <f aca="false">INDEX(Produtos!$E$2:$E$11,MATCH(F583,Produtos!$A$2:$A$11,0))</f>
        <v>28</v>
      </c>
      <c r="L583" s="5" t="n">
        <f aca="false">H583*K583</f>
        <v>28</v>
      </c>
    </row>
    <row r="584" customFormat="false" ht="15" hidden="false" customHeight="false" outlineLevel="0" collapsed="false">
      <c r="A584" s="2" t="s">
        <v>866</v>
      </c>
      <c r="B584" s="8" t="n">
        <v>46071</v>
      </c>
      <c r="C584" s="2" t="s">
        <v>116</v>
      </c>
      <c r="D584" s="3" t="str">
        <f aca="false">INDEX(Vendedores!$C$2:$C$101,MATCH(C584,Vendedores!$A$2:$A$101,0))</f>
        <v>L04</v>
      </c>
      <c r="E584" s="3" t="str">
        <f aca="false">INDEX(Lojas!$E$2:$E$11,MATCH(D584,Lojas!$A$2:$A$11,0))</f>
        <v>Sudeste</v>
      </c>
      <c r="F584" s="2" t="s">
        <v>252</v>
      </c>
      <c r="G584" s="3" t="str">
        <f aca="false">INDEX(Produtos!$B$2:$B$11,MATCH(F584,Produtos!$A$2:$A$11,0))&amp;" "&amp;INDEX(Produtos!$C$2:$C$11,MATCH(F584,Produtos!$A$2:$A$11,0))</f>
        <v>Notebook Lenovo</v>
      </c>
      <c r="H584" s="2" t="n">
        <v>1</v>
      </c>
      <c r="I584" s="5" t="n">
        <f aca="false">INDEX(Produtos!$D$2:$D$11,MATCH(F584,Produtos!$A$2:$A$11,0))</f>
        <v>3199</v>
      </c>
      <c r="J584" s="5" t="n">
        <f aca="false">H584*I584</f>
        <v>3199</v>
      </c>
      <c r="K584" s="5" t="n">
        <f aca="false">INDEX(Produtos!$E$2:$E$11,MATCH(F584,Produtos!$A$2:$A$11,0))</f>
        <v>2350</v>
      </c>
      <c r="L584" s="5" t="n">
        <f aca="false">H584*K584</f>
        <v>2350</v>
      </c>
    </row>
    <row r="585" customFormat="false" ht="15" hidden="false" customHeight="false" outlineLevel="0" collapsed="false">
      <c r="A585" s="2" t="s">
        <v>867</v>
      </c>
      <c r="B585" s="8" t="n">
        <v>46071</v>
      </c>
      <c r="C585" s="2" t="s">
        <v>203</v>
      </c>
      <c r="D585" s="3" t="str">
        <f aca="false">INDEX(Vendedores!$C$2:$C$101,MATCH(C585,Vendedores!$A$2:$A$101,0))</f>
        <v>L08</v>
      </c>
      <c r="E585" s="3" t="str">
        <f aca="false">INDEX(Lojas!$E$2:$E$11,MATCH(D585,Lojas!$A$2:$A$11,0))</f>
        <v>Nordeste</v>
      </c>
      <c r="F585" s="2" t="s">
        <v>262</v>
      </c>
      <c r="G585" s="3" t="str">
        <f aca="false">INDEX(Produtos!$B$2:$B$11,MATCH(F585,Produtos!$A$2:$A$11,0))&amp;" "&amp;INDEX(Produtos!$C$2:$C$11,MATCH(F585,Produtos!$A$2:$A$11,0))</f>
        <v>Fone de Ouvido De Celular</v>
      </c>
      <c r="H585" s="2" t="n">
        <v>1</v>
      </c>
      <c r="I585" s="5" t="n">
        <f aca="false">INDEX(Produtos!$D$2:$D$11,MATCH(F585,Produtos!$A$2:$A$11,0))</f>
        <v>59.9</v>
      </c>
      <c r="J585" s="5" t="n">
        <f aca="false">H585*I585</f>
        <v>59.9</v>
      </c>
      <c r="K585" s="5" t="n">
        <f aca="false">INDEX(Produtos!$E$2:$E$11,MATCH(F585,Produtos!$A$2:$A$11,0))</f>
        <v>28</v>
      </c>
      <c r="L585" s="5" t="n">
        <f aca="false">H585*K585</f>
        <v>28</v>
      </c>
    </row>
    <row r="586" customFormat="false" ht="15" hidden="false" customHeight="false" outlineLevel="0" collapsed="false">
      <c r="A586" s="2" t="s">
        <v>868</v>
      </c>
      <c r="B586" s="8" t="n">
        <v>46071</v>
      </c>
      <c r="C586" s="2" t="s">
        <v>152</v>
      </c>
      <c r="D586" s="3" t="str">
        <f aca="false">INDEX(Vendedores!$C$2:$C$101,MATCH(C586,Vendedores!$A$2:$A$101,0))</f>
        <v>L06</v>
      </c>
      <c r="E586" s="3" t="str">
        <f aca="false">INDEX(Lojas!$E$2:$E$11,MATCH(D586,Lojas!$A$2:$A$11,0))</f>
        <v>Sul</v>
      </c>
      <c r="F586" s="2" t="s">
        <v>267</v>
      </c>
      <c r="G586" s="3" t="str">
        <f aca="false">INDEX(Produtos!$B$2:$B$11,MATCH(F586,Produtos!$A$2:$A$11,0))&amp;" "&amp;INDEX(Produtos!$C$2:$C$11,MATCH(F586,Produtos!$A$2:$A$11,0))</f>
        <v>Carregador de Celular Tipo C</v>
      </c>
      <c r="H586" s="2" t="n">
        <v>1</v>
      </c>
      <c r="I586" s="5" t="n">
        <f aca="false">INDEX(Produtos!$D$2:$D$11,MATCH(F586,Produtos!$A$2:$A$11,0))</f>
        <v>44.9</v>
      </c>
      <c r="J586" s="5" t="n">
        <f aca="false">H586*I586</f>
        <v>44.9</v>
      </c>
      <c r="K586" s="5" t="n">
        <f aca="false">INDEX(Produtos!$E$2:$E$11,MATCH(F586,Produtos!$A$2:$A$11,0))</f>
        <v>18</v>
      </c>
      <c r="L586" s="5" t="n">
        <f aca="false">H586*K586</f>
        <v>18</v>
      </c>
    </row>
    <row r="587" customFormat="false" ht="15" hidden="false" customHeight="false" outlineLevel="0" collapsed="false">
      <c r="A587" s="2" t="s">
        <v>869</v>
      </c>
      <c r="B587" s="8" t="n">
        <v>46071</v>
      </c>
      <c r="C587" s="2" t="s">
        <v>76</v>
      </c>
      <c r="D587" s="3" t="str">
        <f aca="false">INDEX(Vendedores!$C$2:$C$101,MATCH(C587,Vendedores!$A$2:$A$101,0))</f>
        <v>L02</v>
      </c>
      <c r="E587" s="3" t="str">
        <f aca="false">INDEX(Lojas!$E$2:$E$11,MATCH(D587,Lojas!$A$2:$A$11,0))</f>
        <v>Sudeste</v>
      </c>
      <c r="F587" s="2" t="s">
        <v>273</v>
      </c>
      <c r="G587" s="3" t="str">
        <f aca="false">INDEX(Produtos!$B$2:$B$11,MATCH(F587,Produtos!$A$2:$A$11,0))&amp;" "&amp;INDEX(Produtos!$C$2:$C$11,MATCH(F587,Produtos!$A$2:$A$11,0))</f>
        <v>Controle de Videogame PS4</v>
      </c>
      <c r="H587" s="2" t="n">
        <v>3</v>
      </c>
      <c r="I587" s="5" t="n">
        <f aca="false">INDEX(Produtos!$D$2:$D$11,MATCH(F587,Produtos!$A$2:$A$11,0))</f>
        <v>299.9</v>
      </c>
      <c r="J587" s="5" t="n">
        <f aca="false">H587*I587</f>
        <v>899.7</v>
      </c>
      <c r="K587" s="5" t="n">
        <f aca="false">INDEX(Produtos!$E$2:$E$11,MATCH(F587,Produtos!$A$2:$A$11,0))</f>
        <v>175</v>
      </c>
      <c r="L587" s="5" t="n">
        <f aca="false">H587*K587</f>
        <v>525</v>
      </c>
    </row>
    <row r="588" customFormat="false" ht="15" hidden="false" customHeight="false" outlineLevel="0" collapsed="false">
      <c r="A588" s="2" t="s">
        <v>870</v>
      </c>
      <c r="B588" s="8" t="n">
        <v>46071</v>
      </c>
      <c r="C588" s="2" t="s">
        <v>176</v>
      </c>
      <c r="D588" s="3" t="str">
        <f aca="false">INDEX(Vendedores!$C$2:$C$101,MATCH(C588,Vendedores!$A$2:$A$101,0))</f>
        <v>L07</v>
      </c>
      <c r="E588" s="3" t="str">
        <f aca="false">INDEX(Lojas!$E$2:$E$11,MATCH(D588,Lojas!$A$2:$A$11,0))</f>
        <v>Sul</v>
      </c>
      <c r="F588" s="2" t="s">
        <v>267</v>
      </c>
      <c r="G588" s="3" t="str">
        <f aca="false">INDEX(Produtos!$B$2:$B$11,MATCH(F588,Produtos!$A$2:$A$11,0))&amp;" "&amp;INDEX(Produtos!$C$2:$C$11,MATCH(F588,Produtos!$A$2:$A$11,0))</f>
        <v>Carregador de Celular Tipo C</v>
      </c>
      <c r="H588" s="2" t="n">
        <v>1</v>
      </c>
      <c r="I588" s="5" t="n">
        <f aca="false">INDEX(Produtos!$D$2:$D$11,MATCH(F588,Produtos!$A$2:$A$11,0))</f>
        <v>44.9</v>
      </c>
      <c r="J588" s="5" t="n">
        <f aca="false">H588*I588</f>
        <v>44.9</v>
      </c>
      <c r="K588" s="5" t="n">
        <f aca="false">INDEX(Produtos!$E$2:$E$11,MATCH(F588,Produtos!$A$2:$A$11,0))</f>
        <v>18</v>
      </c>
      <c r="L588" s="5" t="n">
        <f aca="false">H588*K588</f>
        <v>18</v>
      </c>
    </row>
    <row r="589" customFormat="false" ht="15" hidden="false" customHeight="false" outlineLevel="0" collapsed="false">
      <c r="A589" s="2" t="s">
        <v>871</v>
      </c>
      <c r="B589" s="8" t="n">
        <v>46071</v>
      </c>
      <c r="C589" s="2" t="s">
        <v>187</v>
      </c>
      <c r="D589" s="3" t="str">
        <f aca="false">INDEX(Vendedores!$C$2:$C$101,MATCH(C589,Vendedores!$A$2:$A$101,0))</f>
        <v>L08</v>
      </c>
      <c r="E589" s="3" t="str">
        <f aca="false">INDEX(Lojas!$E$2:$E$11,MATCH(D589,Lojas!$A$2:$A$11,0))</f>
        <v>Nordeste</v>
      </c>
      <c r="F589" s="2" t="s">
        <v>267</v>
      </c>
      <c r="G589" s="3" t="str">
        <f aca="false">INDEX(Produtos!$B$2:$B$11,MATCH(F589,Produtos!$A$2:$A$11,0))&amp;" "&amp;INDEX(Produtos!$C$2:$C$11,MATCH(F589,Produtos!$A$2:$A$11,0))</f>
        <v>Carregador de Celular Tipo C</v>
      </c>
      <c r="H589" s="2" t="n">
        <v>1</v>
      </c>
      <c r="I589" s="5" t="n">
        <f aca="false">INDEX(Produtos!$D$2:$D$11,MATCH(F589,Produtos!$A$2:$A$11,0))</f>
        <v>44.9</v>
      </c>
      <c r="J589" s="5" t="n">
        <f aca="false">H589*I589</f>
        <v>44.9</v>
      </c>
      <c r="K589" s="5" t="n">
        <f aca="false">INDEX(Produtos!$E$2:$E$11,MATCH(F589,Produtos!$A$2:$A$11,0))</f>
        <v>18</v>
      </c>
      <c r="L589" s="5" t="n">
        <f aca="false">H589*K589</f>
        <v>18</v>
      </c>
    </row>
    <row r="590" customFormat="false" ht="15" hidden="false" customHeight="false" outlineLevel="0" collapsed="false">
      <c r="A590" s="2" t="s">
        <v>872</v>
      </c>
      <c r="B590" s="8" t="n">
        <v>46072</v>
      </c>
      <c r="C590" s="2" t="s">
        <v>217</v>
      </c>
      <c r="D590" s="3" t="str">
        <f aca="false">INDEX(Vendedores!$C$2:$C$101,MATCH(C590,Vendedores!$A$2:$A$101,0))</f>
        <v>L09</v>
      </c>
      <c r="E590" s="3" t="str">
        <f aca="false">INDEX(Lojas!$E$2:$E$11,MATCH(D590,Lojas!$A$2:$A$11,0))</f>
        <v>Nordeste</v>
      </c>
      <c r="F590" s="2" t="s">
        <v>273</v>
      </c>
      <c r="G590" s="3" t="str">
        <f aca="false">INDEX(Produtos!$B$2:$B$11,MATCH(F590,Produtos!$A$2:$A$11,0))&amp;" "&amp;INDEX(Produtos!$C$2:$C$11,MATCH(F590,Produtos!$A$2:$A$11,0))</f>
        <v>Controle de Videogame PS4</v>
      </c>
      <c r="H590" s="2" t="n">
        <v>2</v>
      </c>
      <c r="I590" s="5" t="n">
        <f aca="false">INDEX(Produtos!$D$2:$D$11,MATCH(F590,Produtos!$A$2:$A$11,0))</f>
        <v>299.9</v>
      </c>
      <c r="J590" s="5" t="n">
        <f aca="false">H590*I590</f>
        <v>599.8</v>
      </c>
      <c r="K590" s="5" t="n">
        <f aca="false">INDEX(Produtos!$E$2:$E$11,MATCH(F590,Produtos!$A$2:$A$11,0))</f>
        <v>175</v>
      </c>
      <c r="L590" s="5" t="n">
        <f aca="false">H590*K590</f>
        <v>350</v>
      </c>
    </row>
    <row r="591" customFormat="false" ht="15" hidden="false" customHeight="false" outlineLevel="0" collapsed="false">
      <c r="A591" s="2" t="s">
        <v>873</v>
      </c>
      <c r="B591" s="8" t="n">
        <v>46072</v>
      </c>
      <c r="C591" s="2" t="s">
        <v>166</v>
      </c>
      <c r="D591" s="3" t="str">
        <f aca="false">INDEX(Vendedores!$C$2:$C$101,MATCH(C591,Vendedores!$A$2:$A$101,0))</f>
        <v>L06</v>
      </c>
      <c r="E591" s="3" t="str">
        <f aca="false">INDEX(Lojas!$E$2:$E$11,MATCH(D591,Lojas!$A$2:$A$11,0))</f>
        <v>Sul</v>
      </c>
      <c r="F591" s="2" t="s">
        <v>267</v>
      </c>
      <c r="G591" s="3" t="str">
        <f aca="false">INDEX(Produtos!$B$2:$B$11,MATCH(F591,Produtos!$A$2:$A$11,0))&amp;" "&amp;INDEX(Produtos!$C$2:$C$11,MATCH(F591,Produtos!$A$2:$A$11,0))</f>
        <v>Carregador de Celular Tipo C</v>
      </c>
      <c r="H591" s="2" t="n">
        <v>1</v>
      </c>
      <c r="I591" s="5" t="n">
        <f aca="false">INDEX(Produtos!$D$2:$D$11,MATCH(F591,Produtos!$A$2:$A$11,0))</f>
        <v>44.9</v>
      </c>
      <c r="J591" s="5" t="n">
        <f aca="false">H591*I591</f>
        <v>44.9</v>
      </c>
      <c r="K591" s="5" t="n">
        <f aca="false">INDEX(Produtos!$E$2:$E$11,MATCH(F591,Produtos!$A$2:$A$11,0))</f>
        <v>18</v>
      </c>
      <c r="L591" s="5" t="n">
        <f aca="false">H591*K591</f>
        <v>18</v>
      </c>
    </row>
    <row r="592" customFormat="false" ht="15" hidden="false" customHeight="false" outlineLevel="0" collapsed="false">
      <c r="A592" s="2" t="s">
        <v>874</v>
      </c>
      <c r="B592" s="8" t="n">
        <v>46072</v>
      </c>
      <c r="C592" s="2" t="s">
        <v>221</v>
      </c>
      <c r="D592" s="3" t="str">
        <f aca="false">INDEX(Vendedores!$C$2:$C$101,MATCH(C592,Vendedores!$A$2:$A$101,0))</f>
        <v>L09</v>
      </c>
      <c r="E592" s="3" t="str">
        <f aca="false">INDEX(Lojas!$E$2:$E$11,MATCH(D592,Lojas!$A$2:$A$11,0))</f>
        <v>Nordeste</v>
      </c>
      <c r="F592" s="2" t="s">
        <v>252</v>
      </c>
      <c r="G592" s="3" t="str">
        <f aca="false">INDEX(Produtos!$B$2:$B$11,MATCH(F592,Produtos!$A$2:$A$11,0))&amp;" "&amp;INDEX(Produtos!$C$2:$C$11,MATCH(F592,Produtos!$A$2:$A$11,0))</f>
        <v>Notebook Lenovo</v>
      </c>
      <c r="H592" s="2" t="n">
        <v>1</v>
      </c>
      <c r="I592" s="5" t="n">
        <f aca="false">INDEX(Produtos!$D$2:$D$11,MATCH(F592,Produtos!$A$2:$A$11,0))</f>
        <v>3199</v>
      </c>
      <c r="J592" s="5" t="n">
        <f aca="false">H592*I592</f>
        <v>3199</v>
      </c>
      <c r="K592" s="5" t="n">
        <f aca="false">INDEX(Produtos!$E$2:$E$11,MATCH(F592,Produtos!$A$2:$A$11,0))</f>
        <v>2350</v>
      </c>
      <c r="L592" s="5" t="n">
        <f aca="false">H592*K592</f>
        <v>2350</v>
      </c>
    </row>
    <row r="593" customFormat="false" ht="15" hidden="false" customHeight="false" outlineLevel="0" collapsed="false">
      <c r="A593" s="2" t="s">
        <v>875</v>
      </c>
      <c r="B593" s="8" t="n">
        <v>46072</v>
      </c>
      <c r="C593" s="2" t="s">
        <v>54</v>
      </c>
      <c r="D593" s="3" t="str">
        <f aca="false">INDEX(Vendedores!$C$2:$C$101,MATCH(C593,Vendedores!$A$2:$A$101,0))</f>
        <v>L01</v>
      </c>
      <c r="E593" s="3" t="str">
        <f aca="false">INDEX(Lojas!$E$2:$E$11,MATCH(D593,Lojas!$A$2:$A$11,0))</f>
        <v>Sudeste</v>
      </c>
      <c r="F593" s="2" t="s">
        <v>270</v>
      </c>
      <c r="G593" s="3" t="str">
        <f aca="false">INDEX(Produtos!$B$2:$B$11,MATCH(F593,Produtos!$A$2:$A$11,0))&amp;" "&amp;INDEX(Produtos!$C$2:$C$11,MATCH(F593,Produtos!$A$2:$A$11,0))</f>
        <v>Controle de Videogame Xbox</v>
      </c>
      <c r="H593" s="2" t="n">
        <v>1</v>
      </c>
      <c r="I593" s="5" t="n">
        <f aca="false">INDEX(Produtos!$D$2:$D$11,MATCH(F593,Produtos!$A$2:$A$11,0))</f>
        <v>349.9</v>
      </c>
      <c r="J593" s="5" t="n">
        <f aca="false">H593*I593</f>
        <v>349.9</v>
      </c>
      <c r="K593" s="5" t="n">
        <f aca="false">INDEX(Produtos!$E$2:$E$11,MATCH(F593,Produtos!$A$2:$A$11,0))</f>
        <v>215</v>
      </c>
      <c r="L593" s="5" t="n">
        <f aca="false">H593*K593</f>
        <v>215</v>
      </c>
    </row>
    <row r="594" customFormat="false" ht="15" hidden="false" customHeight="false" outlineLevel="0" collapsed="false">
      <c r="A594" s="2" t="s">
        <v>876</v>
      </c>
      <c r="B594" s="8" t="n">
        <v>46072</v>
      </c>
      <c r="C594" s="2" t="s">
        <v>237</v>
      </c>
      <c r="D594" s="3" t="str">
        <f aca="false">INDEX(Vendedores!$C$2:$C$101,MATCH(C594,Vendedores!$A$2:$A$101,0))</f>
        <v>L10</v>
      </c>
      <c r="E594" s="3" t="str">
        <f aca="false">INDEX(Lojas!$E$2:$E$11,MATCH(D594,Lojas!$A$2:$A$11,0))</f>
        <v>Nordeste</v>
      </c>
      <c r="F594" s="2" t="s">
        <v>252</v>
      </c>
      <c r="G594" s="3" t="str">
        <f aca="false">INDEX(Produtos!$B$2:$B$11,MATCH(F594,Produtos!$A$2:$A$11,0))&amp;" "&amp;INDEX(Produtos!$C$2:$C$11,MATCH(F594,Produtos!$A$2:$A$11,0))</f>
        <v>Notebook Lenovo</v>
      </c>
      <c r="H594" s="2" t="n">
        <v>1</v>
      </c>
      <c r="I594" s="5" t="n">
        <f aca="false">INDEX(Produtos!$D$2:$D$11,MATCH(F594,Produtos!$A$2:$A$11,0))</f>
        <v>3199</v>
      </c>
      <c r="J594" s="5" t="n">
        <f aca="false">H594*I594</f>
        <v>3199</v>
      </c>
      <c r="K594" s="5" t="n">
        <f aca="false">INDEX(Produtos!$E$2:$E$11,MATCH(F594,Produtos!$A$2:$A$11,0))</f>
        <v>2350</v>
      </c>
      <c r="L594" s="5" t="n">
        <f aca="false">H594*K594</f>
        <v>2350</v>
      </c>
    </row>
    <row r="595" customFormat="false" ht="15" hidden="false" customHeight="false" outlineLevel="0" collapsed="false">
      <c r="A595" s="2" t="s">
        <v>877</v>
      </c>
      <c r="B595" s="8" t="n">
        <v>46072</v>
      </c>
      <c r="C595" s="2" t="s">
        <v>80</v>
      </c>
      <c r="D595" s="3" t="str">
        <f aca="false">INDEX(Vendedores!$C$2:$C$101,MATCH(C595,Vendedores!$A$2:$A$101,0))</f>
        <v>L02</v>
      </c>
      <c r="E595" s="3" t="str">
        <f aca="false">INDEX(Lojas!$E$2:$E$11,MATCH(D595,Lojas!$A$2:$A$11,0))</f>
        <v>Sudeste</v>
      </c>
      <c r="F595" s="2" t="s">
        <v>270</v>
      </c>
      <c r="G595" s="3" t="str">
        <f aca="false">INDEX(Produtos!$B$2:$B$11,MATCH(F595,Produtos!$A$2:$A$11,0))&amp;" "&amp;INDEX(Produtos!$C$2:$C$11,MATCH(F595,Produtos!$A$2:$A$11,0))</f>
        <v>Controle de Videogame Xbox</v>
      </c>
      <c r="H595" s="2" t="n">
        <v>1</v>
      </c>
      <c r="I595" s="5" t="n">
        <f aca="false">INDEX(Produtos!$D$2:$D$11,MATCH(F595,Produtos!$A$2:$A$11,0))</f>
        <v>349.9</v>
      </c>
      <c r="J595" s="5" t="n">
        <f aca="false">H595*I595</f>
        <v>349.9</v>
      </c>
      <c r="K595" s="5" t="n">
        <f aca="false">INDEX(Produtos!$E$2:$E$11,MATCH(F595,Produtos!$A$2:$A$11,0))</f>
        <v>215</v>
      </c>
      <c r="L595" s="5" t="n">
        <f aca="false">H595*K595</f>
        <v>215</v>
      </c>
    </row>
    <row r="596" customFormat="false" ht="15" hidden="false" customHeight="false" outlineLevel="0" collapsed="false">
      <c r="A596" s="2" t="s">
        <v>878</v>
      </c>
      <c r="B596" s="8" t="n">
        <v>46072</v>
      </c>
      <c r="C596" s="2" t="s">
        <v>72</v>
      </c>
      <c r="D596" s="3" t="str">
        <f aca="false">INDEX(Vendedores!$C$2:$C$101,MATCH(C596,Vendedores!$A$2:$A$101,0))</f>
        <v>L02</v>
      </c>
      <c r="E596" s="3" t="str">
        <f aca="false">INDEX(Lojas!$E$2:$E$11,MATCH(D596,Lojas!$A$2:$A$11,0))</f>
        <v>Sudeste</v>
      </c>
      <c r="F596" s="2" t="s">
        <v>252</v>
      </c>
      <c r="G596" s="3" t="str">
        <f aca="false">INDEX(Produtos!$B$2:$B$11,MATCH(F596,Produtos!$A$2:$A$11,0))&amp;" "&amp;INDEX(Produtos!$C$2:$C$11,MATCH(F596,Produtos!$A$2:$A$11,0))</f>
        <v>Notebook Lenovo</v>
      </c>
      <c r="H596" s="2" t="n">
        <v>1</v>
      </c>
      <c r="I596" s="5" t="n">
        <f aca="false">INDEX(Produtos!$D$2:$D$11,MATCH(F596,Produtos!$A$2:$A$11,0))</f>
        <v>3199</v>
      </c>
      <c r="J596" s="5" t="n">
        <f aca="false">H596*I596</f>
        <v>3199</v>
      </c>
      <c r="K596" s="5" t="n">
        <f aca="false">INDEX(Produtos!$E$2:$E$11,MATCH(F596,Produtos!$A$2:$A$11,0))</f>
        <v>2350</v>
      </c>
      <c r="L596" s="5" t="n">
        <f aca="false">H596*K596</f>
        <v>2350</v>
      </c>
    </row>
    <row r="597" customFormat="false" ht="15" hidden="false" customHeight="false" outlineLevel="0" collapsed="false">
      <c r="A597" s="2" t="s">
        <v>879</v>
      </c>
      <c r="B597" s="8" t="n">
        <v>46072</v>
      </c>
      <c r="C597" s="2" t="s">
        <v>76</v>
      </c>
      <c r="D597" s="3" t="str">
        <f aca="false">INDEX(Vendedores!$C$2:$C$101,MATCH(C597,Vendedores!$A$2:$A$101,0))</f>
        <v>L02</v>
      </c>
      <c r="E597" s="3" t="str">
        <f aca="false">INDEX(Lojas!$E$2:$E$11,MATCH(D597,Lojas!$A$2:$A$11,0))</f>
        <v>Sudeste</v>
      </c>
      <c r="F597" s="2" t="s">
        <v>262</v>
      </c>
      <c r="G597" s="3" t="str">
        <f aca="false">INDEX(Produtos!$B$2:$B$11,MATCH(F597,Produtos!$A$2:$A$11,0))&amp;" "&amp;INDEX(Produtos!$C$2:$C$11,MATCH(F597,Produtos!$A$2:$A$11,0))</f>
        <v>Fone de Ouvido De Celular</v>
      </c>
      <c r="H597" s="2" t="n">
        <v>1</v>
      </c>
      <c r="I597" s="5" t="n">
        <f aca="false">INDEX(Produtos!$D$2:$D$11,MATCH(F597,Produtos!$A$2:$A$11,0))</f>
        <v>59.9</v>
      </c>
      <c r="J597" s="5" t="n">
        <f aca="false">H597*I597</f>
        <v>59.9</v>
      </c>
      <c r="K597" s="5" t="n">
        <f aca="false">INDEX(Produtos!$E$2:$E$11,MATCH(F597,Produtos!$A$2:$A$11,0))</f>
        <v>28</v>
      </c>
      <c r="L597" s="5" t="n">
        <f aca="false">H597*K597</f>
        <v>28</v>
      </c>
    </row>
    <row r="598" customFormat="false" ht="15" hidden="false" customHeight="false" outlineLevel="0" collapsed="false">
      <c r="A598" s="2" t="s">
        <v>880</v>
      </c>
      <c r="B598" s="8" t="n">
        <v>46073</v>
      </c>
      <c r="C598" s="2" t="s">
        <v>170</v>
      </c>
      <c r="D598" s="3" t="str">
        <f aca="false">INDEX(Vendedores!$C$2:$C$101,MATCH(C598,Vendedores!$A$2:$A$101,0))</f>
        <v>L07</v>
      </c>
      <c r="E598" s="3" t="str">
        <f aca="false">INDEX(Lojas!$E$2:$E$11,MATCH(D598,Lojas!$A$2:$A$11,0))</f>
        <v>Sul</v>
      </c>
      <c r="F598" s="2" t="s">
        <v>252</v>
      </c>
      <c r="G598" s="3" t="str">
        <f aca="false">INDEX(Produtos!$B$2:$B$11,MATCH(F598,Produtos!$A$2:$A$11,0))&amp;" "&amp;INDEX(Produtos!$C$2:$C$11,MATCH(F598,Produtos!$A$2:$A$11,0))</f>
        <v>Notebook Lenovo</v>
      </c>
      <c r="H598" s="2" t="n">
        <v>1</v>
      </c>
      <c r="I598" s="5" t="n">
        <f aca="false">INDEX(Produtos!$D$2:$D$11,MATCH(F598,Produtos!$A$2:$A$11,0))</f>
        <v>3199</v>
      </c>
      <c r="J598" s="5" t="n">
        <f aca="false">H598*I598</f>
        <v>3199</v>
      </c>
      <c r="K598" s="5" t="n">
        <f aca="false">INDEX(Produtos!$E$2:$E$11,MATCH(F598,Produtos!$A$2:$A$11,0))</f>
        <v>2350</v>
      </c>
      <c r="L598" s="5" t="n">
        <f aca="false">H598*K598</f>
        <v>2350</v>
      </c>
    </row>
    <row r="599" customFormat="false" ht="15" hidden="false" customHeight="false" outlineLevel="0" collapsed="false">
      <c r="A599" s="2" t="s">
        <v>881</v>
      </c>
      <c r="B599" s="8" t="n">
        <v>46073</v>
      </c>
      <c r="C599" s="2" t="s">
        <v>131</v>
      </c>
      <c r="D599" s="3" t="str">
        <f aca="false">INDEX(Vendedores!$C$2:$C$101,MATCH(C599,Vendedores!$A$2:$A$101,0))</f>
        <v>L05</v>
      </c>
      <c r="E599" s="3" t="str">
        <f aca="false">INDEX(Lojas!$E$2:$E$11,MATCH(D599,Lojas!$A$2:$A$11,0))</f>
        <v>Sul</v>
      </c>
      <c r="F599" s="2" t="s">
        <v>273</v>
      </c>
      <c r="G599" s="3" t="str">
        <f aca="false">INDEX(Produtos!$B$2:$B$11,MATCH(F599,Produtos!$A$2:$A$11,0))&amp;" "&amp;INDEX(Produtos!$C$2:$C$11,MATCH(F599,Produtos!$A$2:$A$11,0))</f>
        <v>Controle de Videogame PS4</v>
      </c>
      <c r="H599" s="2" t="n">
        <v>1</v>
      </c>
      <c r="I599" s="5" t="n">
        <f aca="false">INDEX(Produtos!$D$2:$D$11,MATCH(F599,Produtos!$A$2:$A$11,0))</f>
        <v>299.9</v>
      </c>
      <c r="J599" s="5" t="n">
        <f aca="false">H599*I599</f>
        <v>299.9</v>
      </c>
      <c r="K599" s="5" t="n">
        <f aca="false">INDEX(Produtos!$E$2:$E$11,MATCH(F599,Produtos!$A$2:$A$11,0))</f>
        <v>175</v>
      </c>
      <c r="L599" s="5" t="n">
        <f aca="false">H599*K599</f>
        <v>175</v>
      </c>
    </row>
    <row r="600" customFormat="false" ht="15" hidden="false" customHeight="false" outlineLevel="0" collapsed="false">
      <c r="A600" s="2" t="s">
        <v>882</v>
      </c>
      <c r="B600" s="8" t="n">
        <v>46073</v>
      </c>
      <c r="C600" s="2" t="s">
        <v>158</v>
      </c>
      <c r="D600" s="3" t="str">
        <f aca="false">INDEX(Vendedores!$C$2:$C$101,MATCH(C600,Vendedores!$A$2:$A$101,0))</f>
        <v>L06</v>
      </c>
      <c r="E600" s="3" t="str">
        <f aca="false">INDEX(Lojas!$E$2:$E$11,MATCH(D600,Lojas!$A$2:$A$11,0))</f>
        <v>Sul</v>
      </c>
      <c r="F600" s="2" t="s">
        <v>262</v>
      </c>
      <c r="G600" s="3" t="str">
        <f aca="false">INDEX(Produtos!$B$2:$B$11,MATCH(F600,Produtos!$A$2:$A$11,0))&amp;" "&amp;INDEX(Produtos!$C$2:$C$11,MATCH(F600,Produtos!$A$2:$A$11,0))</f>
        <v>Fone de Ouvido De Celular</v>
      </c>
      <c r="H600" s="2" t="n">
        <v>2</v>
      </c>
      <c r="I600" s="5" t="n">
        <f aca="false">INDEX(Produtos!$D$2:$D$11,MATCH(F600,Produtos!$A$2:$A$11,0))</f>
        <v>59.9</v>
      </c>
      <c r="J600" s="5" t="n">
        <f aca="false">H600*I600</f>
        <v>119.8</v>
      </c>
      <c r="K600" s="5" t="n">
        <f aca="false">INDEX(Produtos!$E$2:$E$11,MATCH(F600,Produtos!$A$2:$A$11,0))</f>
        <v>28</v>
      </c>
      <c r="L600" s="5" t="n">
        <f aca="false">H600*K600</f>
        <v>56</v>
      </c>
    </row>
    <row r="601" customFormat="false" ht="15" hidden="false" customHeight="false" outlineLevel="0" collapsed="false">
      <c r="A601" s="2" t="s">
        <v>883</v>
      </c>
      <c r="B601" s="8" t="n">
        <v>46073</v>
      </c>
      <c r="C601" s="2" t="s">
        <v>203</v>
      </c>
      <c r="D601" s="3" t="str">
        <f aca="false">INDEX(Vendedores!$C$2:$C$101,MATCH(C601,Vendedores!$A$2:$A$101,0))</f>
        <v>L08</v>
      </c>
      <c r="E601" s="3" t="str">
        <f aca="false">INDEX(Lojas!$E$2:$E$11,MATCH(D601,Lojas!$A$2:$A$11,0))</f>
        <v>Nordeste</v>
      </c>
      <c r="F601" s="2" t="s">
        <v>267</v>
      </c>
      <c r="G601" s="3" t="str">
        <f aca="false">INDEX(Produtos!$B$2:$B$11,MATCH(F601,Produtos!$A$2:$A$11,0))&amp;" "&amp;INDEX(Produtos!$C$2:$C$11,MATCH(F601,Produtos!$A$2:$A$11,0))</f>
        <v>Carregador de Celular Tipo C</v>
      </c>
      <c r="H601" s="2" t="n">
        <v>1</v>
      </c>
      <c r="I601" s="5" t="n">
        <f aca="false">INDEX(Produtos!$D$2:$D$11,MATCH(F601,Produtos!$A$2:$A$11,0))</f>
        <v>44.9</v>
      </c>
      <c r="J601" s="5" t="n">
        <f aca="false">H601*I601</f>
        <v>44.9</v>
      </c>
      <c r="K601" s="5" t="n">
        <f aca="false">INDEX(Produtos!$E$2:$E$11,MATCH(F601,Produtos!$A$2:$A$11,0))</f>
        <v>18</v>
      </c>
      <c r="L601" s="5" t="n">
        <f aca="false">H601*K601</f>
        <v>18</v>
      </c>
    </row>
    <row r="602" customFormat="false" ht="15" hidden="false" customHeight="false" outlineLevel="0" collapsed="false">
      <c r="A602" s="2" t="s">
        <v>884</v>
      </c>
      <c r="B602" s="8" t="n">
        <v>46073</v>
      </c>
      <c r="C602" s="2" t="s">
        <v>68</v>
      </c>
      <c r="D602" s="3" t="str">
        <f aca="false">INDEX(Vendedores!$C$2:$C$101,MATCH(C602,Vendedores!$A$2:$A$101,0))</f>
        <v>L01</v>
      </c>
      <c r="E602" s="3" t="str">
        <f aca="false">INDEX(Lojas!$E$2:$E$11,MATCH(D602,Lojas!$A$2:$A$11,0))</f>
        <v>Sudeste</v>
      </c>
      <c r="F602" s="2" t="s">
        <v>257</v>
      </c>
      <c r="G602" s="3" t="str">
        <f aca="false">INDEX(Produtos!$B$2:$B$11,MATCH(F602,Produtos!$A$2:$A$11,0))&amp;" "&amp;INDEX(Produtos!$C$2:$C$11,MATCH(F602,Produtos!$A$2:$A$11,0))</f>
        <v>Celular Samsung</v>
      </c>
      <c r="H602" s="2" t="n">
        <v>1</v>
      </c>
      <c r="I602" s="5" t="n">
        <f aca="false">INDEX(Produtos!$D$2:$D$11,MATCH(F602,Produtos!$A$2:$A$11,0))</f>
        <v>2499</v>
      </c>
      <c r="J602" s="5" t="n">
        <f aca="false">H602*I602</f>
        <v>2499</v>
      </c>
      <c r="K602" s="5" t="n">
        <f aca="false">INDEX(Produtos!$E$2:$E$11,MATCH(F602,Produtos!$A$2:$A$11,0))</f>
        <v>1800</v>
      </c>
      <c r="L602" s="5" t="n">
        <f aca="false">H602*K602</f>
        <v>1800</v>
      </c>
    </row>
    <row r="603" customFormat="false" ht="15" hidden="false" customHeight="false" outlineLevel="0" collapsed="false">
      <c r="A603" s="2" t="s">
        <v>885</v>
      </c>
      <c r="B603" s="8" t="n">
        <v>46073</v>
      </c>
      <c r="C603" s="2" t="s">
        <v>193</v>
      </c>
      <c r="D603" s="3" t="str">
        <f aca="false">INDEX(Vendedores!$C$2:$C$101,MATCH(C603,Vendedores!$A$2:$A$101,0))</f>
        <v>L08</v>
      </c>
      <c r="E603" s="3" t="str">
        <f aca="false">INDEX(Lojas!$E$2:$E$11,MATCH(D603,Lojas!$A$2:$A$11,0))</f>
        <v>Nordeste</v>
      </c>
      <c r="F603" s="2" t="s">
        <v>262</v>
      </c>
      <c r="G603" s="3" t="str">
        <f aca="false">INDEX(Produtos!$B$2:$B$11,MATCH(F603,Produtos!$A$2:$A$11,0))&amp;" "&amp;INDEX(Produtos!$C$2:$C$11,MATCH(F603,Produtos!$A$2:$A$11,0))</f>
        <v>Fone de Ouvido De Celular</v>
      </c>
      <c r="H603" s="2" t="n">
        <v>2</v>
      </c>
      <c r="I603" s="5" t="n">
        <f aca="false">INDEX(Produtos!$D$2:$D$11,MATCH(F603,Produtos!$A$2:$A$11,0))</f>
        <v>59.9</v>
      </c>
      <c r="J603" s="5" t="n">
        <f aca="false">H603*I603</f>
        <v>119.8</v>
      </c>
      <c r="K603" s="5" t="n">
        <f aca="false">INDEX(Produtos!$E$2:$E$11,MATCH(F603,Produtos!$A$2:$A$11,0))</f>
        <v>28</v>
      </c>
      <c r="L603" s="5" t="n">
        <f aca="false">H603*K603</f>
        <v>56</v>
      </c>
    </row>
    <row r="604" customFormat="false" ht="15" hidden="false" customHeight="false" outlineLevel="0" collapsed="false">
      <c r="A604" s="2" t="s">
        <v>886</v>
      </c>
      <c r="B604" s="8" t="n">
        <v>46073</v>
      </c>
      <c r="C604" s="2" t="s">
        <v>126</v>
      </c>
      <c r="D604" s="3" t="str">
        <f aca="false">INDEX(Vendedores!$C$2:$C$101,MATCH(C604,Vendedores!$A$2:$A$101,0))</f>
        <v>L04</v>
      </c>
      <c r="E604" s="3" t="str">
        <f aca="false">INDEX(Lojas!$E$2:$E$11,MATCH(D604,Lojas!$A$2:$A$11,0))</f>
        <v>Sudeste</v>
      </c>
      <c r="F604" s="2" t="s">
        <v>265</v>
      </c>
      <c r="G604" s="3" t="str">
        <f aca="false">INDEX(Produtos!$B$2:$B$11,MATCH(F604,Produtos!$A$2:$A$11,0))&amp;" "&amp;INDEX(Produtos!$C$2:$C$11,MATCH(F604,Produtos!$A$2:$A$11,0))</f>
        <v>Fone de Ouvido Headset</v>
      </c>
      <c r="H604" s="2" t="n">
        <v>2</v>
      </c>
      <c r="I604" s="5" t="n">
        <f aca="false">INDEX(Produtos!$D$2:$D$11,MATCH(F604,Produtos!$A$2:$A$11,0))</f>
        <v>249.9</v>
      </c>
      <c r="J604" s="5" t="n">
        <f aca="false">H604*I604</f>
        <v>499.8</v>
      </c>
      <c r="K604" s="5" t="n">
        <f aca="false">INDEX(Produtos!$E$2:$E$11,MATCH(F604,Produtos!$A$2:$A$11,0))</f>
        <v>145</v>
      </c>
      <c r="L604" s="5" t="n">
        <f aca="false">H604*K604</f>
        <v>290</v>
      </c>
    </row>
    <row r="605" customFormat="false" ht="15" hidden="false" customHeight="false" outlineLevel="0" collapsed="false">
      <c r="A605" s="2" t="s">
        <v>887</v>
      </c>
      <c r="B605" s="8" t="n">
        <v>46074</v>
      </c>
      <c r="C605" s="2" t="s">
        <v>54</v>
      </c>
      <c r="D605" s="3" t="str">
        <f aca="false">INDEX(Vendedores!$C$2:$C$101,MATCH(C605,Vendedores!$A$2:$A$101,0))</f>
        <v>L01</v>
      </c>
      <c r="E605" s="3" t="str">
        <f aca="false">INDEX(Lojas!$E$2:$E$11,MATCH(D605,Lojas!$A$2:$A$11,0))</f>
        <v>Sudeste</v>
      </c>
      <c r="F605" s="2" t="s">
        <v>273</v>
      </c>
      <c r="G605" s="3" t="str">
        <f aca="false">INDEX(Produtos!$B$2:$B$11,MATCH(F605,Produtos!$A$2:$A$11,0))&amp;" "&amp;INDEX(Produtos!$C$2:$C$11,MATCH(F605,Produtos!$A$2:$A$11,0))</f>
        <v>Controle de Videogame PS4</v>
      </c>
      <c r="H605" s="2" t="n">
        <v>1</v>
      </c>
      <c r="I605" s="5" t="n">
        <f aca="false">INDEX(Produtos!$D$2:$D$11,MATCH(F605,Produtos!$A$2:$A$11,0))</f>
        <v>299.9</v>
      </c>
      <c r="J605" s="5" t="n">
        <f aca="false">H605*I605</f>
        <v>299.9</v>
      </c>
      <c r="K605" s="5" t="n">
        <f aca="false">INDEX(Produtos!$E$2:$E$11,MATCH(F605,Produtos!$A$2:$A$11,0))</f>
        <v>175</v>
      </c>
      <c r="L605" s="5" t="n">
        <f aca="false">H605*K605</f>
        <v>175</v>
      </c>
    </row>
    <row r="606" customFormat="false" ht="15" hidden="false" customHeight="false" outlineLevel="0" collapsed="false">
      <c r="A606" s="2" t="s">
        <v>888</v>
      </c>
      <c r="B606" s="8" t="n">
        <v>46074</v>
      </c>
      <c r="C606" s="2" t="s">
        <v>104</v>
      </c>
      <c r="D606" s="3" t="str">
        <f aca="false">INDEX(Vendedores!$C$2:$C$101,MATCH(C606,Vendedores!$A$2:$A$101,0))</f>
        <v>L03</v>
      </c>
      <c r="E606" s="3" t="str">
        <f aca="false">INDEX(Lojas!$E$2:$E$11,MATCH(D606,Lojas!$A$2:$A$11,0))</f>
        <v>Sudeste</v>
      </c>
      <c r="F606" s="2" t="s">
        <v>273</v>
      </c>
      <c r="G606" s="3" t="str">
        <f aca="false">INDEX(Produtos!$B$2:$B$11,MATCH(F606,Produtos!$A$2:$A$11,0))&amp;" "&amp;INDEX(Produtos!$C$2:$C$11,MATCH(F606,Produtos!$A$2:$A$11,0))</f>
        <v>Controle de Videogame PS4</v>
      </c>
      <c r="H606" s="2" t="n">
        <v>1</v>
      </c>
      <c r="I606" s="5" t="n">
        <f aca="false">INDEX(Produtos!$D$2:$D$11,MATCH(F606,Produtos!$A$2:$A$11,0))</f>
        <v>299.9</v>
      </c>
      <c r="J606" s="5" t="n">
        <f aca="false">H606*I606</f>
        <v>299.9</v>
      </c>
      <c r="K606" s="5" t="n">
        <f aca="false">INDEX(Produtos!$E$2:$E$11,MATCH(F606,Produtos!$A$2:$A$11,0))</f>
        <v>175</v>
      </c>
      <c r="L606" s="5" t="n">
        <f aca="false">H606*K606</f>
        <v>175</v>
      </c>
    </row>
    <row r="607" customFormat="false" ht="15" hidden="false" customHeight="false" outlineLevel="0" collapsed="false">
      <c r="A607" s="2" t="s">
        <v>889</v>
      </c>
      <c r="B607" s="8" t="n">
        <v>46074</v>
      </c>
      <c r="C607" s="2" t="s">
        <v>142</v>
      </c>
      <c r="D607" s="3" t="str">
        <f aca="false">INDEX(Vendedores!$C$2:$C$101,MATCH(C607,Vendedores!$A$2:$A$101,0))</f>
        <v>L05</v>
      </c>
      <c r="E607" s="3" t="str">
        <f aca="false">INDEX(Lojas!$E$2:$E$11,MATCH(D607,Lojas!$A$2:$A$11,0))</f>
        <v>Sul</v>
      </c>
      <c r="F607" s="2" t="s">
        <v>275</v>
      </c>
      <c r="G607" s="3" t="str">
        <f aca="false">INDEX(Produtos!$B$2:$B$11,MATCH(F607,Produtos!$A$2:$A$11,0))&amp;" "&amp;INDEX(Produtos!$C$2:$C$11,MATCH(F607,Produtos!$A$2:$A$11,0))</f>
        <v>Controle de Videogame PS5</v>
      </c>
      <c r="H607" s="2" t="n">
        <v>1</v>
      </c>
      <c r="I607" s="5" t="n">
        <f aca="false">INDEX(Produtos!$D$2:$D$11,MATCH(F607,Produtos!$A$2:$A$11,0))</f>
        <v>379.9</v>
      </c>
      <c r="J607" s="5" t="n">
        <f aca="false">H607*I607</f>
        <v>379.9</v>
      </c>
      <c r="K607" s="5" t="n">
        <f aca="false">INDEX(Produtos!$E$2:$E$11,MATCH(F607,Produtos!$A$2:$A$11,0))</f>
        <v>235</v>
      </c>
      <c r="L607" s="5" t="n">
        <f aca="false">H607*K607</f>
        <v>235</v>
      </c>
    </row>
    <row r="608" customFormat="false" ht="15" hidden="false" customHeight="false" outlineLevel="0" collapsed="false">
      <c r="A608" s="2" t="s">
        <v>890</v>
      </c>
      <c r="B608" s="8" t="n">
        <v>46074</v>
      </c>
      <c r="C608" s="2" t="s">
        <v>205</v>
      </c>
      <c r="D608" s="3" t="str">
        <f aca="false">INDEX(Vendedores!$C$2:$C$101,MATCH(C608,Vendedores!$A$2:$A$101,0))</f>
        <v>L09</v>
      </c>
      <c r="E608" s="3" t="str">
        <f aca="false">INDEX(Lojas!$E$2:$E$11,MATCH(D608,Lojas!$A$2:$A$11,0))</f>
        <v>Nordeste</v>
      </c>
      <c r="F608" s="2" t="s">
        <v>273</v>
      </c>
      <c r="G608" s="3" t="str">
        <f aca="false">INDEX(Produtos!$B$2:$B$11,MATCH(F608,Produtos!$A$2:$A$11,0))&amp;" "&amp;INDEX(Produtos!$C$2:$C$11,MATCH(F608,Produtos!$A$2:$A$11,0))</f>
        <v>Controle de Videogame PS4</v>
      </c>
      <c r="H608" s="2" t="n">
        <v>1</v>
      </c>
      <c r="I608" s="5" t="n">
        <f aca="false">INDEX(Produtos!$D$2:$D$11,MATCH(F608,Produtos!$A$2:$A$11,0))</f>
        <v>299.9</v>
      </c>
      <c r="J608" s="5" t="n">
        <f aca="false">H608*I608</f>
        <v>299.9</v>
      </c>
      <c r="K608" s="5" t="n">
        <f aca="false">INDEX(Produtos!$E$2:$E$11,MATCH(F608,Produtos!$A$2:$A$11,0))</f>
        <v>175</v>
      </c>
      <c r="L608" s="5" t="n">
        <f aca="false">H608*K608</f>
        <v>175</v>
      </c>
    </row>
    <row r="609" customFormat="false" ht="15" hidden="false" customHeight="false" outlineLevel="0" collapsed="false">
      <c r="A609" s="2" t="s">
        <v>891</v>
      </c>
      <c r="B609" s="8" t="n">
        <v>46074</v>
      </c>
      <c r="C609" s="2" t="s">
        <v>199</v>
      </c>
      <c r="D609" s="3" t="str">
        <f aca="false">INDEX(Vendedores!$C$2:$C$101,MATCH(C609,Vendedores!$A$2:$A$101,0))</f>
        <v>L08</v>
      </c>
      <c r="E609" s="3" t="str">
        <f aca="false">INDEX(Lojas!$E$2:$E$11,MATCH(D609,Lojas!$A$2:$A$11,0))</f>
        <v>Nordeste</v>
      </c>
      <c r="F609" s="2" t="s">
        <v>252</v>
      </c>
      <c r="G609" s="3" t="str">
        <f aca="false">INDEX(Produtos!$B$2:$B$11,MATCH(F609,Produtos!$A$2:$A$11,0))&amp;" "&amp;INDEX(Produtos!$C$2:$C$11,MATCH(F609,Produtos!$A$2:$A$11,0))</f>
        <v>Notebook Lenovo</v>
      </c>
      <c r="H609" s="2" t="n">
        <v>2</v>
      </c>
      <c r="I609" s="5" t="n">
        <f aca="false">INDEX(Produtos!$D$2:$D$11,MATCH(F609,Produtos!$A$2:$A$11,0))</f>
        <v>3199</v>
      </c>
      <c r="J609" s="5" t="n">
        <f aca="false">H609*I609</f>
        <v>6398</v>
      </c>
      <c r="K609" s="5" t="n">
        <f aca="false">INDEX(Produtos!$E$2:$E$11,MATCH(F609,Produtos!$A$2:$A$11,0))</f>
        <v>2350</v>
      </c>
      <c r="L609" s="5" t="n">
        <f aca="false">H609*K609</f>
        <v>4700</v>
      </c>
    </row>
    <row r="610" customFormat="false" ht="15" hidden="false" customHeight="false" outlineLevel="0" collapsed="false">
      <c r="A610" s="2" t="s">
        <v>892</v>
      </c>
      <c r="B610" s="8" t="n">
        <v>46074</v>
      </c>
      <c r="C610" s="2" t="s">
        <v>133</v>
      </c>
      <c r="D610" s="3" t="str">
        <f aca="false">INDEX(Vendedores!$C$2:$C$101,MATCH(C610,Vendedores!$A$2:$A$101,0))</f>
        <v>L05</v>
      </c>
      <c r="E610" s="3" t="str">
        <f aca="false">INDEX(Lojas!$E$2:$E$11,MATCH(D610,Lojas!$A$2:$A$11,0))</f>
        <v>Sul</v>
      </c>
      <c r="F610" s="2" t="s">
        <v>262</v>
      </c>
      <c r="G610" s="3" t="str">
        <f aca="false">INDEX(Produtos!$B$2:$B$11,MATCH(F610,Produtos!$A$2:$A$11,0))&amp;" "&amp;INDEX(Produtos!$C$2:$C$11,MATCH(F610,Produtos!$A$2:$A$11,0))</f>
        <v>Fone de Ouvido De Celular</v>
      </c>
      <c r="H610" s="2" t="n">
        <v>1</v>
      </c>
      <c r="I610" s="5" t="n">
        <f aca="false">INDEX(Produtos!$D$2:$D$11,MATCH(F610,Produtos!$A$2:$A$11,0))</f>
        <v>59.9</v>
      </c>
      <c r="J610" s="5" t="n">
        <f aca="false">H610*I610</f>
        <v>59.9</v>
      </c>
      <c r="K610" s="5" t="n">
        <f aca="false">INDEX(Produtos!$E$2:$E$11,MATCH(F610,Produtos!$A$2:$A$11,0))</f>
        <v>28</v>
      </c>
      <c r="L610" s="5" t="n">
        <f aca="false">H610*K610</f>
        <v>28</v>
      </c>
    </row>
    <row r="611" customFormat="false" ht="15" hidden="false" customHeight="false" outlineLevel="0" collapsed="false">
      <c r="A611" s="2" t="s">
        <v>893</v>
      </c>
      <c r="B611" s="8" t="n">
        <v>46074</v>
      </c>
      <c r="C611" s="2" t="s">
        <v>229</v>
      </c>
      <c r="D611" s="3" t="str">
        <f aca="false">INDEX(Vendedores!$C$2:$C$101,MATCH(C611,Vendedores!$A$2:$A$101,0))</f>
        <v>L10</v>
      </c>
      <c r="E611" s="3" t="str">
        <f aca="false">INDEX(Lojas!$E$2:$E$11,MATCH(D611,Lojas!$A$2:$A$11,0))</f>
        <v>Nordeste</v>
      </c>
      <c r="F611" s="2" t="s">
        <v>267</v>
      </c>
      <c r="G611" s="3" t="str">
        <f aca="false">INDEX(Produtos!$B$2:$B$11,MATCH(F611,Produtos!$A$2:$A$11,0))&amp;" "&amp;INDEX(Produtos!$C$2:$C$11,MATCH(F611,Produtos!$A$2:$A$11,0))</f>
        <v>Carregador de Celular Tipo C</v>
      </c>
      <c r="H611" s="2" t="n">
        <v>2</v>
      </c>
      <c r="I611" s="5" t="n">
        <f aca="false">INDEX(Produtos!$D$2:$D$11,MATCH(F611,Produtos!$A$2:$A$11,0))</f>
        <v>44.9</v>
      </c>
      <c r="J611" s="5" t="n">
        <f aca="false">H611*I611</f>
        <v>89.8</v>
      </c>
      <c r="K611" s="5" t="n">
        <f aca="false">INDEX(Produtos!$E$2:$E$11,MATCH(F611,Produtos!$A$2:$A$11,0))</f>
        <v>18</v>
      </c>
      <c r="L611" s="5" t="n">
        <f aca="false">H611*K611</f>
        <v>36</v>
      </c>
    </row>
    <row r="612" customFormat="false" ht="15" hidden="false" customHeight="false" outlineLevel="0" collapsed="false">
      <c r="A612" s="2" t="s">
        <v>894</v>
      </c>
      <c r="B612" s="8" t="n">
        <v>46074</v>
      </c>
      <c r="C612" s="2" t="s">
        <v>166</v>
      </c>
      <c r="D612" s="3" t="str">
        <f aca="false">INDEX(Vendedores!$C$2:$C$101,MATCH(C612,Vendedores!$A$2:$A$101,0))</f>
        <v>L06</v>
      </c>
      <c r="E612" s="3" t="str">
        <f aca="false">INDEX(Lojas!$E$2:$E$11,MATCH(D612,Lojas!$A$2:$A$11,0))</f>
        <v>Sul</v>
      </c>
      <c r="F612" s="2" t="s">
        <v>262</v>
      </c>
      <c r="G612" s="3" t="str">
        <f aca="false">INDEX(Produtos!$B$2:$B$11,MATCH(F612,Produtos!$A$2:$A$11,0))&amp;" "&amp;INDEX(Produtos!$C$2:$C$11,MATCH(F612,Produtos!$A$2:$A$11,0))</f>
        <v>Fone de Ouvido De Celular</v>
      </c>
      <c r="H612" s="2" t="n">
        <v>2</v>
      </c>
      <c r="I612" s="5" t="n">
        <f aca="false">INDEX(Produtos!$D$2:$D$11,MATCH(F612,Produtos!$A$2:$A$11,0))</f>
        <v>59.9</v>
      </c>
      <c r="J612" s="5" t="n">
        <f aca="false">H612*I612</f>
        <v>119.8</v>
      </c>
      <c r="K612" s="5" t="n">
        <f aca="false">INDEX(Produtos!$E$2:$E$11,MATCH(F612,Produtos!$A$2:$A$11,0))</f>
        <v>28</v>
      </c>
      <c r="L612" s="5" t="n">
        <f aca="false">H612*K612</f>
        <v>56</v>
      </c>
    </row>
    <row r="613" customFormat="false" ht="15" hidden="false" customHeight="false" outlineLevel="0" collapsed="false">
      <c r="A613" s="2" t="s">
        <v>895</v>
      </c>
      <c r="B613" s="8" t="n">
        <v>46074</v>
      </c>
      <c r="C613" s="2" t="s">
        <v>193</v>
      </c>
      <c r="D613" s="3" t="str">
        <f aca="false">INDEX(Vendedores!$C$2:$C$101,MATCH(C613,Vendedores!$A$2:$A$101,0))</f>
        <v>L08</v>
      </c>
      <c r="E613" s="3" t="str">
        <f aca="false">INDEX(Lojas!$E$2:$E$11,MATCH(D613,Lojas!$A$2:$A$11,0))</f>
        <v>Nordeste</v>
      </c>
      <c r="F613" s="2" t="s">
        <v>262</v>
      </c>
      <c r="G613" s="3" t="str">
        <f aca="false">INDEX(Produtos!$B$2:$B$11,MATCH(F613,Produtos!$A$2:$A$11,0))&amp;" "&amp;INDEX(Produtos!$C$2:$C$11,MATCH(F613,Produtos!$A$2:$A$11,0))</f>
        <v>Fone de Ouvido De Celular</v>
      </c>
      <c r="H613" s="2" t="n">
        <v>1</v>
      </c>
      <c r="I613" s="5" t="n">
        <f aca="false">INDEX(Produtos!$D$2:$D$11,MATCH(F613,Produtos!$A$2:$A$11,0))</f>
        <v>59.9</v>
      </c>
      <c r="J613" s="5" t="n">
        <f aca="false">H613*I613</f>
        <v>59.9</v>
      </c>
      <c r="K613" s="5" t="n">
        <f aca="false">INDEX(Produtos!$E$2:$E$11,MATCH(F613,Produtos!$A$2:$A$11,0))</f>
        <v>28</v>
      </c>
      <c r="L613" s="5" t="n">
        <f aca="false">H613*K613</f>
        <v>28</v>
      </c>
    </row>
    <row r="614" customFormat="false" ht="15" hidden="false" customHeight="false" outlineLevel="0" collapsed="false">
      <c r="A614" s="2" t="s">
        <v>896</v>
      </c>
      <c r="B614" s="8" t="n">
        <v>46074</v>
      </c>
      <c r="C614" s="2" t="s">
        <v>170</v>
      </c>
      <c r="D614" s="3" t="str">
        <f aca="false">INDEX(Vendedores!$C$2:$C$101,MATCH(C614,Vendedores!$A$2:$A$101,0))</f>
        <v>L07</v>
      </c>
      <c r="E614" s="3" t="str">
        <f aca="false">INDEX(Lojas!$E$2:$E$11,MATCH(D614,Lojas!$A$2:$A$11,0))</f>
        <v>Sul</v>
      </c>
      <c r="F614" s="2" t="s">
        <v>267</v>
      </c>
      <c r="G614" s="3" t="str">
        <f aca="false">INDEX(Produtos!$B$2:$B$11,MATCH(F614,Produtos!$A$2:$A$11,0))&amp;" "&amp;INDEX(Produtos!$C$2:$C$11,MATCH(F614,Produtos!$A$2:$A$11,0))</f>
        <v>Carregador de Celular Tipo C</v>
      </c>
      <c r="H614" s="2" t="n">
        <v>2</v>
      </c>
      <c r="I614" s="5" t="n">
        <f aca="false">INDEX(Produtos!$D$2:$D$11,MATCH(F614,Produtos!$A$2:$A$11,0))</f>
        <v>44.9</v>
      </c>
      <c r="J614" s="5" t="n">
        <f aca="false">H614*I614</f>
        <v>89.8</v>
      </c>
      <c r="K614" s="5" t="n">
        <f aca="false">INDEX(Produtos!$E$2:$E$11,MATCH(F614,Produtos!$A$2:$A$11,0))</f>
        <v>18</v>
      </c>
      <c r="L614" s="5" t="n">
        <f aca="false">H614*K614</f>
        <v>36</v>
      </c>
    </row>
    <row r="615" customFormat="false" ht="15" hidden="false" customHeight="false" outlineLevel="0" collapsed="false">
      <c r="A615" s="2" t="s">
        <v>897</v>
      </c>
      <c r="B615" s="8" t="n">
        <v>46074</v>
      </c>
      <c r="C615" s="2" t="s">
        <v>237</v>
      </c>
      <c r="D615" s="3" t="str">
        <f aca="false">INDEX(Vendedores!$C$2:$C$101,MATCH(C615,Vendedores!$A$2:$A$101,0))</f>
        <v>L10</v>
      </c>
      <c r="E615" s="3" t="str">
        <f aca="false">INDEX(Lojas!$E$2:$E$11,MATCH(D615,Lojas!$A$2:$A$11,0))</f>
        <v>Nordeste</v>
      </c>
      <c r="F615" s="2" t="s">
        <v>255</v>
      </c>
      <c r="G615" s="3" t="str">
        <f aca="false">INDEX(Produtos!$B$2:$B$11,MATCH(F615,Produtos!$A$2:$A$11,0))&amp;" "&amp;INDEX(Produtos!$C$2:$C$11,MATCH(F615,Produtos!$A$2:$A$11,0))</f>
        <v>Notebook Positivo</v>
      </c>
      <c r="H615" s="2" t="n">
        <v>2</v>
      </c>
      <c r="I615" s="5" t="n">
        <f aca="false">INDEX(Produtos!$D$2:$D$11,MATCH(F615,Produtos!$A$2:$A$11,0))</f>
        <v>2199</v>
      </c>
      <c r="J615" s="5" t="n">
        <f aca="false">H615*I615</f>
        <v>4398</v>
      </c>
      <c r="K615" s="5" t="n">
        <f aca="false">INDEX(Produtos!$E$2:$E$11,MATCH(F615,Produtos!$A$2:$A$11,0))</f>
        <v>1550</v>
      </c>
      <c r="L615" s="5" t="n">
        <f aca="false">H615*K615</f>
        <v>3100</v>
      </c>
    </row>
    <row r="616" customFormat="false" ht="15" hidden="false" customHeight="false" outlineLevel="0" collapsed="false">
      <c r="A616" s="2" t="s">
        <v>898</v>
      </c>
      <c r="B616" s="8" t="n">
        <v>46074</v>
      </c>
      <c r="C616" s="2" t="s">
        <v>74</v>
      </c>
      <c r="D616" s="3" t="str">
        <f aca="false">INDEX(Vendedores!$C$2:$C$101,MATCH(C616,Vendedores!$A$2:$A$101,0))</f>
        <v>L02</v>
      </c>
      <c r="E616" s="3" t="str">
        <f aca="false">INDEX(Lojas!$E$2:$E$11,MATCH(D616,Lojas!$A$2:$A$11,0))</f>
        <v>Sudeste</v>
      </c>
      <c r="F616" s="2" t="s">
        <v>262</v>
      </c>
      <c r="G616" s="3" t="str">
        <f aca="false">INDEX(Produtos!$B$2:$B$11,MATCH(F616,Produtos!$A$2:$A$11,0))&amp;" "&amp;INDEX(Produtos!$C$2:$C$11,MATCH(F616,Produtos!$A$2:$A$11,0))</f>
        <v>Fone de Ouvido De Celular</v>
      </c>
      <c r="H616" s="2" t="n">
        <v>2</v>
      </c>
      <c r="I616" s="5" t="n">
        <f aca="false">INDEX(Produtos!$D$2:$D$11,MATCH(F616,Produtos!$A$2:$A$11,0))</f>
        <v>59.9</v>
      </c>
      <c r="J616" s="5" t="n">
        <f aca="false">H616*I616</f>
        <v>119.8</v>
      </c>
      <c r="K616" s="5" t="n">
        <f aca="false">INDEX(Produtos!$E$2:$E$11,MATCH(F616,Produtos!$A$2:$A$11,0))</f>
        <v>28</v>
      </c>
      <c r="L616" s="5" t="n">
        <f aca="false">H616*K616</f>
        <v>56</v>
      </c>
    </row>
    <row r="617" customFormat="false" ht="15" hidden="false" customHeight="false" outlineLevel="0" collapsed="false">
      <c r="A617" s="2" t="s">
        <v>899</v>
      </c>
      <c r="B617" s="8" t="n">
        <v>46074</v>
      </c>
      <c r="C617" s="2" t="s">
        <v>54</v>
      </c>
      <c r="D617" s="3" t="str">
        <f aca="false">INDEX(Vendedores!$C$2:$C$101,MATCH(C617,Vendedores!$A$2:$A$101,0))</f>
        <v>L01</v>
      </c>
      <c r="E617" s="3" t="str">
        <f aca="false">INDEX(Lojas!$E$2:$E$11,MATCH(D617,Lojas!$A$2:$A$11,0))</f>
        <v>Sudeste</v>
      </c>
      <c r="F617" s="2" t="s">
        <v>267</v>
      </c>
      <c r="G617" s="3" t="str">
        <f aca="false">INDEX(Produtos!$B$2:$B$11,MATCH(F617,Produtos!$A$2:$A$11,0))&amp;" "&amp;INDEX(Produtos!$C$2:$C$11,MATCH(F617,Produtos!$A$2:$A$11,0))</f>
        <v>Carregador de Celular Tipo C</v>
      </c>
      <c r="H617" s="2" t="n">
        <v>1</v>
      </c>
      <c r="I617" s="5" t="n">
        <f aca="false">INDEX(Produtos!$D$2:$D$11,MATCH(F617,Produtos!$A$2:$A$11,0))</f>
        <v>44.9</v>
      </c>
      <c r="J617" s="5" t="n">
        <f aca="false">H617*I617</f>
        <v>44.9</v>
      </c>
      <c r="K617" s="5" t="n">
        <f aca="false">INDEX(Produtos!$E$2:$E$11,MATCH(F617,Produtos!$A$2:$A$11,0))</f>
        <v>18</v>
      </c>
      <c r="L617" s="5" t="n">
        <f aca="false">H617*K617</f>
        <v>18</v>
      </c>
    </row>
    <row r="618" customFormat="false" ht="15" hidden="false" customHeight="false" outlineLevel="0" collapsed="false">
      <c r="A618" s="2" t="s">
        <v>900</v>
      </c>
      <c r="B618" s="8" t="n">
        <v>46074</v>
      </c>
      <c r="C618" s="2" t="s">
        <v>215</v>
      </c>
      <c r="D618" s="3" t="str">
        <f aca="false">INDEX(Vendedores!$C$2:$C$101,MATCH(C618,Vendedores!$A$2:$A$101,0))</f>
        <v>L09</v>
      </c>
      <c r="E618" s="3" t="str">
        <f aca="false">INDEX(Lojas!$E$2:$E$11,MATCH(D618,Lojas!$A$2:$A$11,0))</f>
        <v>Nordeste</v>
      </c>
      <c r="F618" s="2" t="s">
        <v>257</v>
      </c>
      <c r="G618" s="3" t="str">
        <f aca="false">INDEX(Produtos!$B$2:$B$11,MATCH(F618,Produtos!$A$2:$A$11,0))&amp;" "&amp;INDEX(Produtos!$C$2:$C$11,MATCH(F618,Produtos!$A$2:$A$11,0))</f>
        <v>Celular Samsung</v>
      </c>
      <c r="H618" s="2" t="n">
        <v>1</v>
      </c>
      <c r="I618" s="5" t="n">
        <f aca="false">INDEX(Produtos!$D$2:$D$11,MATCH(F618,Produtos!$A$2:$A$11,0))</f>
        <v>2499</v>
      </c>
      <c r="J618" s="5" t="n">
        <f aca="false">H618*I618</f>
        <v>2499</v>
      </c>
      <c r="K618" s="5" t="n">
        <f aca="false">INDEX(Produtos!$E$2:$E$11,MATCH(F618,Produtos!$A$2:$A$11,0))</f>
        <v>1800</v>
      </c>
      <c r="L618" s="5" t="n">
        <f aca="false">H618*K618</f>
        <v>1800</v>
      </c>
    </row>
    <row r="619" customFormat="false" ht="15" hidden="false" customHeight="false" outlineLevel="0" collapsed="false">
      <c r="A619" s="2" t="s">
        <v>901</v>
      </c>
      <c r="B619" s="8" t="n">
        <v>46074</v>
      </c>
      <c r="C619" s="2" t="s">
        <v>82</v>
      </c>
      <c r="D619" s="3" t="str">
        <f aca="false">INDEX(Vendedores!$C$2:$C$101,MATCH(C619,Vendedores!$A$2:$A$101,0))</f>
        <v>L02</v>
      </c>
      <c r="E619" s="3" t="str">
        <f aca="false">INDEX(Lojas!$E$2:$E$11,MATCH(D619,Lojas!$A$2:$A$11,0))</f>
        <v>Sudeste</v>
      </c>
      <c r="F619" s="2" t="s">
        <v>265</v>
      </c>
      <c r="G619" s="3" t="str">
        <f aca="false">INDEX(Produtos!$B$2:$B$11,MATCH(F619,Produtos!$A$2:$A$11,0))&amp;" "&amp;INDEX(Produtos!$C$2:$C$11,MATCH(F619,Produtos!$A$2:$A$11,0))</f>
        <v>Fone de Ouvido Headset</v>
      </c>
      <c r="H619" s="2" t="n">
        <v>1</v>
      </c>
      <c r="I619" s="5" t="n">
        <f aca="false">INDEX(Produtos!$D$2:$D$11,MATCH(F619,Produtos!$A$2:$A$11,0))</f>
        <v>249.9</v>
      </c>
      <c r="J619" s="5" t="n">
        <f aca="false">H619*I619</f>
        <v>249.9</v>
      </c>
      <c r="K619" s="5" t="n">
        <f aca="false">INDEX(Produtos!$E$2:$E$11,MATCH(F619,Produtos!$A$2:$A$11,0))</f>
        <v>145</v>
      </c>
      <c r="L619" s="5" t="n">
        <f aca="false">H619*K619</f>
        <v>145</v>
      </c>
    </row>
    <row r="620" customFormat="false" ht="15" hidden="false" customHeight="false" outlineLevel="0" collapsed="false">
      <c r="A620" s="2" t="s">
        <v>902</v>
      </c>
      <c r="B620" s="8" t="n">
        <v>46074</v>
      </c>
      <c r="C620" s="2" t="s">
        <v>66</v>
      </c>
      <c r="D620" s="3" t="str">
        <f aca="false">INDEX(Vendedores!$C$2:$C$101,MATCH(C620,Vendedores!$A$2:$A$101,0))</f>
        <v>L01</v>
      </c>
      <c r="E620" s="3" t="str">
        <f aca="false">INDEX(Lojas!$E$2:$E$11,MATCH(D620,Lojas!$A$2:$A$11,0))</f>
        <v>Sudeste</v>
      </c>
      <c r="F620" s="2" t="s">
        <v>267</v>
      </c>
      <c r="G620" s="3" t="str">
        <f aca="false">INDEX(Produtos!$B$2:$B$11,MATCH(F620,Produtos!$A$2:$A$11,0))&amp;" "&amp;INDEX(Produtos!$C$2:$C$11,MATCH(F620,Produtos!$A$2:$A$11,0))</f>
        <v>Carregador de Celular Tipo C</v>
      </c>
      <c r="H620" s="2" t="n">
        <v>1</v>
      </c>
      <c r="I620" s="5" t="n">
        <f aca="false">INDEX(Produtos!$D$2:$D$11,MATCH(F620,Produtos!$A$2:$A$11,0))</f>
        <v>44.9</v>
      </c>
      <c r="J620" s="5" t="n">
        <f aca="false">H620*I620</f>
        <v>44.9</v>
      </c>
      <c r="K620" s="5" t="n">
        <f aca="false">INDEX(Produtos!$E$2:$E$11,MATCH(F620,Produtos!$A$2:$A$11,0))</f>
        <v>18</v>
      </c>
      <c r="L620" s="5" t="n">
        <f aca="false">H620*K620</f>
        <v>18</v>
      </c>
    </row>
    <row r="621" customFormat="false" ht="15" hidden="false" customHeight="false" outlineLevel="0" collapsed="false">
      <c r="A621" s="2" t="s">
        <v>903</v>
      </c>
      <c r="B621" s="8" t="n">
        <v>46074</v>
      </c>
      <c r="C621" s="2" t="s">
        <v>154</v>
      </c>
      <c r="D621" s="3" t="str">
        <f aca="false">INDEX(Vendedores!$C$2:$C$101,MATCH(C621,Vendedores!$A$2:$A$101,0))</f>
        <v>L06</v>
      </c>
      <c r="E621" s="3" t="str">
        <f aca="false">INDEX(Lojas!$E$2:$E$11,MATCH(D621,Lojas!$A$2:$A$11,0))</f>
        <v>Sul</v>
      </c>
      <c r="F621" s="2" t="s">
        <v>270</v>
      </c>
      <c r="G621" s="3" t="str">
        <f aca="false">INDEX(Produtos!$B$2:$B$11,MATCH(F621,Produtos!$A$2:$A$11,0))&amp;" "&amp;INDEX(Produtos!$C$2:$C$11,MATCH(F621,Produtos!$A$2:$A$11,0))</f>
        <v>Controle de Videogame Xbox</v>
      </c>
      <c r="H621" s="2" t="n">
        <v>1</v>
      </c>
      <c r="I621" s="5" t="n">
        <f aca="false">INDEX(Produtos!$D$2:$D$11,MATCH(F621,Produtos!$A$2:$A$11,0))</f>
        <v>349.9</v>
      </c>
      <c r="J621" s="5" t="n">
        <f aca="false">H621*I621</f>
        <v>349.9</v>
      </c>
      <c r="K621" s="5" t="n">
        <f aca="false">INDEX(Produtos!$E$2:$E$11,MATCH(F621,Produtos!$A$2:$A$11,0))</f>
        <v>215</v>
      </c>
      <c r="L621" s="5" t="n">
        <f aca="false">H621*K621</f>
        <v>215</v>
      </c>
    </row>
    <row r="622" customFormat="false" ht="15" hidden="false" customHeight="false" outlineLevel="0" collapsed="false">
      <c r="A622" s="2" t="s">
        <v>904</v>
      </c>
      <c r="B622" s="8" t="n">
        <v>46075</v>
      </c>
      <c r="C622" s="2" t="s">
        <v>82</v>
      </c>
      <c r="D622" s="3" t="str">
        <f aca="false">INDEX(Vendedores!$C$2:$C$101,MATCH(C622,Vendedores!$A$2:$A$101,0))</f>
        <v>L02</v>
      </c>
      <c r="E622" s="3" t="str">
        <f aca="false">INDEX(Lojas!$E$2:$E$11,MATCH(D622,Lojas!$A$2:$A$11,0))</f>
        <v>Sudeste</v>
      </c>
      <c r="F622" s="2" t="s">
        <v>252</v>
      </c>
      <c r="G622" s="3" t="str">
        <f aca="false">INDEX(Produtos!$B$2:$B$11,MATCH(F622,Produtos!$A$2:$A$11,0))&amp;" "&amp;INDEX(Produtos!$C$2:$C$11,MATCH(F622,Produtos!$A$2:$A$11,0))</f>
        <v>Notebook Lenovo</v>
      </c>
      <c r="H622" s="2" t="n">
        <v>1</v>
      </c>
      <c r="I622" s="5" t="n">
        <f aca="false">INDEX(Produtos!$D$2:$D$11,MATCH(F622,Produtos!$A$2:$A$11,0))</f>
        <v>3199</v>
      </c>
      <c r="J622" s="5" t="n">
        <f aca="false">H622*I622</f>
        <v>3199</v>
      </c>
      <c r="K622" s="5" t="n">
        <f aca="false">INDEX(Produtos!$E$2:$E$11,MATCH(F622,Produtos!$A$2:$A$11,0))</f>
        <v>2350</v>
      </c>
      <c r="L622" s="5" t="n">
        <f aca="false">H622*K622</f>
        <v>2350</v>
      </c>
    </row>
    <row r="623" customFormat="false" ht="15" hidden="false" customHeight="false" outlineLevel="0" collapsed="false">
      <c r="A623" s="2" t="s">
        <v>905</v>
      </c>
      <c r="B623" s="8" t="n">
        <v>46075</v>
      </c>
      <c r="C623" s="2" t="s">
        <v>104</v>
      </c>
      <c r="D623" s="3" t="str">
        <f aca="false">INDEX(Vendedores!$C$2:$C$101,MATCH(C623,Vendedores!$A$2:$A$101,0))</f>
        <v>L03</v>
      </c>
      <c r="E623" s="3" t="str">
        <f aca="false">INDEX(Lojas!$E$2:$E$11,MATCH(D623,Lojas!$A$2:$A$11,0))</f>
        <v>Sudeste</v>
      </c>
      <c r="F623" s="2" t="s">
        <v>273</v>
      </c>
      <c r="G623" s="3" t="str">
        <f aca="false">INDEX(Produtos!$B$2:$B$11,MATCH(F623,Produtos!$A$2:$A$11,0))&amp;" "&amp;INDEX(Produtos!$C$2:$C$11,MATCH(F623,Produtos!$A$2:$A$11,0))</f>
        <v>Controle de Videogame PS4</v>
      </c>
      <c r="H623" s="2" t="n">
        <v>1</v>
      </c>
      <c r="I623" s="5" t="n">
        <f aca="false">INDEX(Produtos!$D$2:$D$11,MATCH(F623,Produtos!$A$2:$A$11,0))</f>
        <v>299.9</v>
      </c>
      <c r="J623" s="5" t="n">
        <f aca="false">H623*I623</f>
        <v>299.9</v>
      </c>
      <c r="K623" s="5" t="n">
        <f aca="false">INDEX(Produtos!$E$2:$E$11,MATCH(F623,Produtos!$A$2:$A$11,0))</f>
        <v>175</v>
      </c>
      <c r="L623" s="5" t="n">
        <f aca="false">H623*K623</f>
        <v>175</v>
      </c>
    </row>
    <row r="624" customFormat="false" ht="15" hidden="false" customHeight="false" outlineLevel="0" collapsed="false">
      <c r="A624" s="2" t="s">
        <v>906</v>
      </c>
      <c r="B624" s="8" t="n">
        <v>46075</v>
      </c>
      <c r="C624" s="2" t="s">
        <v>66</v>
      </c>
      <c r="D624" s="3" t="str">
        <f aca="false">INDEX(Vendedores!$C$2:$C$101,MATCH(C624,Vendedores!$A$2:$A$101,0))</f>
        <v>L01</v>
      </c>
      <c r="E624" s="3" t="str">
        <f aca="false">INDEX(Lojas!$E$2:$E$11,MATCH(D624,Lojas!$A$2:$A$11,0))</f>
        <v>Sudeste</v>
      </c>
      <c r="F624" s="2" t="s">
        <v>260</v>
      </c>
      <c r="G624" s="3" t="str">
        <f aca="false">INDEX(Produtos!$B$2:$B$11,MATCH(F624,Produtos!$A$2:$A$11,0))&amp;" "&amp;INDEX(Produtos!$C$2:$C$11,MATCH(F624,Produtos!$A$2:$A$11,0))</f>
        <v>Celular Motorola</v>
      </c>
      <c r="H624" s="2" t="n">
        <v>2</v>
      </c>
      <c r="I624" s="5" t="n">
        <f aca="false">INDEX(Produtos!$D$2:$D$11,MATCH(F624,Produtos!$A$2:$A$11,0))</f>
        <v>1799</v>
      </c>
      <c r="J624" s="5" t="n">
        <f aca="false">H624*I624</f>
        <v>3598</v>
      </c>
      <c r="K624" s="5" t="n">
        <f aca="false">INDEX(Produtos!$E$2:$E$11,MATCH(F624,Produtos!$A$2:$A$11,0))</f>
        <v>1250</v>
      </c>
      <c r="L624" s="5" t="n">
        <f aca="false">H624*K624</f>
        <v>2500</v>
      </c>
    </row>
    <row r="625" customFormat="false" ht="15" hidden="false" customHeight="false" outlineLevel="0" collapsed="false">
      <c r="A625" s="2" t="s">
        <v>907</v>
      </c>
      <c r="B625" s="8" t="n">
        <v>46075</v>
      </c>
      <c r="C625" s="2" t="s">
        <v>64</v>
      </c>
      <c r="D625" s="3" t="str">
        <f aca="false">INDEX(Vendedores!$C$2:$C$101,MATCH(C625,Vendedores!$A$2:$A$101,0))</f>
        <v>L01</v>
      </c>
      <c r="E625" s="3" t="str">
        <f aca="false">INDEX(Lojas!$E$2:$E$11,MATCH(D625,Lojas!$A$2:$A$11,0))</f>
        <v>Sudeste</v>
      </c>
      <c r="F625" s="2" t="s">
        <v>275</v>
      </c>
      <c r="G625" s="3" t="str">
        <f aca="false">INDEX(Produtos!$B$2:$B$11,MATCH(F625,Produtos!$A$2:$A$11,0))&amp;" "&amp;INDEX(Produtos!$C$2:$C$11,MATCH(F625,Produtos!$A$2:$A$11,0))</f>
        <v>Controle de Videogame PS5</v>
      </c>
      <c r="H625" s="2" t="n">
        <v>2</v>
      </c>
      <c r="I625" s="5" t="n">
        <f aca="false">INDEX(Produtos!$D$2:$D$11,MATCH(F625,Produtos!$A$2:$A$11,0))</f>
        <v>379.9</v>
      </c>
      <c r="J625" s="5" t="n">
        <f aca="false">H625*I625</f>
        <v>759.8</v>
      </c>
      <c r="K625" s="5" t="n">
        <f aca="false">INDEX(Produtos!$E$2:$E$11,MATCH(F625,Produtos!$A$2:$A$11,0))</f>
        <v>235</v>
      </c>
      <c r="L625" s="5" t="n">
        <f aca="false">H625*K625</f>
        <v>470</v>
      </c>
    </row>
    <row r="626" customFormat="false" ht="15" hidden="false" customHeight="false" outlineLevel="0" collapsed="false">
      <c r="A626" s="2" t="s">
        <v>908</v>
      </c>
      <c r="B626" s="8" t="n">
        <v>46075</v>
      </c>
      <c r="C626" s="2" t="s">
        <v>170</v>
      </c>
      <c r="D626" s="3" t="str">
        <f aca="false">INDEX(Vendedores!$C$2:$C$101,MATCH(C626,Vendedores!$A$2:$A$101,0))</f>
        <v>L07</v>
      </c>
      <c r="E626" s="3" t="str">
        <f aca="false">INDEX(Lojas!$E$2:$E$11,MATCH(D626,Lojas!$A$2:$A$11,0))</f>
        <v>Sul</v>
      </c>
      <c r="F626" s="2" t="s">
        <v>262</v>
      </c>
      <c r="G626" s="3" t="str">
        <f aca="false">INDEX(Produtos!$B$2:$B$11,MATCH(F626,Produtos!$A$2:$A$11,0))&amp;" "&amp;INDEX(Produtos!$C$2:$C$11,MATCH(F626,Produtos!$A$2:$A$11,0))</f>
        <v>Fone de Ouvido De Celular</v>
      </c>
      <c r="H626" s="2" t="n">
        <v>1</v>
      </c>
      <c r="I626" s="5" t="n">
        <f aca="false">INDEX(Produtos!$D$2:$D$11,MATCH(F626,Produtos!$A$2:$A$11,0))</f>
        <v>59.9</v>
      </c>
      <c r="J626" s="5" t="n">
        <f aca="false">H626*I626</f>
        <v>59.9</v>
      </c>
      <c r="K626" s="5" t="n">
        <f aca="false">INDEX(Produtos!$E$2:$E$11,MATCH(F626,Produtos!$A$2:$A$11,0))</f>
        <v>28</v>
      </c>
      <c r="L626" s="5" t="n">
        <f aca="false">H626*K626</f>
        <v>28</v>
      </c>
    </row>
    <row r="627" customFormat="false" ht="15" hidden="false" customHeight="false" outlineLevel="0" collapsed="false">
      <c r="A627" s="2" t="s">
        <v>909</v>
      </c>
      <c r="B627" s="8" t="n">
        <v>46075</v>
      </c>
      <c r="C627" s="2" t="s">
        <v>209</v>
      </c>
      <c r="D627" s="3" t="str">
        <f aca="false">INDEX(Vendedores!$C$2:$C$101,MATCH(C627,Vendedores!$A$2:$A$101,0))</f>
        <v>L09</v>
      </c>
      <c r="E627" s="3" t="str">
        <f aca="false">INDEX(Lojas!$E$2:$E$11,MATCH(D627,Lojas!$A$2:$A$11,0))</f>
        <v>Nordeste</v>
      </c>
      <c r="F627" s="2" t="s">
        <v>265</v>
      </c>
      <c r="G627" s="3" t="str">
        <f aca="false">INDEX(Produtos!$B$2:$B$11,MATCH(F627,Produtos!$A$2:$A$11,0))&amp;" "&amp;INDEX(Produtos!$C$2:$C$11,MATCH(F627,Produtos!$A$2:$A$11,0))</f>
        <v>Fone de Ouvido Headset</v>
      </c>
      <c r="H627" s="2" t="n">
        <v>1</v>
      </c>
      <c r="I627" s="5" t="n">
        <f aca="false">INDEX(Produtos!$D$2:$D$11,MATCH(F627,Produtos!$A$2:$A$11,0))</f>
        <v>249.9</v>
      </c>
      <c r="J627" s="5" t="n">
        <f aca="false">H627*I627</f>
        <v>249.9</v>
      </c>
      <c r="K627" s="5" t="n">
        <f aca="false">INDEX(Produtos!$E$2:$E$11,MATCH(F627,Produtos!$A$2:$A$11,0))</f>
        <v>145</v>
      </c>
      <c r="L627" s="5" t="n">
        <f aca="false">H627*K627</f>
        <v>145</v>
      </c>
    </row>
    <row r="628" customFormat="false" ht="15" hidden="false" customHeight="false" outlineLevel="0" collapsed="false">
      <c r="A628" s="2" t="s">
        <v>910</v>
      </c>
      <c r="B628" s="8" t="n">
        <v>46075</v>
      </c>
      <c r="C628" s="2" t="s">
        <v>144</v>
      </c>
      <c r="D628" s="3" t="str">
        <f aca="false">INDEX(Vendedores!$C$2:$C$101,MATCH(C628,Vendedores!$A$2:$A$101,0))</f>
        <v>L05</v>
      </c>
      <c r="E628" s="3" t="str">
        <f aca="false">INDEX(Lojas!$E$2:$E$11,MATCH(D628,Lojas!$A$2:$A$11,0))</f>
        <v>Sul</v>
      </c>
      <c r="F628" s="2" t="s">
        <v>260</v>
      </c>
      <c r="G628" s="3" t="str">
        <f aca="false">INDEX(Produtos!$B$2:$B$11,MATCH(F628,Produtos!$A$2:$A$11,0))&amp;" "&amp;INDEX(Produtos!$C$2:$C$11,MATCH(F628,Produtos!$A$2:$A$11,0))</f>
        <v>Celular Motorola</v>
      </c>
      <c r="H628" s="2" t="n">
        <v>1</v>
      </c>
      <c r="I628" s="5" t="n">
        <f aca="false">INDEX(Produtos!$D$2:$D$11,MATCH(F628,Produtos!$A$2:$A$11,0))</f>
        <v>1799</v>
      </c>
      <c r="J628" s="5" t="n">
        <f aca="false">H628*I628</f>
        <v>1799</v>
      </c>
      <c r="K628" s="5" t="n">
        <f aca="false">INDEX(Produtos!$E$2:$E$11,MATCH(F628,Produtos!$A$2:$A$11,0))</f>
        <v>1250</v>
      </c>
      <c r="L628" s="5" t="n">
        <f aca="false">H628*K628</f>
        <v>1250</v>
      </c>
    </row>
    <row r="629" customFormat="false" ht="15" hidden="false" customHeight="false" outlineLevel="0" collapsed="false">
      <c r="A629" s="2" t="s">
        <v>911</v>
      </c>
      <c r="B629" s="8" t="n">
        <v>46075</v>
      </c>
      <c r="C629" s="2" t="s">
        <v>92</v>
      </c>
      <c r="D629" s="3" t="str">
        <f aca="false">INDEX(Vendedores!$C$2:$C$101,MATCH(C629,Vendedores!$A$2:$A$101,0))</f>
        <v>L03</v>
      </c>
      <c r="E629" s="3" t="str">
        <f aca="false">INDEX(Lojas!$E$2:$E$11,MATCH(D629,Lojas!$A$2:$A$11,0))</f>
        <v>Sudeste</v>
      </c>
      <c r="F629" s="2" t="s">
        <v>252</v>
      </c>
      <c r="G629" s="3" t="str">
        <f aca="false">INDEX(Produtos!$B$2:$B$11,MATCH(F629,Produtos!$A$2:$A$11,0))&amp;" "&amp;INDEX(Produtos!$C$2:$C$11,MATCH(F629,Produtos!$A$2:$A$11,0))</f>
        <v>Notebook Lenovo</v>
      </c>
      <c r="H629" s="2" t="n">
        <v>1</v>
      </c>
      <c r="I629" s="5" t="n">
        <f aca="false">INDEX(Produtos!$D$2:$D$11,MATCH(F629,Produtos!$A$2:$A$11,0))</f>
        <v>3199</v>
      </c>
      <c r="J629" s="5" t="n">
        <f aca="false">H629*I629</f>
        <v>3199</v>
      </c>
      <c r="K629" s="5" t="n">
        <f aca="false">INDEX(Produtos!$E$2:$E$11,MATCH(F629,Produtos!$A$2:$A$11,0))</f>
        <v>2350</v>
      </c>
      <c r="L629" s="5" t="n">
        <f aca="false">H629*K629</f>
        <v>2350</v>
      </c>
    </row>
    <row r="630" customFormat="false" ht="15" hidden="false" customHeight="false" outlineLevel="0" collapsed="false">
      <c r="A630" s="2" t="s">
        <v>912</v>
      </c>
      <c r="B630" s="8" t="n">
        <v>46076</v>
      </c>
      <c r="C630" s="2" t="s">
        <v>185</v>
      </c>
      <c r="D630" s="3" t="str">
        <f aca="false">INDEX(Vendedores!$C$2:$C$101,MATCH(C630,Vendedores!$A$2:$A$101,0))</f>
        <v>L08</v>
      </c>
      <c r="E630" s="3" t="str">
        <f aca="false">INDEX(Lojas!$E$2:$E$11,MATCH(D630,Lojas!$A$2:$A$11,0))</f>
        <v>Nordeste</v>
      </c>
      <c r="F630" s="2" t="s">
        <v>267</v>
      </c>
      <c r="G630" s="3" t="str">
        <f aca="false">INDEX(Produtos!$B$2:$B$11,MATCH(F630,Produtos!$A$2:$A$11,0))&amp;" "&amp;INDEX(Produtos!$C$2:$C$11,MATCH(F630,Produtos!$A$2:$A$11,0))</f>
        <v>Carregador de Celular Tipo C</v>
      </c>
      <c r="H630" s="2" t="n">
        <v>1</v>
      </c>
      <c r="I630" s="5" t="n">
        <f aca="false">INDEX(Produtos!$D$2:$D$11,MATCH(F630,Produtos!$A$2:$A$11,0))</f>
        <v>44.9</v>
      </c>
      <c r="J630" s="5" t="n">
        <f aca="false">H630*I630</f>
        <v>44.9</v>
      </c>
      <c r="K630" s="5" t="n">
        <f aca="false">INDEX(Produtos!$E$2:$E$11,MATCH(F630,Produtos!$A$2:$A$11,0))</f>
        <v>18</v>
      </c>
      <c r="L630" s="5" t="n">
        <f aca="false">H630*K630</f>
        <v>18</v>
      </c>
    </row>
    <row r="631" customFormat="false" ht="15" hidden="false" customHeight="false" outlineLevel="0" collapsed="false">
      <c r="A631" s="2" t="s">
        <v>913</v>
      </c>
      <c r="B631" s="8" t="n">
        <v>46076</v>
      </c>
      <c r="C631" s="2" t="s">
        <v>84</v>
      </c>
      <c r="D631" s="3" t="str">
        <f aca="false">INDEX(Vendedores!$C$2:$C$101,MATCH(C631,Vendedores!$A$2:$A$101,0))</f>
        <v>L02</v>
      </c>
      <c r="E631" s="3" t="str">
        <f aca="false">INDEX(Lojas!$E$2:$E$11,MATCH(D631,Lojas!$A$2:$A$11,0))</f>
        <v>Sudeste</v>
      </c>
      <c r="F631" s="2" t="s">
        <v>262</v>
      </c>
      <c r="G631" s="3" t="str">
        <f aca="false">INDEX(Produtos!$B$2:$B$11,MATCH(F631,Produtos!$A$2:$A$11,0))&amp;" "&amp;INDEX(Produtos!$C$2:$C$11,MATCH(F631,Produtos!$A$2:$A$11,0))</f>
        <v>Fone de Ouvido De Celular</v>
      </c>
      <c r="H631" s="2" t="n">
        <v>2</v>
      </c>
      <c r="I631" s="5" t="n">
        <f aca="false">INDEX(Produtos!$D$2:$D$11,MATCH(F631,Produtos!$A$2:$A$11,0))</f>
        <v>59.9</v>
      </c>
      <c r="J631" s="5" t="n">
        <f aca="false">H631*I631</f>
        <v>119.8</v>
      </c>
      <c r="K631" s="5" t="n">
        <f aca="false">INDEX(Produtos!$E$2:$E$11,MATCH(F631,Produtos!$A$2:$A$11,0))</f>
        <v>28</v>
      </c>
      <c r="L631" s="5" t="n">
        <f aca="false">H631*K631</f>
        <v>56</v>
      </c>
    </row>
    <row r="632" customFormat="false" ht="15" hidden="false" customHeight="false" outlineLevel="0" collapsed="false">
      <c r="A632" s="2" t="s">
        <v>914</v>
      </c>
      <c r="B632" s="8" t="n">
        <v>46076</v>
      </c>
      <c r="C632" s="2" t="s">
        <v>191</v>
      </c>
      <c r="D632" s="3" t="str">
        <f aca="false">INDEX(Vendedores!$C$2:$C$101,MATCH(C632,Vendedores!$A$2:$A$101,0))</f>
        <v>L08</v>
      </c>
      <c r="E632" s="3" t="str">
        <f aca="false">INDEX(Lojas!$E$2:$E$11,MATCH(D632,Lojas!$A$2:$A$11,0))</f>
        <v>Nordeste</v>
      </c>
      <c r="F632" s="2" t="s">
        <v>267</v>
      </c>
      <c r="G632" s="3" t="str">
        <f aca="false">INDEX(Produtos!$B$2:$B$11,MATCH(F632,Produtos!$A$2:$A$11,0))&amp;" "&amp;INDEX(Produtos!$C$2:$C$11,MATCH(F632,Produtos!$A$2:$A$11,0))</f>
        <v>Carregador de Celular Tipo C</v>
      </c>
      <c r="H632" s="2" t="n">
        <v>2</v>
      </c>
      <c r="I632" s="5" t="n">
        <f aca="false">INDEX(Produtos!$D$2:$D$11,MATCH(F632,Produtos!$A$2:$A$11,0))</f>
        <v>44.9</v>
      </c>
      <c r="J632" s="5" t="n">
        <f aca="false">H632*I632</f>
        <v>89.8</v>
      </c>
      <c r="K632" s="5" t="n">
        <f aca="false">INDEX(Produtos!$E$2:$E$11,MATCH(F632,Produtos!$A$2:$A$11,0))</f>
        <v>18</v>
      </c>
      <c r="L632" s="5" t="n">
        <f aca="false">H632*K632</f>
        <v>36</v>
      </c>
    </row>
    <row r="633" customFormat="false" ht="15" hidden="false" customHeight="false" outlineLevel="0" collapsed="false">
      <c r="A633" s="2" t="s">
        <v>915</v>
      </c>
      <c r="B633" s="8" t="n">
        <v>46076</v>
      </c>
      <c r="C633" s="2" t="s">
        <v>229</v>
      </c>
      <c r="D633" s="3" t="str">
        <f aca="false">INDEX(Vendedores!$C$2:$C$101,MATCH(C633,Vendedores!$A$2:$A$101,0))</f>
        <v>L10</v>
      </c>
      <c r="E633" s="3" t="str">
        <f aca="false">INDEX(Lojas!$E$2:$E$11,MATCH(D633,Lojas!$A$2:$A$11,0))</f>
        <v>Nordeste</v>
      </c>
      <c r="F633" s="2" t="s">
        <v>260</v>
      </c>
      <c r="G633" s="3" t="str">
        <f aca="false">INDEX(Produtos!$B$2:$B$11,MATCH(F633,Produtos!$A$2:$A$11,0))&amp;" "&amp;INDEX(Produtos!$C$2:$C$11,MATCH(F633,Produtos!$A$2:$A$11,0))</f>
        <v>Celular Motorola</v>
      </c>
      <c r="H633" s="2" t="n">
        <v>1</v>
      </c>
      <c r="I633" s="5" t="n">
        <f aca="false">INDEX(Produtos!$D$2:$D$11,MATCH(F633,Produtos!$A$2:$A$11,0))</f>
        <v>1799</v>
      </c>
      <c r="J633" s="5" t="n">
        <f aca="false">H633*I633</f>
        <v>1799</v>
      </c>
      <c r="K633" s="5" t="n">
        <f aca="false">INDEX(Produtos!$E$2:$E$11,MATCH(F633,Produtos!$A$2:$A$11,0))</f>
        <v>1250</v>
      </c>
      <c r="L633" s="5" t="n">
        <f aca="false">H633*K633</f>
        <v>1250</v>
      </c>
    </row>
    <row r="634" customFormat="false" ht="15" hidden="false" customHeight="false" outlineLevel="0" collapsed="false">
      <c r="A634" s="2" t="s">
        <v>916</v>
      </c>
      <c r="B634" s="8" t="n">
        <v>46076</v>
      </c>
      <c r="C634" s="2" t="s">
        <v>80</v>
      </c>
      <c r="D634" s="3" t="str">
        <f aca="false">INDEX(Vendedores!$C$2:$C$101,MATCH(C634,Vendedores!$A$2:$A$101,0))</f>
        <v>L02</v>
      </c>
      <c r="E634" s="3" t="str">
        <f aca="false">INDEX(Lojas!$E$2:$E$11,MATCH(D634,Lojas!$A$2:$A$11,0))</f>
        <v>Sudeste</v>
      </c>
      <c r="F634" s="2" t="s">
        <v>260</v>
      </c>
      <c r="G634" s="3" t="str">
        <f aca="false">INDEX(Produtos!$B$2:$B$11,MATCH(F634,Produtos!$A$2:$A$11,0))&amp;" "&amp;INDEX(Produtos!$C$2:$C$11,MATCH(F634,Produtos!$A$2:$A$11,0))</f>
        <v>Celular Motorola</v>
      </c>
      <c r="H634" s="2" t="n">
        <v>2</v>
      </c>
      <c r="I634" s="5" t="n">
        <f aca="false">INDEX(Produtos!$D$2:$D$11,MATCH(F634,Produtos!$A$2:$A$11,0))</f>
        <v>1799</v>
      </c>
      <c r="J634" s="5" t="n">
        <f aca="false">H634*I634</f>
        <v>3598</v>
      </c>
      <c r="K634" s="5" t="n">
        <f aca="false">INDEX(Produtos!$E$2:$E$11,MATCH(F634,Produtos!$A$2:$A$11,0))</f>
        <v>1250</v>
      </c>
      <c r="L634" s="5" t="n">
        <f aca="false">H634*K634</f>
        <v>2500</v>
      </c>
    </row>
    <row r="635" customFormat="false" ht="15" hidden="false" customHeight="false" outlineLevel="0" collapsed="false">
      <c r="A635" s="2" t="s">
        <v>917</v>
      </c>
      <c r="B635" s="8" t="n">
        <v>46076</v>
      </c>
      <c r="C635" s="2" t="s">
        <v>62</v>
      </c>
      <c r="D635" s="3" t="str">
        <f aca="false">INDEX(Vendedores!$C$2:$C$101,MATCH(C635,Vendedores!$A$2:$A$101,0))</f>
        <v>L01</v>
      </c>
      <c r="E635" s="3" t="str">
        <f aca="false">INDEX(Lojas!$E$2:$E$11,MATCH(D635,Lojas!$A$2:$A$11,0))</f>
        <v>Sudeste</v>
      </c>
      <c r="F635" s="2" t="s">
        <v>252</v>
      </c>
      <c r="G635" s="3" t="str">
        <f aca="false">INDEX(Produtos!$B$2:$B$11,MATCH(F635,Produtos!$A$2:$A$11,0))&amp;" "&amp;INDEX(Produtos!$C$2:$C$11,MATCH(F635,Produtos!$A$2:$A$11,0))</f>
        <v>Notebook Lenovo</v>
      </c>
      <c r="H635" s="2" t="n">
        <v>1</v>
      </c>
      <c r="I635" s="5" t="n">
        <f aca="false">INDEX(Produtos!$D$2:$D$11,MATCH(F635,Produtos!$A$2:$A$11,0))</f>
        <v>3199</v>
      </c>
      <c r="J635" s="5" t="n">
        <f aca="false">H635*I635</f>
        <v>3199</v>
      </c>
      <c r="K635" s="5" t="n">
        <f aca="false">INDEX(Produtos!$E$2:$E$11,MATCH(F635,Produtos!$A$2:$A$11,0))</f>
        <v>2350</v>
      </c>
      <c r="L635" s="5" t="n">
        <f aca="false">H635*K635</f>
        <v>2350</v>
      </c>
    </row>
    <row r="636" customFormat="false" ht="15" hidden="false" customHeight="false" outlineLevel="0" collapsed="false">
      <c r="A636" s="2" t="s">
        <v>918</v>
      </c>
      <c r="B636" s="8" t="n">
        <v>46076</v>
      </c>
      <c r="C636" s="2" t="s">
        <v>183</v>
      </c>
      <c r="D636" s="3" t="str">
        <f aca="false">INDEX(Vendedores!$C$2:$C$101,MATCH(C636,Vendedores!$A$2:$A$101,0))</f>
        <v>L07</v>
      </c>
      <c r="E636" s="3" t="str">
        <f aca="false">INDEX(Lojas!$E$2:$E$11,MATCH(D636,Lojas!$A$2:$A$11,0))</f>
        <v>Sul</v>
      </c>
      <c r="F636" s="2" t="s">
        <v>262</v>
      </c>
      <c r="G636" s="3" t="str">
        <f aca="false">INDEX(Produtos!$B$2:$B$11,MATCH(F636,Produtos!$A$2:$A$11,0))&amp;" "&amp;INDEX(Produtos!$C$2:$C$11,MATCH(F636,Produtos!$A$2:$A$11,0))</f>
        <v>Fone de Ouvido De Celular</v>
      </c>
      <c r="H636" s="2" t="n">
        <v>1</v>
      </c>
      <c r="I636" s="5" t="n">
        <f aca="false">INDEX(Produtos!$D$2:$D$11,MATCH(F636,Produtos!$A$2:$A$11,0))</f>
        <v>59.9</v>
      </c>
      <c r="J636" s="5" t="n">
        <f aca="false">H636*I636</f>
        <v>59.9</v>
      </c>
      <c r="K636" s="5" t="n">
        <f aca="false">INDEX(Produtos!$E$2:$E$11,MATCH(F636,Produtos!$A$2:$A$11,0))</f>
        <v>28</v>
      </c>
      <c r="L636" s="5" t="n">
        <f aca="false">H636*K636</f>
        <v>28</v>
      </c>
    </row>
    <row r="637" customFormat="false" ht="15" hidden="false" customHeight="false" outlineLevel="0" collapsed="false">
      <c r="A637" s="2" t="s">
        <v>919</v>
      </c>
      <c r="B637" s="8" t="n">
        <v>46076</v>
      </c>
      <c r="C637" s="2" t="s">
        <v>178</v>
      </c>
      <c r="D637" s="3" t="str">
        <f aca="false">INDEX(Vendedores!$C$2:$C$101,MATCH(C637,Vendedores!$A$2:$A$101,0))</f>
        <v>L07</v>
      </c>
      <c r="E637" s="3" t="str">
        <f aca="false">INDEX(Lojas!$E$2:$E$11,MATCH(D637,Lojas!$A$2:$A$11,0))</f>
        <v>Sul</v>
      </c>
      <c r="F637" s="2" t="s">
        <v>270</v>
      </c>
      <c r="G637" s="3" t="str">
        <f aca="false">INDEX(Produtos!$B$2:$B$11,MATCH(F637,Produtos!$A$2:$A$11,0))&amp;" "&amp;INDEX(Produtos!$C$2:$C$11,MATCH(F637,Produtos!$A$2:$A$11,0))</f>
        <v>Controle de Videogame Xbox</v>
      </c>
      <c r="H637" s="2" t="n">
        <v>2</v>
      </c>
      <c r="I637" s="5" t="n">
        <f aca="false">INDEX(Produtos!$D$2:$D$11,MATCH(F637,Produtos!$A$2:$A$11,0))</f>
        <v>349.9</v>
      </c>
      <c r="J637" s="5" t="n">
        <f aca="false">H637*I637</f>
        <v>699.8</v>
      </c>
      <c r="K637" s="5" t="n">
        <f aca="false">INDEX(Produtos!$E$2:$E$11,MATCH(F637,Produtos!$A$2:$A$11,0))</f>
        <v>215</v>
      </c>
      <c r="L637" s="5" t="n">
        <f aca="false">H637*K637</f>
        <v>430</v>
      </c>
    </row>
    <row r="638" customFormat="false" ht="15" hidden="false" customHeight="false" outlineLevel="0" collapsed="false">
      <c r="A638" s="2" t="s">
        <v>920</v>
      </c>
      <c r="B638" s="8" t="n">
        <v>46076</v>
      </c>
      <c r="C638" s="2" t="s">
        <v>170</v>
      </c>
      <c r="D638" s="3" t="str">
        <f aca="false">INDEX(Vendedores!$C$2:$C$101,MATCH(C638,Vendedores!$A$2:$A$101,0))</f>
        <v>L07</v>
      </c>
      <c r="E638" s="3" t="str">
        <f aca="false">INDEX(Lojas!$E$2:$E$11,MATCH(D638,Lojas!$A$2:$A$11,0))</f>
        <v>Sul</v>
      </c>
      <c r="F638" s="2" t="s">
        <v>270</v>
      </c>
      <c r="G638" s="3" t="str">
        <f aca="false">INDEX(Produtos!$B$2:$B$11,MATCH(F638,Produtos!$A$2:$A$11,0))&amp;" "&amp;INDEX(Produtos!$C$2:$C$11,MATCH(F638,Produtos!$A$2:$A$11,0))</f>
        <v>Controle de Videogame Xbox</v>
      </c>
      <c r="H638" s="2" t="n">
        <v>1</v>
      </c>
      <c r="I638" s="5" t="n">
        <f aca="false">INDEX(Produtos!$D$2:$D$11,MATCH(F638,Produtos!$A$2:$A$11,0))</f>
        <v>349.9</v>
      </c>
      <c r="J638" s="5" t="n">
        <f aca="false">H638*I638</f>
        <v>349.9</v>
      </c>
      <c r="K638" s="5" t="n">
        <f aca="false">INDEX(Produtos!$E$2:$E$11,MATCH(F638,Produtos!$A$2:$A$11,0))</f>
        <v>215</v>
      </c>
      <c r="L638" s="5" t="n">
        <f aca="false">H638*K638</f>
        <v>215</v>
      </c>
    </row>
    <row r="639" customFormat="false" ht="15" hidden="false" customHeight="false" outlineLevel="0" collapsed="false">
      <c r="A639" s="2" t="s">
        <v>921</v>
      </c>
      <c r="B639" s="8" t="n">
        <v>46076</v>
      </c>
      <c r="C639" s="2" t="s">
        <v>166</v>
      </c>
      <c r="D639" s="3" t="str">
        <f aca="false">INDEX(Vendedores!$C$2:$C$101,MATCH(C639,Vendedores!$A$2:$A$101,0))</f>
        <v>L06</v>
      </c>
      <c r="E639" s="3" t="str">
        <f aca="false">INDEX(Lojas!$E$2:$E$11,MATCH(D639,Lojas!$A$2:$A$11,0))</f>
        <v>Sul</v>
      </c>
      <c r="F639" s="2" t="s">
        <v>275</v>
      </c>
      <c r="G639" s="3" t="str">
        <f aca="false">INDEX(Produtos!$B$2:$B$11,MATCH(F639,Produtos!$A$2:$A$11,0))&amp;" "&amp;INDEX(Produtos!$C$2:$C$11,MATCH(F639,Produtos!$A$2:$A$11,0))</f>
        <v>Controle de Videogame PS5</v>
      </c>
      <c r="H639" s="2" t="n">
        <v>1</v>
      </c>
      <c r="I639" s="5" t="n">
        <f aca="false">INDEX(Produtos!$D$2:$D$11,MATCH(F639,Produtos!$A$2:$A$11,0))</f>
        <v>379.9</v>
      </c>
      <c r="J639" s="5" t="n">
        <f aca="false">H639*I639</f>
        <v>379.9</v>
      </c>
      <c r="K639" s="5" t="n">
        <f aca="false">INDEX(Produtos!$E$2:$E$11,MATCH(F639,Produtos!$A$2:$A$11,0))</f>
        <v>235</v>
      </c>
      <c r="L639" s="5" t="n">
        <f aca="false">H639*K639</f>
        <v>235</v>
      </c>
    </row>
    <row r="640" customFormat="false" ht="15" hidden="false" customHeight="false" outlineLevel="0" collapsed="false">
      <c r="A640" s="2" t="s">
        <v>922</v>
      </c>
      <c r="B640" s="8" t="n">
        <v>46076</v>
      </c>
      <c r="C640" s="2" t="s">
        <v>176</v>
      </c>
      <c r="D640" s="3" t="str">
        <f aca="false">INDEX(Vendedores!$C$2:$C$101,MATCH(C640,Vendedores!$A$2:$A$101,0))</f>
        <v>L07</v>
      </c>
      <c r="E640" s="3" t="str">
        <f aca="false">INDEX(Lojas!$E$2:$E$11,MATCH(D640,Lojas!$A$2:$A$11,0))</f>
        <v>Sul</v>
      </c>
      <c r="F640" s="2" t="s">
        <v>262</v>
      </c>
      <c r="G640" s="3" t="str">
        <f aca="false">INDEX(Produtos!$B$2:$B$11,MATCH(F640,Produtos!$A$2:$A$11,0))&amp;" "&amp;INDEX(Produtos!$C$2:$C$11,MATCH(F640,Produtos!$A$2:$A$11,0))</f>
        <v>Fone de Ouvido De Celular</v>
      </c>
      <c r="H640" s="2" t="n">
        <v>1</v>
      </c>
      <c r="I640" s="5" t="n">
        <f aca="false">INDEX(Produtos!$D$2:$D$11,MATCH(F640,Produtos!$A$2:$A$11,0))</f>
        <v>59.9</v>
      </c>
      <c r="J640" s="5" t="n">
        <f aca="false">H640*I640</f>
        <v>59.9</v>
      </c>
      <c r="K640" s="5" t="n">
        <f aca="false">INDEX(Produtos!$E$2:$E$11,MATCH(F640,Produtos!$A$2:$A$11,0))</f>
        <v>28</v>
      </c>
      <c r="L640" s="5" t="n">
        <f aca="false">H640*K640</f>
        <v>28</v>
      </c>
    </row>
    <row r="641" customFormat="false" ht="15" hidden="false" customHeight="false" outlineLevel="0" collapsed="false">
      <c r="A641" s="2" t="s">
        <v>923</v>
      </c>
      <c r="B641" s="8" t="n">
        <v>46076</v>
      </c>
      <c r="C641" s="2" t="s">
        <v>237</v>
      </c>
      <c r="D641" s="3" t="str">
        <f aca="false">INDEX(Vendedores!$C$2:$C$101,MATCH(C641,Vendedores!$A$2:$A$101,0))</f>
        <v>L10</v>
      </c>
      <c r="E641" s="3" t="str">
        <f aca="false">INDEX(Lojas!$E$2:$E$11,MATCH(D641,Lojas!$A$2:$A$11,0))</f>
        <v>Nordeste</v>
      </c>
      <c r="F641" s="2" t="s">
        <v>267</v>
      </c>
      <c r="G641" s="3" t="str">
        <f aca="false">INDEX(Produtos!$B$2:$B$11,MATCH(F641,Produtos!$A$2:$A$11,0))&amp;" "&amp;INDEX(Produtos!$C$2:$C$11,MATCH(F641,Produtos!$A$2:$A$11,0))</f>
        <v>Carregador de Celular Tipo C</v>
      </c>
      <c r="H641" s="2" t="n">
        <v>1</v>
      </c>
      <c r="I641" s="5" t="n">
        <f aca="false">INDEX(Produtos!$D$2:$D$11,MATCH(F641,Produtos!$A$2:$A$11,0))</f>
        <v>44.9</v>
      </c>
      <c r="J641" s="5" t="n">
        <f aca="false">H641*I641</f>
        <v>44.9</v>
      </c>
      <c r="K641" s="5" t="n">
        <f aca="false">INDEX(Produtos!$E$2:$E$11,MATCH(F641,Produtos!$A$2:$A$11,0))</f>
        <v>18</v>
      </c>
      <c r="L641" s="5" t="n">
        <f aca="false">H641*K641</f>
        <v>18</v>
      </c>
    </row>
    <row r="642" customFormat="false" ht="15" hidden="false" customHeight="false" outlineLevel="0" collapsed="false">
      <c r="A642" s="2" t="s">
        <v>924</v>
      </c>
      <c r="B642" s="8" t="n">
        <v>46076</v>
      </c>
      <c r="C642" s="2" t="s">
        <v>182</v>
      </c>
      <c r="D642" s="3" t="str">
        <f aca="false">INDEX(Vendedores!$C$2:$C$101,MATCH(C642,Vendedores!$A$2:$A$101,0))</f>
        <v>L07</v>
      </c>
      <c r="E642" s="3" t="str">
        <f aca="false">INDEX(Lojas!$E$2:$E$11,MATCH(D642,Lojas!$A$2:$A$11,0))</f>
        <v>Sul</v>
      </c>
      <c r="F642" s="2" t="s">
        <v>267</v>
      </c>
      <c r="G642" s="3" t="str">
        <f aca="false">INDEX(Produtos!$B$2:$B$11,MATCH(F642,Produtos!$A$2:$A$11,0))&amp;" "&amp;INDEX(Produtos!$C$2:$C$11,MATCH(F642,Produtos!$A$2:$A$11,0))</f>
        <v>Carregador de Celular Tipo C</v>
      </c>
      <c r="H642" s="2" t="n">
        <v>1</v>
      </c>
      <c r="I642" s="5" t="n">
        <f aca="false">INDEX(Produtos!$D$2:$D$11,MATCH(F642,Produtos!$A$2:$A$11,0))</f>
        <v>44.9</v>
      </c>
      <c r="J642" s="5" t="n">
        <f aca="false">H642*I642</f>
        <v>44.9</v>
      </c>
      <c r="K642" s="5" t="n">
        <f aca="false">INDEX(Produtos!$E$2:$E$11,MATCH(F642,Produtos!$A$2:$A$11,0))</f>
        <v>18</v>
      </c>
      <c r="L642" s="5" t="n">
        <f aca="false">H642*K642</f>
        <v>18</v>
      </c>
    </row>
    <row r="643" customFormat="false" ht="15" hidden="false" customHeight="false" outlineLevel="0" collapsed="false">
      <c r="A643" s="2" t="s">
        <v>925</v>
      </c>
      <c r="B643" s="8" t="n">
        <v>46076</v>
      </c>
      <c r="C643" s="2" t="s">
        <v>138</v>
      </c>
      <c r="D643" s="3" t="str">
        <f aca="false">INDEX(Vendedores!$C$2:$C$101,MATCH(C643,Vendedores!$A$2:$A$101,0))</f>
        <v>L05</v>
      </c>
      <c r="E643" s="3" t="str">
        <f aca="false">INDEX(Lojas!$E$2:$E$11,MATCH(D643,Lojas!$A$2:$A$11,0))</f>
        <v>Sul</v>
      </c>
      <c r="F643" s="2" t="s">
        <v>270</v>
      </c>
      <c r="G643" s="3" t="str">
        <f aca="false">INDEX(Produtos!$B$2:$B$11,MATCH(F643,Produtos!$A$2:$A$11,0))&amp;" "&amp;INDEX(Produtos!$C$2:$C$11,MATCH(F643,Produtos!$A$2:$A$11,0))</f>
        <v>Controle de Videogame Xbox</v>
      </c>
      <c r="H643" s="2" t="n">
        <v>1</v>
      </c>
      <c r="I643" s="5" t="n">
        <f aca="false">INDEX(Produtos!$D$2:$D$11,MATCH(F643,Produtos!$A$2:$A$11,0))</f>
        <v>349.9</v>
      </c>
      <c r="J643" s="5" t="n">
        <f aca="false">H643*I643</f>
        <v>349.9</v>
      </c>
      <c r="K643" s="5" t="n">
        <f aca="false">INDEX(Produtos!$E$2:$E$11,MATCH(F643,Produtos!$A$2:$A$11,0))</f>
        <v>215</v>
      </c>
      <c r="L643" s="5" t="n">
        <f aca="false">H643*K643</f>
        <v>215</v>
      </c>
    </row>
    <row r="644" customFormat="false" ht="15" hidden="false" customHeight="false" outlineLevel="0" collapsed="false">
      <c r="A644" s="2" t="s">
        <v>926</v>
      </c>
      <c r="B644" s="8" t="n">
        <v>46077</v>
      </c>
      <c r="C644" s="2" t="s">
        <v>112</v>
      </c>
      <c r="D644" s="3" t="str">
        <f aca="false">INDEX(Vendedores!$C$2:$C$101,MATCH(C644,Vendedores!$A$2:$A$101,0))</f>
        <v>L04</v>
      </c>
      <c r="E644" s="3" t="str">
        <f aca="false">INDEX(Lojas!$E$2:$E$11,MATCH(D644,Lojas!$A$2:$A$11,0))</f>
        <v>Sudeste</v>
      </c>
      <c r="F644" s="2" t="s">
        <v>252</v>
      </c>
      <c r="G644" s="3" t="str">
        <f aca="false">INDEX(Produtos!$B$2:$B$11,MATCH(F644,Produtos!$A$2:$A$11,0))&amp;" "&amp;INDEX(Produtos!$C$2:$C$11,MATCH(F644,Produtos!$A$2:$A$11,0))</f>
        <v>Notebook Lenovo</v>
      </c>
      <c r="H644" s="2" t="n">
        <v>1</v>
      </c>
      <c r="I644" s="5" t="n">
        <f aca="false">INDEX(Produtos!$D$2:$D$11,MATCH(F644,Produtos!$A$2:$A$11,0))</f>
        <v>3199</v>
      </c>
      <c r="J644" s="5" t="n">
        <f aca="false">H644*I644</f>
        <v>3199</v>
      </c>
      <c r="K644" s="5" t="n">
        <f aca="false">INDEX(Produtos!$E$2:$E$11,MATCH(F644,Produtos!$A$2:$A$11,0))</f>
        <v>2350</v>
      </c>
      <c r="L644" s="5" t="n">
        <f aca="false">H644*K644</f>
        <v>2350</v>
      </c>
    </row>
    <row r="645" customFormat="false" ht="15" hidden="false" customHeight="false" outlineLevel="0" collapsed="false">
      <c r="A645" s="2" t="s">
        <v>927</v>
      </c>
      <c r="B645" s="8" t="n">
        <v>46077</v>
      </c>
      <c r="C645" s="2" t="s">
        <v>137</v>
      </c>
      <c r="D645" s="3" t="str">
        <f aca="false">INDEX(Vendedores!$C$2:$C$101,MATCH(C645,Vendedores!$A$2:$A$101,0))</f>
        <v>L05</v>
      </c>
      <c r="E645" s="3" t="str">
        <f aca="false">INDEX(Lojas!$E$2:$E$11,MATCH(D645,Lojas!$A$2:$A$11,0))</f>
        <v>Sul</v>
      </c>
      <c r="F645" s="2" t="s">
        <v>262</v>
      </c>
      <c r="G645" s="3" t="str">
        <f aca="false">INDEX(Produtos!$B$2:$B$11,MATCH(F645,Produtos!$A$2:$A$11,0))&amp;" "&amp;INDEX(Produtos!$C$2:$C$11,MATCH(F645,Produtos!$A$2:$A$11,0))</f>
        <v>Fone de Ouvido De Celular</v>
      </c>
      <c r="H645" s="2" t="n">
        <v>2</v>
      </c>
      <c r="I645" s="5" t="n">
        <f aca="false">INDEX(Produtos!$D$2:$D$11,MATCH(F645,Produtos!$A$2:$A$11,0))</f>
        <v>59.9</v>
      </c>
      <c r="J645" s="5" t="n">
        <f aca="false">H645*I645</f>
        <v>119.8</v>
      </c>
      <c r="K645" s="5" t="n">
        <f aca="false">INDEX(Produtos!$E$2:$E$11,MATCH(F645,Produtos!$A$2:$A$11,0))</f>
        <v>28</v>
      </c>
      <c r="L645" s="5" t="n">
        <f aca="false">H645*K645</f>
        <v>56</v>
      </c>
    </row>
    <row r="646" customFormat="false" ht="15" hidden="false" customHeight="false" outlineLevel="0" collapsed="false">
      <c r="A646" s="2" t="s">
        <v>928</v>
      </c>
      <c r="B646" s="8" t="n">
        <v>46077</v>
      </c>
      <c r="C646" s="2" t="s">
        <v>154</v>
      </c>
      <c r="D646" s="3" t="str">
        <f aca="false">INDEX(Vendedores!$C$2:$C$101,MATCH(C646,Vendedores!$A$2:$A$101,0))</f>
        <v>L06</v>
      </c>
      <c r="E646" s="3" t="str">
        <f aca="false">INDEX(Lojas!$E$2:$E$11,MATCH(D646,Lojas!$A$2:$A$11,0))</f>
        <v>Sul</v>
      </c>
      <c r="F646" s="2" t="s">
        <v>260</v>
      </c>
      <c r="G646" s="3" t="str">
        <f aca="false">INDEX(Produtos!$B$2:$B$11,MATCH(F646,Produtos!$A$2:$A$11,0))&amp;" "&amp;INDEX(Produtos!$C$2:$C$11,MATCH(F646,Produtos!$A$2:$A$11,0))</f>
        <v>Celular Motorola</v>
      </c>
      <c r="H646" s="2" t="n">
        <v>1</v>
      </c>
      <c r="I646" s="5" t="n">
        <f aca="false">INDEX(Produtos!$D$2:$D$11,MATCH(F646,Produtos!$A$2:$A$11,0))</f>
        <v>1799</v>
      </c>
      <c r="J646" s="5" t="n">
        <f aca="false">H646*I646</f>
        <v>1799</v>
      </c>
      <c r="K646" s="5" t="n">
        <f aca="false">INDEX(Produtos!$E$2:$E$11,MATCH(F646,Produtos!$A$2:$A$11,0))</f>
        <v>1250</v>
      </c>
      <c r="L646" s="5" t="n">
        <f aca="false">H646*K646</f>
        <v>1250</v>
      </c>
    </row>
    <row r="647" customFormat="false" ht="15" hidden="false" customHeight="false" outlineLevel="0" collapsed="false">
      <c r="A647" s="2" t="s">
        <v>929</v>
      </c>
      <c r="B647" s="8" t="n">
        <v>46077</v>
      </c>
      <c r="C647" s="2" t="s">
        <v>162</v>
      </c>
      <c r="D647" s="3" t="str">
        <f aca="false">INDEX(Vendedores!$C$2:$C$101,MATCH(C647,Vendedores!$A$2:$A$101,0))</f>
        <v>L06</v>
      </c>
      <c r="E647" s="3" t="str">
        <f aca="false">INDEX(Lojas!$E$2:$E$11,MATCH(D647,Lojas!$A$2:$A$11,0))</f>
        <v>Sul</v>
      </c>
      <c r="F647" s="2" t="s">
        <v>267</v>
      </c>
      <c r="G647" s="3" t="str">
        <f aca="false">INDEX(Produtos!$B$2:$B$11,MATCH(F647,Produtos!$A$2:$A$11,0))&amp;" "&amp;INDEX(Produtos!$C$2:$C$11,MATCH(F647,Produtos!$A$2:$A$11,0))</f>
        <v>Carregador de Celular Tipo C</v>
      </c>
      <c r="H647" s="2" t="n">
        <v>1</v>
      </c>
      <c r="I647" s="5" t="n">
        <f aca="false">INDEX(Produtos!$D$2:$D$11,MATCH(F647,Produtos!$A$2:$A$11,0))</f>
        <v>44.9</v>
      </c>
      <c r="J647" s="5" t="n">
        <f aca="false">H647*I647</f>
        <v>44.9</v>
      </c>
      <c r="K647" s="5" t="n">
        <f aca="false">INDEX(Produtos!$E$2:$E$11,MATCH(F647,Produtos!$A$2:$A$11,0))</f>
        <v>18</v>
      </c>
      <c r="L647" s="5" t="n">
        <f aca="false">H647*K647</f>
        <v>18</v>
      </c>
    </row>
    <row r="648" customFormat="false" ht="15" hidden="false" customHeight="false" outlineLevel="0" collapsed="false">
      <c r="A648" s="2" t="s">
        <v>930</v>
      </c>
      <c r="B648" s="8" t="n">
        <v>46077</v>
      </c>
      <c r="C648" s="2" t="s">
        <v>138</v>
      </c>
      <c r="D648" s="3" t="str">
        <f aca="false">INDEX(Vendedores!$C$2:$C$101,MATCH(C648,Vendedores!$A$2:$A$101,0))</f>
        <v>L05</v>
      </c>
      <c r="E648" s="3" t="str">
        <f aca="false">INDEX(Lojas!$E$2:$E$11,MATCH(D648,Lojas!$A$2:$A$11,0))</f>
        <v>Sul</v>
      </c>
      <c r="F648" s="2" t="s">
        <v>255</v>
      </c>
      <c r="G648" s="3" t="str">
        <f aca="false">INDEX(Produtos!$B$2:$B$11,MATCH(F648,Produtos!$A$2:$A$11,0))&amp;" "&amp;INDEX(Produtos!$C$2:$C$11,MATCH(F648,Produtos!$A$2:$A$11,0))</f>
        <v>Notebook Positivo</v>
      </c>
      <c r="H648" s="2" t="n">
        <v>1</v>
      </c>
      <c r="I648" s="5" t="n">
        <f aca="false">INDEX(Produtos!$D$2:$D$11,MATCH(F648,Produtos!$A$2:$A$11,0))</f>
        <v>2199</v>
      </c>
      <c r="J648" s="5" t="n">
        <f aca="false">H648*I648</f>
        <v>2199</v>
      </c>
      <c r="K648" s="5" t="n">
        <f aca="false">INDEX(Produtos!$E$2:$E$11,MATCH(F648,Produtos!$A$2:$A$11,0))</f>
        <v>1550</v>
      </c>
      <c r="L648" s="5" t="n">
        <f aca="false">H648*K648</f>
        <v>1550</v>
      </c>
    </row>
    <row r="649" customFormat="false" ht="15" hidden="false" customHeight="false" outlineLevel="0" collapsed="false">
      <c r="A649" s="2" t="s">
        <v>931</v>
      </c>
      <c r="B649" s="8" t="n">
        <v>46077</v>
      </c>
      <c r="C649" s="2" t="s">
        <v>90</v>
      </c>
      <c r="D649" s="3" t="str">
        <f aca="false">INDEX(Vendedores!$C$2:$C$101,MATCH(C649,Vendedores!$A$2:$A$101,0))</f>
        <v>L03</v>
      </c>
      <c r="E649" s="3" t="str">
        <f aca="false">INDEX(Lojas!$E$2:$E$11,MATCH(D649,Lojas!$A$2:$A$11,0))</f>
        <v>Sudeste</v>
      </c>
      <c r="F649" s="2" t="s">
        <v>252</v>
      </c>
      <c r="G649" s="3" t="str">
        <f aca="false">INDEX(Produtos!$B$2:$B$11,MATCH(F649,Produtos!$A$2:$A$11,0))&amp;" "&amp;INDEX(Produtos!$C$2:$C$11,MATCH(F649,Produtos!$A$2:$A$11,0))</f>
        <v>Notebook Lenovo</v>
      </c>
      <c r="H649" s="2" t="n">
        <v>1</v>
      </c>
      <c r="I649" s="5" t="n">
        <f aca="false">INDEX(Produtos!$D$2:$D$11,MATCH(F649,Produtos!$A$2:$A$11,0))</f>
        <v>3199</v>
      </c>
      <c r="J649" s="5" t="n">
        <f aca="false">H649*I649</f>
        <v>3199</v>
      </c>
      <c r="K649" s="5" t="n">
        <f aca="false">INDEX(Produtos!$E$2:$E$11,MATCH(F649,Produtos!$A$2:$A$11,0))</f>
        <v>2350</v>
      </c>
      <c r="L649" s="5" t="n">
        <f aca="false">H649*K649</f>
        <v>2350</v>
      </c>
    </row>
    <row r="650" customFormat="false" ht="15" hidden="false" customHeight="false" outlineLevel="0" collapsed="false">
      <c r="A650" s="2" t="s">
        <v>932</v>
      </c>
      <c r="B650" s="8" t="n">
        <v>46077</v>
      </c>
      <c r="C650" s="2" t="s">
        <v>225</v>
      </c>
      <c r="D650" s="3" t="str">
        <f aca="false">INDEX(Vendedores!$C$2:$C$101,MATCH(C650,Vendedores!$A$2:$A$101,0))</f>
        <v>L10</v>
      </c>
      <c r="E650" s="3" t="str">
        <f aca="false">INDEX(Lojas!$E$2:$E$11,MATCH(D650,Lojas!$A$2:$A$11,0))</f>
        <v>Nordeste</v>
      </c>
      <c r="F650" s="2" t="s">
        <v>267</v>
      </c>
      <c r="G650" s="3" t="str">
        <f aca="false">INDEX(Produtos!$B$2:$B$11,MATCH(F650,Produtos!$A$2:$A$11,0))&amp;" "&amp;INDEX(Produtos!$C$2:$C$11,MATCH(F650,Produtos!$A$2:$A$11,0))</f>
        <v>Carregador de Celular Tipo C</v>
      </c>
      <c r="H650" s="2" t="n">
        <v>1</v>
      </c>
      <c r="I650" s="5" t="n">
        <f aca="false">INDEX(Produtos!$D$2:$D$11,MATCH(F650,Produtos!$A$2:$A$11,0))</f>
        <v>44.9</v>
      </c>
      <c r="J650" s="5" t="n">
        <f aca="false">H650*I650</f>
        <v>44.9</v>
      </c>
      <c r="K650" s="5" t="n">
        <f aca="false">INDEX(Produtos!$E$2:$E$11,MATCH(F650,Produtos!$A$2:$A$11,0))</f>
        <v>18</v>
      </c>
      <c r="L650" s="5" t="n">
        <f aca="false">H650*K650</f>
        <v>18</v>
      </c>
    </row>
    <row r="651" customFormat="false" ht="15" hidden="false" customHeight="false" outlineLevel="0" collapsed="false">
      <c r="A651" s="2" t="s">
        <v>933</v>
      </c>
      <c r="B651" s="8" t="n">
        <v>46077</v>
      </c>
      <c r="C651" s="2" t="s">
        <v>235</v>
      </c>
      <c r="D651" s="3" t="str">
        <f aca="false">INDEX(Vendedores!$C$2:$C$101,MATCH(C651,Vendedores!$A$2:$A$101,0))</f>
        <v>L10</v>
      </c>
      <c r="E651" s="3" t="str">
        <f aca="false">INDEX(Lojas!$E$2:$E$11,MATCH(D651,Lojas!$A$2:$A$11,0))</f>
        <v>Nordeste</v>
      </c>
      <c r="F651" s="2" t="s">
        <v>270</v>
      </c>
      <c r="G651" s="3" t="str">
        <f aca="false">INDEX(Produtos!$B$2:$B$11,MATCH(F651,Produtos!$A$2:$A$11,0))&amp;" "&amp;INDEX(Produtos!$C$2:$C$11,MATCH(F651,Produtos!$A$2:$A$11,0))</f>
        <v>Controle de Videogame Xbox</v>
      </c>
      <c r="H651" s="2" t="n">
        <v>2</v>
      </c>
      <c r="I651" s="5" t="n">
        <f aca="false">INDEX(Produtos!$D$2:$D$11,MATCH(F651,Produtos!$A$2:$A$11,0))</f>
        <v>349.9</v>
      </c>
      <c r="J651" s="5" t="n">
        <f aca="false">H651*I651</f>
        <v>699.8</v>
      </c>
      <c r="K651" s="5" t="n">
        <f aca="false">INDEX(Produtos!$E$2:$E$11,MATCH(F651,Produtos!$A$2:$A$11,0))</f>
        <v>215</v>
      </c>
      <c r="L651" s="5" t="n">
        <f aca="false">H651*K651</f>
        <v>430</v>
      </c>
    </row>
    <row r="652" customFormat="false" ht="15" hidden="false" customHeight="false" outlineLevel="0" collapsed="false">
      <c r="A652" s="2" t="s">
        <v>934</v>
      </c>
      <c r="B652" s="8" t="n">
        <v>46077</v>
      </c>
      <c r="C652" s="2" t="s">
        <v>122</v>
      </c>
      <c r="D652" s="3" t="str">
        <f aca="false">INDEX(Vendedores!$C$2:$C$101,MATCH(C652,Vendedores!$A$2:$A$101,0))</f>
        <v>L04</v>
      </c>
      <c r="E652" s="3" t="str">
        <f aca="false">INDEX(Lojas!$E$2:$E$11,MATCH(D652,Lojas!$A$2:$A$11,0))</f>
        <v>Sudeste</v>
      </c>
      <c r="F652" s="2" t="s">
        <v>262</v>
      </c>
      <c r="G652" s="3" t="str">
        <f aca="false">INDEX(Produtos!$B$2:$B$11,MATCH(F652,Produtos!$A$2:$A$11,0))&amp;" "&amp;INDEX(Produtos!$C$2:$C$11,MATCH(F652,Produtos!$A$2:$A$11,0))</f>
        <v>Fone de Ouvido De Celular</v>
      </c>
      <c r="H652" s="2" t="n">
        <v>2</v>
      </c>
      <c r="I652" s="5" t="n">
        <f aca="false">INDEX(Produtos!$D$2:$D$11,MATCH(F652,Produtos!$A$2:$A$11,0))</f>
        <v>59.9</v>
      </c>
      <c r="J652" s="5" t="n">
        <f aca="false">H652*I652</f>
        <v>119.8</v>
      </c>
      <c r="K652" s="5" t="n">
        <f aca="false">INDEX(Produtos!$E$2:$E$11,MATCH(F652,Produtos!$A$2:$A$11,0))</f>
        <v>28</v>
      </c>
      <c r="L652" s="5" t="n">
        <f aca="false">H652*K652</f>
        <v>56</v>
      </c>
    </row>
    <row r="653" customFormat="false" ht="15" hidden="false" customHeight="false" outlineLevel="0" collapsed="false">
      <c r="A653" s="2" t="s">
        <v>935</v>
      </c>
      <c r="B653" s="8" t="n">
        <v>46078</v>
      </c>
      <c r="C653" s="2" t="s">
        <v>189</v>
      </c>
      <c r="D653" s="3" t="str">
        <f aca="false">INDEX(Vendedores!$C$2:$C$101,MATCH(C653,Vendedores!$A$2:$A$101,0))</f>
        <v>L08</v>
      </c>
      <c r="E653" s="3" t="str">
        <f aca="false">INDEX(Lojas!$E$2:$E$11,MATCH(D653,Lojas!$A$2:$A$11,0))</f>
        <v>Nordeste</v>
      </c>
      <c r="F653" s="2" t="s">
        <v>273</v>
      </c>
      <c r="G653" s="3" t="str">
        <f aca="false">INDEX(Produtos!$B$2:$B$11,MATCH(F653,Produtos!$A$2:$A$11,0))&amp;" "&amp;INDEX(Produtos!$C$2:$C$11,MATCH(F653,Produtos!$A$2:$A$11,0))</f>
        <v>Controle de Videogame PS4</v>
      </c>
      <c r="H653" s="2" t="n">
        <v>2</v>
      </c>
      <c r="I653" s="5" t="n">
        <f aca="false">INDEX(Produtos!$D$2:$D$11,MATCH(F653,Produtos!$A$2:$A$11,0))</f>
        <v>299.9</v>
      </c>
      <c r="J653" s="5" t="n">
        <f aca="false">H653*I653</f>
        <v>599.8</v>
      </c>
      <c r="K653" s="5" t="n">
        <f aca="false">INDEX(Produtos!$E$2:$E$11,MATCH(F653,Produtos!$A$2:$A$11,0))</f>
        <v>175</v>
      </c>
      <c r="L653" s="5" t="n">
        <f aca="false">H653*K653</f>
        <v>350</v>
      </c>
    </row>
    <row r="654" customFormat="false" ht="15" hidden="false" customHeight="false" outlineLevel="0" collapsed="false">
      <c r="A654" s="2" t="s">
        <v>936</v>
      </c>
      <c r="B654" s="8" t="n">
        <v>46078</v>
      </c>
      <c r="C654" s="2" t="s">
        <v>102</v>
      </c>
      <c r="D654" s="3" t="str">
        <f aca="false">INDEX(Vendedores!$C$2:$C$101,MATCH(C654,Vendedores!$A$2:$A$101,0))</f>
        <v>L03</v>
      </c>
      <c r="E654" s="3" t="str">
        <f aca="false">INDEX(Lojas!$E$2:$E$11,MATCH(D654,Lojas!$A$2:$A$11,0))</f>
        <v>Sudeste</v>
      </c>
      <c r="F654" s="2" t="s">
        <v>270</v>
      </c>
      <c r="G654" s="3" t="str">
        <f aca="false">INDEX(Produtos!$B$2:$B$11,MATCH(F654,Produtos!$A$2:$A$11,0))&amp;" "&amp;INDEX(Produtos!$C$2:$C$11,MATCH(F654,Produtos!$A$2:$A$11,0))</f>
        <v>Controle de Videogame Xbox</v>
      </c>
      <c r="H654" s="2" t="n">
        <v>1</v>
      </c>
      <c r="I654" s="5" t="n">
        <f aca="false">INDEX(Produtos!$D$2:$D$11,MATCH(F654,Produtos!$A$2:$A$11,0))</f>
        <v>349.9</v>
      </c>
      <c r="J654" s="5" t="n">
        <f aca="false">H654*I654</f>
        <v>349.9</v>
      </c>
      <c r="K654" s="5" t="n">
        <f aca="false">INDEX(Produtos!$E$2:$E$11,MATCH(F654,Produtos!$A$2:$A$11,0))</f>
        <v>215</v>
      </c>
      <c r="L654" s="5" t="n">
        <f aca="false">H654*K654</f>
        <v>215</v>
      </c>
    </row>
    <row r="655" customFormat="false" ht="15" hidden="false" customHeight="false" outlineLevel="0" collapsed="false">
      <c r="A655" s="2" t="s">
        <v>937</v>
      </c>
      <c r="B655" s="8" t="n">
        <v>46078</v>
      </c>
      <c r="C655" s="2" t="s">
        <v>193</v>
      </c>
      <c r="D655" s="3" t="str">
        <f aca="false">INDEX(Vendedores!$C$2:$C$101,MATCH(C655,Vendedores!$A$2:$A$101,0))</f>
        <v>L08</v>
      </c>
      <c r="E655" s="3" t="str">
        <f aca="false">INDEX(Lojas!$E$2:$E$11,MATCH(D655,Lojas!$A$2:$A$11,0))</f>
        <v>Nordeste</v>
      </c>
      <c r="F655" s="2" t="s">
        <v>270</v>
      </c>
      <c r="G655" s="3" t="str">
        <f aca="false">INDEX(Produtos!$B$2:$B$11,MATCH(F655,Produtos!$A$2:$A$11,0))&amp;" "&amp;INDEX(Produtos!$C$2:$C$11,MATCH(F655,Produtos!$A$2:$A$11,0))</f>
        <v>Controle de Videogame Xbox</v>
      </c>
      <c r="H655" s="2" t="n">
        <v>2</v>
      </c>
      <c r="I655" s="5" t="n">
        <f aca="false">INDEX(Produtos!$D$2:$D$11,MATCH(F655,Produtos!$A$2:$A$11,0))</f>
        <v>349.9</v>
      </c>
      <c r="J655" s="5" t="n">
        <f aca="false">H655*I655</f>
        <v>699.8</v>
      </c>
      <c r="K655" s="5" t="n">
        <f aca="false">INDEX(Produtos!$E$2:$E$11,MATCH(F655,Produtos!$A$2:$A$11,0))</f>
        <v>215</v>
      </c>
      <c r="L655" s="5" t="n">
        <f aca="false">H655*K655</f>
        <v>430</v>
      </c>
    </row>
    <row r="656" customFormat="false" ht="15" hidden="false" customHeight="false" outlineLevel="0" collapsed="false">
      <c r="A656" s="2" t="s">
        <v>938</v>
      </c>
      <c r="B656" s="8" t="n">
        <v>46078</v>
      </c>
      <c r="C656" s="2" t="s">
        <v>221</v>
      </c>
      <c r="D656" s="3" t="str">
        <f aca="false">INDEX(Vendedores!$C$2:$C$101,MATCH(C656,Vendedores!$A$2:$A$101,0))</f>
        <v>L09</v>
      </c>
      <c r="E656" s="3" t="str">
        <f aca="false">INDEX(Lojas!$E$2:$E$11,MATCH(D656,Lojas!$A$2:$A$11,0))</f>
        <v>Nordeste</v>
      </c>
      <c r="F656" s="2" t="s">
        <v>255</v>
      </c>
      <c r="G656" s="3" t="str">
        <f aca="false">INDEX(Produtos!$B$2:$B$11,MATCH(F656,Produtos!$A$2:$A$11,0))&amp;" "&amp;INDEX(Produtos!$C$2:$C$11,MATCH(F656,Produtos!$A$2:$A$11,0))</f>
        <v>Notebook Positivo</v>
      </c>
      <c r="H656" s="2" t="n">
        <v>2</v>
      </c>
      <c r="I656" s="5" t="n">
        <f aca="false">INDEX(Produtos!$D$2:$D$11,MATCH(F656,Produtos!$A$2:$A$11,0))</f>
        <v>2199</v>
      </c>
      <c r="J656" s="5" t="n">
        <f aca="false">H656*I656</f>
        <v>4398</v>
      </c>
      <c r="K656" s="5" t="n">
        <f aca="false">INDEX(Produtos!$E$2:$E$11,MATCH(F656,Produtos!$A$2:$A$11,0))</f>
        <v>1550</v>
      </c>
      <c r="L656" s="5" t="n">
        <f aca="false">H656*K656</f>
        <v>3100</v>
      </c>
    </row>
    <row r="657" customFormat="false" ht="15" hidden="false" customHeight="false" outlineLevel="0" collapsed="false">
      <c r="A657" s="2" t="s">
        <v>939</v>
      </c>
      <c r="B657" s="8" t="n">
        <v>46078</v>
      </c>
      <c r="C657" s="2" t="s">
        <v>191</v>
      </c>
      <c r="D657" s="3" t="str">
        <f aca="false">INDEX(Vendedores!$C$2:$C$101,MATCH(C657,Vendedores!$A$2:$A$101,0))</f>
        <v>L08</v>
      </c>
      <c r="E657" s="3" t="str">
        <f aca="false">INDEX(Lojas!$E$2:$E$11,MATCH(D657,Lojas!$A$2:$A$11,0))</f>
        <v>Nordeste</v>
      </c>
      <c r="F657" s="2" t="s">
        <v>273</v>
      </c>
      <c r="G657" s="3" t="str">
        <f aca="false">INDEX(Produtos!$B$2:$B$11,MATCH(F657,Produtos!$A$2:$A$11,0))&amp;" "&amp;INDEX(Produtos!$C$2:$C$11,MATCH(F657,Produtos!$A$2:$A$11,0))</f>
        <v>Controle de Videogame PS4</v>
      </c>
      <c r="H657" s="2" t="n">
        <v>1</v>
      </c>
      <c r="I657" s="5" t="n">
        <f aca="false">INDEX(Produtos!$D$2:$D$11,MATCH(F657,Produtos!$A$2:$A$11,0))</f>
        <v>299.9</v>
      </c>
      <c r="J657" s="5" t="n">
        <f aca="false">H657*I657</f>
        <v>299.9</v>
      </c>
      <c r="K657" s="5" t="n">
        <f aca="false">INDEX(Produtos!$E$2:$E$11,MATCH(F657,Produtos!$A$2:$A$11,0))</f>
        <v>175</v>
      </c>
      <c r="L657" s="5" t="n">
        <f aca="false">H657*K657</f>
        <v>175</v>
      </c>
    </row>
    <row r="658" customFormat="false" ht="15" hidden="false" customHeight="false" outlineLevel="0" collapsed="false">
      <c r="A658" s="2" t="s">
        <v>940</v>
      </c>
      <c r="B658" s="8" t="n">
        <v>46078</v>
      </c>
      <c r="C658" s="2" t="s">
        <v>120</v>
      </c>
      <c r="D658" s="3" t="str">
        <f aca="false">INDEX(Vendedores!$C$2:$C$101,MATCH(C658,Vendedores!$A$2:$A$101,0))</f>
        <v>L04</v>
      </c>
      <c r="E658" s="3" t="str">
        <f aca="false">INDEX(Lojas!$E$2:$E$11,MATCH(D658,Lojas!$A$2:$A$11,0))</f>
        <v>Sudeste</v>
      </c>
      <c r="F658" s="2" t="s">
        <v>255</v>
      </c>
      <c r="G658" s="3" t="str">
        <f aca="false">INDEX(Produtos!$B$2:$B$11,MATCH(F658,Produtos!$A$2:$A$11,0))&amp;" "&amp;INDEX(Produtos!$C$2:$C$11,MATCH(F658,Produtos!$A$2:$A$11,0))</f>
        <v>Notebook Positivo</v>
      </c>
      <c r="H658" s="2" t="n">
        <v>1</v>
      </c>
      <c r="I658" s="5" t="n">
        <f aca="false">INDEX(Produtos!$D$2:$D$11,MATCH(F658,Produtos!$A$2:$A$11,0))</f>
        <v>2199</v>
      </c>
      <c r="J658" s="5" t="n">
        <f aca="false">H658*I658</f>
        <v>2199</v>
      </c>
      <c r="K658" s="5" t="n">
        <f aca="false">INDEX(Produtos!$E$2:$E$11,MATCH(F658,Produtos!$A$2:$A$11,0))</f>
        <v>1550</v>
      </c>
      <c r="L658" s="5" t="n">
        <f aca="false">H658*K658</f>
        <v>1550</v>
      </c>
    </row>
    <row r="659" customFormat="false" ht="15" hidden="false" customHeight="false" outlineLevel="0" collapsed="false">
      <c r="A659" s="2" t="s">
        <v>941</v>
      </c>
      <c r="B659" s="8" t="n">
        <v>46078</v>
      </c>
      <c r="C659" s="2" t="s">
        <v>179</v>
      </c>
      <c r="D659" s="3" t="str">
        <f aca="false">INDEX(Vendedores!$C$2:$C$101,MATCH(C659,Vendedores!$A$2:$A$101,0))</f>
        <v>L07</v>
      </c>
      <c r="E659" s="3" t="str">
        <f aca="false">INDEX(Lojas!$E$2:$E$11,MATCH(D659,Lojas!$A$2:$A$11,0))</f>
        <v>Sul</v>
      </c>
      <c r="F659" s="2" t="s">
        <v>270</v>
      </c>
      <c r="G659" s="3" t="str">
        <f aca="false">INDEX(Produtos!$B$2:$B$11,MATCH(F659,Produtos!$A$2:$A$11,0))&amp;" "&amp;INDEX(Produtos!$C$2:$C$11,MATCH(F659,Produtos!$A$2:$A$11,0))</f>
        <v>Controle de Videogame Xbox</v>
      </c>
      <c r="H659" s="2" t="n">
        <v>3</v>
      </c>
      <c r="I659" s="5" t="n">
        <f aca="false">INDEX(Produtos!$D$2:$D$11,MATCH(F659,Produtos!$A$2:$A$11,0))</f>
        <v>349.9</v>
      </c>
      <c r="J659" s="5" t="n">
        <f aca="false">H659*I659</f>
        <v>1049.7</v>
      </c>
      <c r="K659" s="5" t="n">
        <f aca="false">INDEX(Produtos!$E$2:$E$11,MATCH(F659,Produtos!$A$2:$A$11,0))</f>
        <v>215</v>
      </c>
      <c r="L659" s="5" t="n">
        <f aca="false">H659*K659</f>
        <v>645</v>
      </c>
    </row>
    <row r="660" customFormat="false" ht="15" hidden="false" customHeight="false" outlineLevel="0" collapsed="false">
      <c r="A660" s="2" t="s">
        <v>942</v>
      </c>
      <c r="B660" s="8" t="n">
        <v>46078</v>
      </c>
      <c r="C660" s="2" t="s">
        <v>185</v>
      </c>
      <c r="D660" s="3" t="str">
        <f aca="false">INDEX(Vendedores!$C$2:$C$101,MATCH(C660,Vendedores!$A$2:$A$101,0))</f>
        <v>L08</v>
      </c>
      <c r="E660" s="3" t="str">
        <f aca="false">INDEX(Lojas!$E$2:$E$11,MATCH(D660,Lojas!$A$2:$A$11,0))</f>
        <v>Nordeste</v>
      </c>
      <c r="F660" s="2" t="s">
        <v>260</v>
      </c>
      <c r="G660" s="3" t="str">
        <f aca="false">INDEX(Produtos!$B$2:$B$11,MATCH(F660,Produtos!$A$2:$A$11,0))&amp;" "&amp;INDEX(Produtos!$C$2:$C$11,MATCH(F660,Produtos!$A$2:$A$11,0))</f>
        <v>Celular Motorola</v>
      </c>
      <c r="H660" s="2" t="n">
        <v>1</v>
      </c>
      <c r="I660" s="5" t="n">
        <f aca="false">INDEX(Produtos!$D$2:$D$11,MATCH(F660,Produtos!$A$2:$A$11,0))</f>
        <v>1799</v>
      </c>
      <c r="J660" s="5" t="n">
        <f aca="false">H660*I660</f>
        <v>1799</v>
      </c>
      <c r="K660" s="5" t="n">
        <f aca="false">INDEX(Produtos!$E$2:$E$11,MATCH(F660,Produtos!$A$2:$A$11,0))</f>
        <v>1250</v>
      </c>
      <c r="L660" s="5" t="n">
        <f aca="false">H660*K660</f>
        <v>1250</v>
      </c>
    </row>
    <row r="661" customFormat="false" ht="15" hidden="false" customHeight="false" outlineLevel="0" collapsed="false">
      <c r="A661" s="2" t="s">
        <v>943</v>
      </c>
      <c r="B661" s="8" t="n">
        <v>46078</v>
      </c>
      <c r="C661" s="2" t="s">
        <v>231</v>
      </c>
      <c r="D661" s="3" t="str">
        <f aca="false">INDEX(Vendedores!$C$2:$C$101,MATCH(C661,Vendedores!$A$2:$A$101,0))</f>
        <v>L10</v>
      </c>
      <c r="E661" s="3" t="str">
        <f aca="false">INDEX(Lojas!$E$2:$E$11,MATCH(D661,Lojas!$A$2:$A$11,0))</f>
        <v>Nordeste</v>
      </c>
      <c r="F661" s="2" t="s">
        <v>257</v>
      </c>
      <c r="G661" s="3" t="str">
        <f aca="false">INDEX(Produtos!$B$2:$B$11,MATCH(F661,Produtos!$A$2:$A$11,0))&amp;" "&amp;INDEX(Produtos!$C$2:$C$11,MATCH(F661,Produtos!$A$2:$A$11,0))</f>
        <v>Celular Samsung</v>
      </c>
      <c r="H661" s="2" t="n">
        <v>1</v>
      </c>
      <c r="I661" s="5" t="n">
        <f aca="false">INDEX(Produtos!$D$2:$D$11,MATCH(F661,Produtos!$A$2:$A$11,0))</f>
        <v>2499</v>
      </c>
      <c r="J661" s="5" t="n">
        <f aca="false">H661*I661</f>
        <v>2499</v>
      </c>
      <c r="K661" s="5" t="n">
        <f aca="false">INDEX(Produtos!$E$2:$E$11,MATCH(F661,Produtos!$A$2:$A$11,0))</f>
        <v>1800</v>
      </c>
      <c r="L661" s="5" t="n">
        <f aca="false">H661*K661</f>
        <v>1800</v>
      </c>
    </row>
    <row r="662" customFormat="false" ht="15" hidden="false" customHeight="false" outlineLevel="0" collapsed="false">
      <c r="A662" s="2" t="s">
        <v>944</v>
      </c>
      <c r="B662" s="8" t="n">
        <v>46078</v>
      </c>
      <c r="C662" s="2" t="s">
        <v>82</v>
      </c>
      <c r="D662" s="3" t="str">
        <f aca="false">INDEX(Vendedores!$C$2:$C$101,MATCH(C662,Vendedores!$A$2:$A$101,0))</f>
        <v>L02</v>
      </c>
      <c r="E662" s="3" t="str">
        <f aca="false">INDEX(Lojas!$E$2:$E$11,MATCH(D662,Lojas!$A$2:$A$11,0))</f>
        <v>Sudeste</v>
      </c>
      <c r="F662" s="2" t="s">
        <v>262</v>
      </c>
      <c r="G662" s="3" t="str">
        <f aca="false">INDEX(Produtos!$B$2:$B$11,MATCH(F662,Produtos!$A$2:$A$11,0))&amp;" "&amp;INDEX(Produtos!$C$2:$C$11,MATCH(F662,Produtos!$A$2:$A$11,0))</f>
        <v>Fone de Ouvido De Celular</v>
      </c>
      <c r="H662" s="2" t="n">
        <v>1</v>
      </c>
      <c r="I662" s="5" t="n">
        <f aca="false">INDEX(Produtos!$D$2:$D$11,MATCH(F662,Produtos!$A$2:$A$11,0))</f>
        <v>59.9</v>
      </c>
      <c r="J662" s="5" t="n">
        <f aca="false">H662*I662</f>
        <v>59.9</v>
      </c>
      <c r="K662" s="5" t="n">
        <f aca="false">INDEX(Produtos!$E$2:$E$11,MATCH(F662,Produtos!$A$2:$A$11,0))</f>
        <v>28</v>
      </c>
      <c r="L662" s="5" t="n">
        <f aca="false">H662*K662</f>
        <v>28</v>
      </c>
    </row>
    <row r="663" customFormat="false" ht="15" hidden="false" customHeight="false" outlineLevel="0" collapsed="false">
      <c r="A663" s="2" t="s">
        <v>945</v>
      </c>
      <c r="B663" s="8" t="n">
        <v>46079</v>
      </c>
      <c r="C663" s="2" t="s">
        <v>160</v>
      </c>
      <c r="D663" s="3" t="str">
        <f aca="false">INDEX(Vendedores!$C$2:$C$101,MATCH(C663,Vendedores!$A$2:$A$101,0))</f>
        <v>L06</v>
      </c>
      <c r="E663" s="3" t="str">
        <f aca="false">INDEX(Lojas!$E$2:$E$11,MATCH(D663,Lojas!$A$2:$A$11,0))</f>
        <v>Sul</v>
      </c>
      <c r="F663" s="2" t="s">
        <v>265</v>
      </c>
      <c r="G663" s="3" t="str">
        <f aca="false">INDEX(Produtos!$B$2:$B$11,MATCH(F663,Produtos!$A$2:$A$11,0))&amp;" "&amp;INDEX(Produtos!$C$2:$C$11,MATCH(F663,Produtos!$A$2:$A$11,0))</f>
        <v>Fone de Ouvido Headset</v>
      </c>
      <c r="H663" s="2" t="n">
        <v>3</v>
      </c>
      <c r="I663" s="5" t="n">
        <f aca="false">INDEX(Produtos!$D$2:$D$11,MATCH(F663,Produtos!$A$2:$A$11,0))</f>
        <v>249.9</v>
      </c>
      <c r="J663" s="5" t="n">
        <f aca="false">H663*I663</f>
        <v>749.7</v>
      </c>
      <c r="K663" s="5" t="n">
        <f aca="false">INDEX(Produtos!$E$2:$E$11,MATCH(F663,Produtos!$A$2:$A$11,0))</f>
        <v>145</v>
      </c>
      <c r="L663" s="5" t="n">
        <f aca="false">H663*K663</f>
        <v>435</v>
      </c>
    </row>
    <row r="664" customFormat="false" ht="15" hidden="false" customHeight="false" outlineLevel="0" collapsed="false">
      <c r="A664" s="2" t="s">
        <v>946</v>
      </c>
      <c r="B664" s="8" t="n">
        <v>46079</v>
      </c>
      <c r="C664" s="2" t="s">
        <v>86</v>
      </c>
      <c r="D664" s="3" t="str">
        <f aca="false">INDEX(Vendedores!$C$2:$C$101,MATCH(C664,Vendedores!$A$2:$A$101,0))</f>
        <v>L02</v>
      </c>
      <c r="E664" s="3" t="str">
        <f aca="false">INDEX(Lojas!$E$2:$E$11,MATCH(D664,Lojas!$A$2:$A$11,0))</f>
        <v>Sudeste</v>
      </c>
      <c r="F664" s="2" t="s">
        <v>252</v>
      </c>
      <c r="G664" s="3" t="str">
        <f aca="false">INDEX(Produtos!$B$2:$B$11,MATCH(F664,Produtos!$A$2:$A$11,0))&amp;" "&amp;INDEX(Produtos!$C$2:$C$11,MATCH(F664,Produtos!$A$2:$A$11,0))</f>
        <v>Notebook Lenovo</v>
      </c>
      <c r="H664" s="2" t="n">
        <v>1</v>
      </c>
      <c r="I664" s="5" t="n">
        <f aca="false">INDEX(Produtos!$D$2:$D$11,MATCH(F664,Produtos!$A$2:$A$11,0))</f>
        <v>3199</v>
      </c>
      <c r="J664" s="5" t="n">
        <f aca="false">H664*I664</f>
        <v>3199</v>
      </c>
      <c r="K664" s="5" t="n">
        <f aca="false">INDEX(Produtos!$E$2:$E$11,MATCH(F664,Produtos!$A$2:$A$11,0))</f>
        <v>2350</v>
      </c>
      <c r="L664" s="5" t="n">
        <f aca="false">H664*K664</f>
        <v>2350</v>
      </c>
    </row>
    <row r="665" customFormat="false" ht="15" hidden="false" customHeight="false" outlineLevel="0" collapsed="false">
      <c r="A665" s="2" t="s">
        <v>947</v>
      </c>
      <c r="B665" s="8" t="n">
        <v>46079</v>
      </c>
      <c r="C665" s="2" t="s">
        <v>116</v>
      </c>
      <c r="D665" s="3" t="str">
        <f aca="false">INDEX(Vendedores!$C$2:$C$101,MATCH(C665,Vendedores!$A$2:$A$101,0))</f>
        <v>L04</v>
      </c>
      <c r="E665" s="3" t="str">
        <f aca="false">INDEX(Lojas!$E$2:$E$11,MATCH(D665,Lojas!$A$2:$A$11,0))</f>
        <v>Sudeste</v>
      </c>
      <c r="F665" s="2" t="s">
        <v>257</v>
      </c>
      <c r="G665" s="3" t="str">
        <f aca="false">INDEX(Produtos!$B$2:$B$11,MATCH(F665,Produtos!$A$2:$A$11,0))&amp;" "&amp;INDEX(Produtos!$C$2:$C$11,MATCH(F665,Produtos!$A$2:$A$11,0))</f>
        <v>Celular Samsung</v>
      </c>
      <c r="H665" s="2" t="n">
        <v>1</v>
      </c>
      <c r="I665" s="5" t="n">
        <f aca="false">INDEX(Produtos!$D$2:$D$11,MATCH(F665,Produtos!$A$2:$A$11,0))</f>
        <v>2499</v>
      </c>
      <c r="J665" s="5" t="n">
        <f aca="false">H665*I665</f>
        <v>2499</v>
      </c>
      <c r="K665" s="5" t="n">
        <f aca="false">INDEX(Produtos!$E$2:$E$11,MATCH(F665,Produtos!$A$2:$A$11,0))</f>
        <v>1800</v>
      </c>
      <c r="L665" s="5" t="n">
        <f aca="false">H665*K665</f>
        <v>1800</v>
      </c>
    </row>
    <row r="666" customFormat="false" ht="15" hidden="false" customHeight="false" outlineLevel="0" collapsed="false">
      <c r="A666" s="2" t="s">
        <v>948</v>
      </c>
      <c r="B666" s="8" t="n">
        <v>46079</v>
      </c>
      <c r="C666" s="2" t="s">
        <v>189</v>
      </c>
      <c r="D666" s="3" t="str">
        <f aca="false">INDEX(Vendedores!$C$2:$C$101,MATCH(C666,Vendedores!$A$2:$A$101,0))</f>
        <v>L08</v>
      </c>
      <c r="E666" s="3" t="str">
        <f aca="false">INDEX(Lojas!$E$2:$E$11,MATCH(D666,Lojas!$A$2:$A$11,0))</f>
        <v>Nordeste</v>
      </c>
      <c r="F666" s="2" t="s">
        <v>267</v>
      </c>
      <c r="G666" s="3" t="str">
        <f aca="false">INDEX(Produtos!$B$2:$B$11,MATCH(F666,Produtos!$A$2:$A$11,0))&amp;" "&amp;INDEX(Produtos!$C$2:$C$11,MATCH(F666,Produtos!$A$2:$A$11,0))</f>
        <v>Carregador de Celular Tipo C</v>
      </c>
      <c r="H666" s="2" t="n">
        <v>1</v>
      </c>
      <c r="I666" s="5" t="n">
        <f aca="false">INDEX(Produtos!$D$2:$D$11,MATCH(F666,Produtos!$A$2:$A$11,0))</f>
        <v>44.9</v>
      </c>
      <c r="J666" s="5" t="n">
        <f aca="false">H666*I666</f>
        <v>44.9</v>
      </c>
      <c r="K666" s="5" t="n">
        <f aca="false">INDEX(Produtos!$E$2:$E$11,MATCH(F666,Produtos!$A$2:$A$11,0))</f>
        <v>18</v>
      </c>
      <c r="L666" s="5" t="n">
        <f aca="false">H666*K666</f>
        <v>18</v>
      </c>
    </row>
    <row r="667" customFormat="false" ht="15" hidden="false" customHeight="false" outlineLevel="0" collapsed="false">
      <c r="A667" s="2" t="s">
        <v>949</v>
      </c>
      <c r="B667" s="8" t="n">
        <v>46079</v>
      </c>
      <c r="C667" s="2" t="s">
        <v>172</v>
      </c>
      <c r="D667" s="3" t="str">
        <f aca="false">INDEX(Vendedores!$C$2:$C$101,MATCH(C667,Vendedores!$A$2:$A$101,0))</f>
        <v>L07</v>
      </c>
      <c r="E667" s="3" t="str">
        <f aca="false">INDEX(Lojas!$E$2:$E$11,MATCH(D667,Lojas!$A$2:$A$11,0))</f>
        <v>Sul</v>
      </c>
      <c r="F667" s="2" t="s">
        <v>262</v>
      </c>
      <c r="G667" s="3" t="str">
        <f aca="false">INDEX(Produtos!$B$2:$B$11,MATCH(F667,Produtos!$A$2:$A$11,0))&amp;" "&amp;INDEX(Produtos!$C$2:$C$11,MATCH(F667,Produtos!$A$2:$A$11,0))</f>
        <v>Fone de Ouvido De Celular</v>
      </c>
      <c r="H667" s="2" t="n">
        <v>1</v>
      </c>
      <c r="I667" s="5" t="n">
        <f aca="false">INDEX(Produtos!$D$2:$D$11,MATCH(F667,Produtos!$A$2:$A$11,0))</f>
        <v>59.9</v>
      </c>
      <c r="J667" s="5" t="n">
        <f aca="false">H667*I667</f>
        <v>59.9</v>
      </c>
      <c r="K667" s="5" t="n">
        <f aca="false">INDEX(Produtos!$E$2:$E$11,MATCH(F667,Produtos!$A$2:$A$11,0))</f>
        <v>28</v>
      </c>
      <c r="L667" s="5" t="n">
        <f aca="false">H667*K667</f>
        <v>28</v>
      </c>
    </row>
    <row r="668" customFormat="false" ht="15" hidden="false" customHeight="false" outlineLevel="0" collapsed="false">
      <c r="A668" s="2" t="s">
        <v>950</v>
      </c>
      <c r="B668" s="8" t="n">
        <v>46079</v>
      </c>
      <c r="C668" s="2" t="s">
        <v>172</v>
      </c>
      <c r="D668" s="3" t="str">
        <f aca="false">INDEX(Vendedores!$C$2:$C$101,MATCH(C668,Vendedores!$A$2:$A$101,0))</f>
        <v>L07</v>
      </c>
      <c r="E668" s="3" t="str">
        <f aca="false">INDEX(Lojas!$E$2:$E$11,MATCH(D668,Lojas!$A$2:$A$11,0))</f>
        <v>Sul</v>
      </c>
      <c r="F668" s="2" t="s">
        <v>267</v>
      </c>
      <c r="G668" s="3" t="str">
        <f aca="false">INDEX(Produtos!$B$2:$B$11,MATCH(F668,Produtos!$A$2:$A$11,0))&amp;" "&amp;INDEX(Produtos!$C$2:$C$11,MATCH(F668,Produtos!$A$2:$A$11,0))</f>
        <v>Carregador de Celular Tipo C</v>
      </c>
      <c r="H668" s="2" t="n">
        <v>1</v>
      </c>
      <c r="I668" s="5" t="n">
        <f aca="false">INDEX(Produtos!$D$2:$D$11,MATCH(F668,Produtos!$A$2:$A$11,0))</f>
        <v>44.9</v>
      </c>
      <c r="J668" s="5" t="n">
        <f aca="false">H668*I668</f>
        <v>44.9</v>
      </c>
      <c r="K668" s="5" t="n">
        <f aca="false">INDEX(Produtos!$E$2:$E$11,MATCH(F668,Produtos!$A$2:$A$11,0))</f>
        <v>18</v>
      </c>
      <c r="L668" s="5" t="n">
        <f aca="false">H668*K668</f>
        <v>18</v>
      </c>
    </row>
    <row r="669" customFormat="false" ht="15" hidden="false" customHeight="false" outlineLevel="0" collapsed="false">
      <c r="A669" s="2" t="s">
        <v>951</v>
      </c>
      <c r="B669" s="8" t="n">
        <v>46080</v>
      </c>
      <c r="C669" s="2" t="s">
        <v>108</v>
      </c>
      <c r="D669" s="3" t="str">
        <f aca="false">INDEX(Vendedores!$C$2:$C$101,MATCH(C669,Vendedores!$A$2:$A$101,0))</f>
        <v>L03</v>
      </c>
      <c r="E669" s="3" t="str">
        <f aca="false">INDEX(Lojas!$E$2:$E$11,MATCH(D669,Lojas!$A$2:$A$11,0))</f>
        <v>Sudeste</v>
      </c>
      <c r="F669" s="2" t="s">
        <v>273</v>
      </c>
      <c r="G669" s="3" t="str">
        <f aca="false">INDEX(Produtos!$B$2:$B$11,MATCH(F669,Produtos!$A$2:$A$11,0))&amp;" "&amp;INDEX(Produtos!$C$2:$C$11,MATCH(F669,Produtos!$A$2:$A$11,0))</f>
        <v>Controle de Videogame PS4</v>
      </c>
      <c r="H669" s="2" t="n">
        <v>1</v>
      </c>
      <c r="I669" s="5" t="n">
        <f aca="false">INDEX(Produtos!$D$2:$D$11,MATCH(F669,Produtos!$A$2:$A$11,0))</f>
        <v>299.9</v>
      </c>
      <c r="J669" s="5" t="n">
        <f aca="false">H669*I669</f>
        <v>299.9</v>
      </c>
      <c r="K669" s="5" t="n">
        <f aca="false">INDEX(Produtos!$E$2:$E$11,MATCH(F669,Produtos!$A$2:$A$11,0))</f>
        <v>175</v>
      </c>
      <c r="L669" s="5" t="n">
        <f aca="false">H669*K669</f>
        <v>175</v>
      </c>
    </row>
    <row r="670" customFormat="false" ht="15" hidden="false" customHeight="false" outlineLevel="0" collapsed="false">
      <c r="A670" s="2" t="s">
        <v>952</v>
      </c>
      <c r="B670" s="8" t="n">
        <v>46080</v>
      </c>
      <c r="C670" s="2" t="s">
        <v>66</v>
      </c>
      <c r="D670" s="3" t="str">
        <f aca="false">INDEX(Vendedores!$C$2:$C$101,MATCH(C670,Vendedores!$A$2:$A$101,0))</f>
        <v>L01</v>
      </c>
      <c r="E670" s="3" t="str">
        <f aca="false">INDEX(Lojas!$E$2:$E$11,MATCH(D670,Lojas!$A$2:$A$11,0))</f>
        <v>Sudeste</v>
      </c>
      <c r="F670" s="2" t="s">
        <v>257</v>
      </c>
      <c r="G670" s="3" t="str">
        <f aca="false">INDEX(Produtos!$B$2:$B$11,MATCH(F670,Produtos!$A$2:$A$11,0))&amp;" "&amp;INDEX(Produtos!$C$2:$C$11,MATCH(F670,Produtos!$A$2:$A$11,0))</f>
        <v>Celular Samsung</v>
      </c>
      <c r="H670" s="2" t="n">
        <v>2</v>
      </c>
      <c r="I670" s="5" t="n">
        <f aca="false">INDEX(Produtos!$D$2:$D$11,MATCH(F670,Produtos!$A$2:$A$11,0))</f>
        <v>2499</v>
      </c>
      <c r="J670" s="5" t="n">
        <f aca="false">H670*I670</f>
        <v>4998</v>
      </c>
      <c r="K670" s="5" t="n">
        <f aca="false">INDEX(Produtos!$E$2:$E$11,MATCH(F670,Produtos!$A$2:$A$11,0))</f>
        <v>1800</v>
      </c>
      <c r="L670" s="5" t="n">
        <f aca="false">H670*K670</f>
        <v>3600</v>
      </c>
    </row>
    <row r="671" customFormat="false" ht="15" hidden="false" customHeight="false" outlineLevel="0" collapsed="false">
      <c r="A671" s="2" t="s">
        <v>953</v>
      </c>
      <c r="B671" s="8" t="n">
        <v>46080</v>
      </c>
      <c r="C671" s="2" t="s">
        <v>172</v>
      </c>
      <c r="D671" s="3" t="str">
        <f aca="false">INDEX(Vendedores!$C$2:$C$101,MATCH(C671,Vendedores!$A$2:$A$101,0))</f>
        <v>L07</v>
      </c>
      <c r="E671" s="3" t="str">
        <f aca="false">INDEX(Lojas!$E$2:$E$11,MATCH(D671,Lojas!$A$2:$A$11,0))</f>
        <v>Sul</v>
      </c>
      <c r="F671" s="2" t="s">
        <v>260</v>
      </c>
      <c r="G671" s="3" t="str">
        <f aca="false">INDEX(Produtos!$B$2:$B$11,MATCH(F671,Produtos!$A$2:$A$11,0))&amp;" "&amp;INDEX(Produtos!$C$2:$C$11,MATCH(F671,Produtos!$A$2:$A$11,0))</f>
        <v>Celular Motorola</v>
      </c>
      <c r="H671" s="2" t="n">
        <v>1</v>
      </c>
      <c r="I671" s="5" t="n">
        <f aca="false">INDEX(Produtos!$D$2:$D$11,MATCH(F671,Produtos!$A$2:$A$11,0))</f>
        <v>1799</v>
      </c>
      <c r="J671" s="5" t="n">
        <f aca="false">H671*I671</f>
        <v>1799</v>
      </c>
      <c r="K671" s="5" t="n">
        <f aca="false">INDEX(Produtos!$E$2:$E$11,MATCH(F671,Produtos!$A$2:$A$11,0))</f>
        <v>1250</v>
      </c>
      <c r="L671" s="5" t="n">
        <f aca="false">H671*K671</f>
        <v>1250</v>
      </c>
    </row>
    <row r="672" customFormat="false" ht="15" hidden="false" customHeight="false" outlineLevel="0" collapsed="false">
      <c r="A672" s="2" t="s">
        <v>954</v>
      </c>
      <c r="B672" s="8" t="n">
        <v>46080</v>
      </c>
      <c r="C672" s="2" t="s">
        <v>197</v>
      </c>
      <c r="D672" s="3" t="str">
        <f aca="false">INDEX(Vendedores!$C$2:$C$101,MATCH(C672,Vendedores!$A$2:$A$101,0))</f>
        <v>L08</v>
      </c>
      <c r="E672" s="3" t="str">
        <f aca="false">INDEX(Lojas!$E$2:$E$11,MATCH(D672,Lojas!$A$2:$A$11,0))</f>
        <v>Nordeste</v>
      </c>
      <c r="F672" s="2" t="s">
        <v>255</v>
      </c>
      <c r="G672" s="3" t="str">
        <f aca="false">INDEX(Produtos!$B$2:$B$11,MATCH(F672,Produtos!$A$2:$A$11,0))&amp;" "&amp;INDEX(Produtos!$C$2:$C$11,MATCH(F672,Produtos!$A$2:$A$11,0))</f>
        <v>Notebook Positivo</v>
      </c>
      <c r="H672" s="2" t="n">
        <v>3</v>
      </c>
      <c r="I672" s="5" t="n">
        <f aca="false">INDEX(Produtos!$D$2:$D$11,MATCH(F672,Produtos!$A$2:$A$11,0))</f>
        <v>2199</v>
      </c>
      <c r="J672" s="5" t="n">
        <f aca="false">H672*I672</f>
        <v>6597</v>
      </c>
      <c r="K672" s="5" t="n">
        <f aca="false">INDEX(Produtos!$E$2:$E$11,MATCH(F672,Produtos!$A$2:$A$11,0))</f>
        <v>1550</v>
      </c>
      <c r="L672" s="5" t="n">
        <f aca="false">H672*K672</f>
        <v>4650</v>
      </c>
    </row>
    <row r="673" customFormat="false" ht="15" hidden="false" customHeight="false" outlineLevel="0" collapsed="false">
      <c r="A673" s="2" t="s">
        <v>955</v>
      </c>
      <c r="B673" s="8" t="n">
        <v>46080</v>
      </c>
      <c r="C673" s="2" t="s">
        <v>231</v>
      </c>
      <c r="D673" s="3" t="str">
        <f aca="false">INDEX(Vendedores!$C$2:$C$101,MATCH(C673,Vendedores!$A$2:$A$101,0))</f>
        <v>L10</v>
      </c>
      <c r="E673" s="3" t="str">
        <f aca="false">INDEX(Lojas!$E$2:$E$11,MATCH(D673,Lojas!$A$2:$A$11,0))</f>
        <v>Nordeste</v>
      </c>
      <c r="F673" s="2" t="s">
        <v>275</v>
      </c>
      <c r="G673" s="3" t="str">
        <f aca="false">INDEX(Produtos!$B$2:$B$11,MATCH(F673,Produtos!$A$2:$A$11,0))&amp;" "&amp;INDEX(Produtos!$C$2:$C$11,MATCH(F673,Produtos!$A$2:$A$11,0))</f>
        <v>Controle de Videogame PS5</v>
      </c>
      <c r="H673" s="2" t="n">
        <v>3</v>
      </c>
      <c r="I673" s="5" t="n">
        <f aca="false">INDEX(Produtos!$D$2:$D$11,MATCH(F673,Produtos!$A$2:$A$11,0))</f>
        <v>379.9</v>
      </c>
      <c r="J673" s="5" t="n">
        <f aca="false">H673*I673</f>
        <v>1139.7</v>
      </c>
      <c r="K673" s="5" t="n">
        <f aca="false">INDEX(Produtos!$E$2:$E$11,MATCH(F673,Produtos!$A$2:$A$11,0))</f>
        <v>235</v>
      </c>
      <c r="L673" s="5" t="n">
        <f aca="false">H673*K673</f>
        <v>705</v>
      </c>
    </row>
    <row r="674" customFormat="false" ht="15" hidden="false" customHeight="false" outlineLevel="0" collapsed="false">
      <c r="A674" s="2" t="s">
        <v>956</v>
      </c>
      <c r="B674" s="8" t="n">
        <v>46080</v>
      </c>
      <c r="C674" s="2" t="s">
        <v>182</v>
      </c>
      <c r="D674" s="3" t="str">
        <f aca="false">INDEX(Vendedores!$C$2:$C$101,MATCH(C674,Vendedores!$A$2:$A$101,0))</f>
        <v>L07</v>
      </c>
      <c r="E674" s="3" t="str">
        <f aca="false">INDEX(Lojas!$E$2:$E$11,MATCH(D674,Lojas!$A$2:$A$11,0))</f>
        <v>Sul</v>
      </c>
      <c r="F674" s="2" t="s">
        <v>275</v>
      </c>
      <c r="G674" s="3" t="str">
        <f aca="false">INDEX(Produtos!$B$2:$B$11,MATCH(F674,Produtos!$A$2:$A$11,0))&amp;" "&amp;INDEX(Produtos!$C$2:$C$11,MATCH(F674,Produtos!$A$2:$A$11,0))</f>
        <v>Controle de Videogame PS5</v>
      </c>
      <c r="H674" s="2" t="n">
        <v>1</v>
      </c>
      <c r="I674" s="5" t="n">
        <f aca="false">INDEX(Produtos!$D$2:$D$11,MATCH(F674,Produtos!$A$2:$A$11,0))</f>
        <v>379.9</v>
      </c>
      <c r="J674" s="5" t="n">
        <f aca="false">H674*I674</f>
        <v>379.9</v>
      </c>
      <c r="K674" s="5" t="n">
        <f aca="false">INDEX(Produtos!$E$2:$E$11,MATCH(F674,Produtos!$A$2:$A$11,0))</f>
        <v>235</v>
      </c>
      <c r="L674" s="5" t="n">
        <f aca="false">H674*K674</f>
        <v>235</v>
      </c>
    </row>
    <row r="675" customFormat="false" ht="15" hidden="false" customHeight="false" outlineLevel="0" collapsed="false">
      <c r="A675" s="2" t="s">
        <v>957</v>
      </c>
      <c r="B675" s="8" t="n">
        <v>46080</v>
      </c>
      <c r="C675" s="2" t="s">
        <v>195</v>
      </c>
      <c r="D675" s="3" t="str">
        <f aca="false">INDEX(Vendedores!$C$2:$C$101,MATCH(C675,Vendedores!$A$2:$A$101,0))</f>
        <v>L08</v>
      </c>
      <c r="E675" s="3" t="str">
        <f aca="false">INDEX(Lojas!$E$2:$E$11,MATCH(D675,Lojas!$A$2:$A$11,0))</f>
        <v>Nordeste</v>
      </c>
      <c r="F675" s="2" t="s">
        <v>262</v>
      </c>
      <c r="G675" s="3" t="str">
        <f aca="false">INDEX(Produtos!$B$2:$B$11,MATCH(F675,Produtos!$A$2:$A$11,0))&amp;" "&amp;INDEX(Produtos!$C$2:$C$11,MATCH(F675,Produtos!$A$2:$A$11,0))</f>
        <v>Fone de Ouvido De Celular</v>
      </c>
      <c r="H675" s="2" t="n">
        <v>2</v>
      </c>
      <c r="I675" s="5" t="n">
        <f aca="false">INDEX(Produtos!$D$2:$D$11,MATCH(F675,Produtos!$A$2:$A$11,0))</f>
        <v>59.9</v>
      </c>
      <c r="J675" s="5" t="n">
        <f aca="false">H675*I675</f>
        <v>119.8</v>
      </c>
      <c r="K675" s="5" t="n">
        <f aca="false">INDEX(Produtos!$E$2:$E$11,MATCH(F675,Produtos!$A$2:$A$11,0))</f>
        <v>28</v>
      </c>
      <c r="L675" s="5" t="n">
        <f aca="false">H675*K675</f>
        <v>56</v>
      </c>
    </row>
    <row r="676" customFormat="false" ht="15" hidden="false" customHeight="false" outlineLevel="0" collapsed="false">
      <c r="A676" s="2" t="s">
        <v>958</v>
      </c>
      <c r="B676" s="8" t="n">
        <v>46080</v>
      </c>
      <c r="C676" s="2" t="s">
        <v>74</v>
      </c>
      <c r="D676" s="3" t="str">
        <f aca="false">INDEX(Vendedores!$C$2:$C$101,MATCH(C676,Vendedores!$A$2:$A$101,0))</f>
        <v>L02</v>
      </c>
      <c r="E676" s="3" t="str">
        <f aca="false">INDEX(Lojas!$E$2:$E$11,MATCH(D676,Lojas!$A$2:$A$11,0))</f>
        <v>Sudeste</v>
      </c>
      <c r="F676" s="2" t="s">
        <v>267</v>
      </c>
      <c r="G676" s="3" t="str">
        <f aca="false">INDEX(Produtos!$B$2:$B$11,MATCH(F676,Produtos!$A$2:$A$11,0))&amp;" "&amp;INDEX(Produtos!$C$2:$C$11,MATCH(F676,Produtos!$A$2:$A$11,0))</f>
        <v>Carregador de Celular Tipo C</v>
      </c>
      <c r="H676" s="2" t="n">
        <v>1</v>
      </c>
      <c r="I676" s="5" t="n">
        <f aca="false">INDEX(Produtos!$D$2:$D$11,MATCH(F676,Produtos!$A$2:$A$11,0))</f>
        <v>44.9</v>
      </c>
      <c r="J676" s="5" t="n">
        <f aca="false">H676*I676</f>
        <v>44.9</v>
      </c>
      <c r="K676" s="5" t="n">
        <f aca="false">INDEX(Produtos!$E$2:$E$11,MATCH(F676,Produtos!$A$2:$A$11,0))</f>
        <v>18</v>
      </c>
      <c r="L676" s="5" t="n">
        <f aca="false">H676*K676</f>
        <v>18</v>
      </c>
    </row>
    <row r="677" customFormat="false" ht="15" hidden="false" customHeight="false" outlineLevel="0" collapsed="false">
      <c r="A677" s="2" t="s">
        <v>959</v>
      </c>
      <c r="B677" s="8" t="n">
        <v>46080</v>
      </c>
      <c r="C677" s="2" t="s">
        <v>116</v>
      </c>
      <c r="D677" s="3" t="str">
        <f aca="false">INDEX(Vendedores!$C$2:$C$101,MATCH(C677,Vendedores!$A$2:$A$101,0))</f>
        <v>L04</v>
      </c>
      <c r="E677" s="3" t="str">
        <f aca="false">INDEX(Lojas!$E$2:$E$11,MATCH(D677,Lojas!$A$2:$A$11,0))</f>
        <v>Sudeste</v>
      </c>
      <c r="F677" s="2" t="s">
        <v>257</v>
      </c>
      <c r="G677" s="3" t="str">
        <f aca="false">INDEX(Produtos!$B$2:$B$11,MATCH(F677,Produtos!$A$2:$A$11,0))&amp;" "&amp;INDEX(Produtos!$C$2:$C$11,MATCH(F677,Produtos!$A$2:$A$11,0))</f>
        <v>Celular Samsung</v>
      </c>
      <c r="H677" s="2" t="n">
        <v>1</v>
      </c>
      <c r="I677" s="5" t="n">
        <f aca="false">INDEX(Produtos!$D$2:$D$11,MATCH(F677,Produtos!$A$2:$A$11,0))</f>
        <v>2499</v>
      </c>
      <c r="J677" s="5" t="n">
        <f aca="false">H677*I677</f>
        <v>2499</v>
      </c>
      <c r="K677" s="5" t="n">
        <f aca="false">INDEX(Produtos!$E$2:$E$11,MATCH(F677,Produtos!$A$2:$A$11,0))</f>
        <v>1800</v>
      </c>
      <c r="L677" s="5" t="n">
        <f aca="false">H677*K677</f>
        <v>1800</v>
      </c>
    </row>
    <row r="678" customFormat="false" ht="15" hidden="false" customHeight="false" outlineLevel="0" collapsed="false">
      <c r="A678" s="2" t="s">
        <v>960</v>
      </c>
      <c r="B678" s="8" t="n">
        <v>46080</v>
      </c>
      <c r="C678" s="2" t="s">
        <v>239</v>
      </c>
      <c r="D678" s="3" t="str">
        <f aca="false">INDEX(Vendedores!$C$2:$C$101,MATCH(C678,Vendedores!$A$2:$A$101,0))</f>
        <v>L10</v>
      </c>
      <c r="E678" s="3" t="str">
        <f aca="false">INDEX(Lojas!$E$2:$E$11,MATCH(D678,Lojas!$A$2:$A$11,0))</f>
        <v>Nordeste</v>
      </c>
      <c r="F678" s="2" t="s">
        <v>260</v>
      </c>
      <c r="G678" s="3" t="str">
        <f aca="false">INDEX(Produtos!$B$2:$B$11,MATCH(F678,Produtos!$A$2:$A$11,0))&amp;" "&amp;INDEX(Produtos!$C$2:$C$11,MATCH(F678,Produtos!$A$2:$A$11,0))</f>
        <v>Celular Motorola</v>
      </c>
      <c r="H678" s="2" t="n">
        <v>1</v>
      </c>
      <c r="I678" s="5" t="n">
        <f aca="false">INDEX(Produtos!$D$2:$D$11,MATCH(F678,Produtos!$A$2:$A$11,0))</f>
        <v>1799</v>
      </c>
      <c r="J678" s="5" t="n">
        <f aca="false">H678*I678</f>
        <v>1799</v>
      </c>
      <c r="K678" s="5" t="n">
        <f aca="false">INDEX(Produtos!$E$2:$E$11,MATCH(F678,Produtos!$A$2:$A$11,0))</f>
        <v>1250</v>
      </c>
      <c r="L678" s="5" t="n">
        <f aca="false">H678*K678</f>
        <v>1250</v>
      </c>
    </row>
    <row r="679" customFormat="false" ht="15" hidden="false" customHeight="false" outlineLevel="0" collapsed="false">
      <c r="A679" s="2" t="s">
        <v>961</v>
      </c>
      <c r="B679" s="8" t="n">
        <v>46080</v>
      </c>
      <c r="C679" s="2" t="s">
        <v>160</v>
      </c>
      <c r="D679" s="3" t="str">
        <f aca="false">INDEX(Vendedores!$C$2:$C$101,MATCH(C679,Vendedores!$A$2:$A$101,0))</f>
        <v>L06</v>
      </c>
      <c r="E679" s="3" t="str">
        <f aca="false">INDEX(Lojas!$E$2:$E$11,MATCH(D679,Lojas!$A$2:$A$11,0))</f>
        <v>Sul</v>
      </c>
      <c r="F679" s="2" t="s">
        <v>257</v>
      </c>
      <c r="G679" s="3" t="str">
        <f aca="false">INDEX(Produtos!$B$2:$B$11,MATCH(F679,Produtos!$A$2:$A$11,0))&amp;" "&amp;INDEX(Produtos!$C$2:$C$11,MATCH(F679,Produtos!$A$2:$A$11,0))</f>
        <v>Celular Samsung</v>
      </c>
      <c r="H679" s="2" t="n">
        <v>1</v>
      </c>
      <c r="I679" s="5" t="n">
        <f aca="false">INDEX(Produtos!$D$2:$D$11,MATCH(F679,Produtos!$A$2:$A$11,0))</f>
        <v>2499</v>
      </c>
      <c r="J679" s="5" t="n">
        <f aca="false">H679*I679</f>
        <v>2499</v>
      </c>
      <c r="K679" s="5" t="n">
        <f aca="false">INDEX(Produtos!$E$2:$E$11,MATCH(F679,Produtos!$A$2:$A$11,0))</f>
        <v>1800</v>
      </c>
      <c r="L679" s="5" t="n">
        <f aca="false">H679*K679</f>
        <v>1800</v>
      </c>
    </row>
    <row r="680" customFormat="false" ht="15" hidden="false" customHeight="false" outlineLevel="0" collapsed="false">
      <c r="A680" s="2" t="s">
        <v>962</v>
      </c>
      <c r="B680" s="8" t="n">
        <v>46080</v>
      </c>
      <c r="C680" s="2" t="s">
        <v>124</v>
      </c>
      <c r="D680" s="3" t="str">
        <f aca="false">INDEX(Vendedores!$C$2:$C$101,MATCH(C680,Vendedores!$A$2:$A$101,0))</f>
        <v>L04</v>
      </c>
      <c r="E680" s="3" t="str">
        <f aca="false">INDEX(Lojas!$E$2:$E$11,MATCH(D680,Lojas!$A$2:$A$11,0))</f>
        <v>Sudeste</v>
      </c>
      <c r="F680" s="2" t="s">
        <v>260</v>
      </c>
      <c r="G680" s="3" t="str">
        <f aca="false">INDEX(Produtos!$B$2:$B$11,MATCH(F680,Produtos!$A$2:$A$11,0))&amp;" "&amp;INDEX(Produtos!$C$2:$C$11,MATCH(F680,Produtos!$A$2:$A$11,0))</f>
        <v>Celular Motorola</v>
      </c>
      <c r="H680" s="2" t="n">
        <v>1</v>
      </c>
      <c r="I680" s="5" t="n">
        <f aca="false">INDEX(Produtos!$D$2:$D$11,MATCH(F680,Produtos!$A$2:$A$11,0))</f>
        <v>1799</v>
      </c>
      <c r="J680" s="5" t="n">
        <f aca="false">H680*I680</f>
        <v>1799</v>
      </c>
      <c r="K680" s="5" t="n">
        <f aca="false">INDEX(Produtos!$E$2:$E$11,MATCH(F680,Produtos!$A$2:$A$11,0))</f>
        <v>1250</v>
      </c>
      <c r="L680" s="5" t="n">
        <f aca="false">H680*K680</f>
        <v>1250</v>
      </c>
    </row>
    <row r="681" customFormat="false" ht="15" hidden="false" customHeight="false" outlineLevel="0" collapsed="false">
      <c r="A681" s="2" t="s">
        <v>963</v>
      </c>
      <c r="B681" s="8" t="n">
        <v>46080</v>
      </c>
      <c r="C681" s="2" t="s">
        <v>209</v>
      </c>
      <c r="D681" s="3" t="str">
        <f aca="false">INDEX(Vendedores!$C$2:$C$101,MATCH(C681,Vendedores!$A$2:$A$101,0))</f>
        <v>L09</v>
      </c>
      <c r="E681" s="3" t="str">
        <f aca="false">INDEX(Lojas!$E$2:$E$11,MATCH(D681,Lojas!$A$2:$A$11,0))</f>
        <v>Nordeste</v>
      </c>
      <c r="F681" s="2" t="s">
        <v>273</v>
      </c>
      <c r="G681" s="3" t="str">
        <f aca="false">INDEX(Produtos!$B$2:$B$11,MATCH(F681,Produtos!$A$2:$A$11,0))&amp;" "&amp;INDEX(Produtos!$C$2:$C$11,MATCH(F681,Produtos!$A$2:$A$11,0))</f>
        <v>Controle de Videogame PS4</v>
      </c>
      <c r="H681" s="2" t="n">
        <v>1</v>
      </c>
      <c r="I681" s="5" t="n">
        <f aca="false">INDEX(Produtos!$D$2:$D$11,MATCH(F681,Produtos!$A$2:$A$11,0))</f>
        <v>299.9</v>
      </c>
      <c r="J681" s="5" t="n">
        <f aca="false">H681*I681</f>
        <v>299.9</v>
      </c>
      <c r="K681" s="5" t="n">
        <f aca="false">INDEX(Produtos!$E$2:$E$11,MATCH(F681,Produtos!$A$2:$A$11,0))</f>
        <v>175</v>
      </c>
      <c r="L681" s="5" t="n">
        <f aca="false">H681*K681</f>
        <v>175</v>
      </c>
    </row>
    <row r="682" customFormat="false" ht="15" hidden="false" customHeight="false" outlineLevel="0" collapsed="false">
      <c r="A682" s="2" t="s">
        <v>964</v>
      </c>
      <c r="B682" s="8" t="n">
        <v>46080</v>
      </c>
      <c r="C682" s="2" t="s">
        <v>144</v>
      </c>
      <c r="D682" s="3" t="str">
        <f aca="false">INDEX(Vendedores!$C$2:$C$101,MATCH(C682,Vendedores!$A$2:$A$101,0))</f>
        <v>L05</v>
      </c>
      <c r="E682" s="3" t="str">
        <f aca="false">INDEX(Lojas!$E$2:$E$11,MATCH(D682,Lojas!$A$2:$A$11,0))</f>
        <v>Sul</v>
      </c>
      <c r="F682" s="2" t="s">
        <v>262</v>
      </c>
      <c r="G682" s="3" t="str">
        <f aca="false">INDEX(Produtos!$B$2:$B$11,MATCH(F682,Produtos!$A$2:$A$11,0))&amp;" "&amp;INDEX(Produtos!$C$2:$C$11,MATCH(F682,Produtos!$A$2:$A$11,0))</f>
        <v>Fone de Ouvido De Celular</v>
      </c>
      <c r="H682" s="2" t="n">
        <v>2</v>
      </c>
      <c r="I682" s="5" t="n">
        <f aca="false">INDEX(Produtos!$D$2:$D$11,MATCH(F682,Produtos!$A$2:$A$11,0))</f>
        <v>59.9</v>
      </c>
      <c r="J682" s="5" t="n">
        <f aca="false">H682*I682</f>
        <v>119.8</v>
      </c>
      <c r="K682" s="5" t="n">
        <f aca="false">INDEX(Produtos!$E$2:$E$11,MATCH(F682,Produtos!$A$2:$A$11,0))</f>
        <v>28</v>
      </c>
      <c r="L682" s="5" t="n">
        <f aca="false">H682*K682</f>
        <v>56</v>
      </c>
    </row>
    <row r="683" customFormat="false" ht="15" hidden="false" customHeight="false" outlineLevel="0" collapsed="false">
      <c r="A683" s="2" t="s">
        <v>965</v>
      </c>
      <c r="B683" s="8" t="n">
        <v>46080</v>
      </c>
      <c r="C683" s="2" t="s">
        <v>100</v>
      </c>
      <c r="D683" s="3" t="str">
        <f aca="false">INDEX(Vendedores!$C$2:$C$101,MATCH(C683,Vendedores!$A$2:$A$101,0))</f>
        <v>L03</v>
      </c>
      <c r="E683" s="3" t="str">
        <f aca="false">INDEX(Lojas!$E$2:$E$11,MATCH(D683,Lojas!$A$2:$A$11,0))</f>
        <v>Sudeste</v>
      </c>
      <c r="F683" s="2" t="s">
        <v>265</v>
      </c>
      <c r="G683" s="3" t="str">
        <f aca="false">INDEX(Produtos!$B$2:$B$11,MATCH(F683,Produtos!$A$2:$A$11,0))&amp;" "&amp;INDEX(Produtos!$C$2:$C$11,MATCH(F683,Produtos!$A$2:$A$11,0))</f>
        <v>Fone de Ouvido Headset</v>
      </c>
      <c r="H683" s="2" t="n">
        <v>2</v>
      </c>
      <c r="I683" s="5" t="n">
        <f aca="false">INDEX(Produtos!$D$2:$D$11,MATCH(F683,Produtos!$A$2:$A$11,0))</f>
        <v>249.9</v>
      </c>
      <c r="J683" s="5" t="n">
        <f aca="false">H683*I683</f>
        <v>499.8</v>
      </c>
      <c r="K683" s="5" t="n">
        <f aca="false">INDEX(Produtos!$E$2:$E$11,MATCH(F683,Produtos!$A$2:$A$11,0))</f>
        <v>145</v>
      </c>
      <c r="L683" s="5" t="n">
        <f aca="false">H683*K683</f>
        <v>290</v>
      </c>
    </row>
    <row r="684" customFormat="false" ht="15" hidden="false" customHeight="false" outlineLevel="0" collapsed="false">
      <c r="A684" s="2" t="s">
        <v>966</v>
      </c>
      <c r="B684" s="8" t="n">
        <v>46081</v>
      </c>
      <c r="C684" s="2" t="s">
        <v>174</v>
      </c>
      <c r="D684" s="3" t="str">
        <f aca="false">INDEX(Vendedores!$C$2:$C$101,MATCH(C684,Vendedores!$A$2:$A$101,0))</f>
        <v>L07</v>
      </c>
      <c r="E684" s="3" t="str">
        <f aca="false">INDEX(Lojas!$E$2:$E$11,MATCH(D684,Lojas!$A$2:$A$11,0))</f>
        <v>Sul</v>
      </c>
      <c r="F684" s="2" t="s">
        <v>265</v>
      </c>
      <c r="G684" s="3" t="str">
        <f aca="false">INDEX(Produtos!$B$2:$B$11,MATCH(F684,Produtos!$A$2:$A$11,0))&amp;" "&amp;INDEX(Produtos!$C$2:$C$11,MATCH(F684,Produtos!$A$2:$A$11,0))</f>
        <v>Fone de Ouvido Headset</v>
      </c>
      <c r="H684" s="2" t="n">
        <v>1</v>
      </c>
      <c r="I684" s="5" t="n">
        <f aca="false">INDEX(Produtos!$D$2:$D$11,MATCH(F684,Produtos!$A$2:$A$11,0))</f>
        <v>249.9</v>
      </c>
      <c r="J684" s="5" t="n">
        <f aca="false">H684*I684</f>
        <v>249.9</v>
      </c>
      <c r="K684" s="5" t="n">
        <f aca="false">INDEX(Produtos!$E$2:$E$11,MATCH(F684,Produtos!$A$2:$A$11,0))</f>
        <v>145</v>
      </c>
      <c r="L684" s="5" t="n">
        <f aca="false">H684*K684</f>
        <v>145</v>
      </c>
    </row>
    <row r="685" customFormat="false" ht="15" hidden="false" customHeight="false" outlineLevel="0" collapsed="false">
      <c r="A685" s="2" t="s">
        <v>967</v>
      </c>
      <c r="B685" s="8" t="n">
        <v>46081</v>
      </c>
      <c r="C685" s="2" t="s">
        <v>172</v>
      </c>
      <c r="D685" s="3" t="str">
        <f aca="false">INDEX(Vendedores!$C$2:$C$101,MATCH(C685,Vendedores!$A$2:$A$101,0))</f>
        <v>L07</v>
      </c>
      <c r="E685" s="3" t="str">
        <f aca="false">INDEX(Lojas!$E$2:$E$11,MATCH(D685,Lojas!$A$2:$A$11,0))</f>
        <v>Sul</v>
      </c>
      <c r="F685" s="2" t="s">
        <v>267</v>
      </c>
      <c r="G685" s="3" t="str">
        <f aca="false">INDEX(Produtos!$B$2:$B$11,MATCH(F685,Produtos!$A$2:$A$11,0))&amp;" "&amp;INDEX(Produtos!$C$2:$C$11,MATCH(F685,Produtos!$A$2:$A$11,0))</f>
        <v>Carregador de Celular Tipo C</v>
      </c>
      <c r="H685" s="2" t="n">
        <v>2</v>
      </c>
      <c r="I685" s="5" t="n">
        <f aca="false">INDEX(Produtos!$D$2:$D$11,MATCH(F685,Produtos!$A$2:$A$11,0))</f>
        <v>44.9</v>
      </c>
      <c r="J685" s="5" t="n">
        <f aca="false">H685*I685</f>
        <v>89.8</v>
      </c>
      <c r="K685" s="5" t="n">
        <f aca="false">INDEX(Produtos!$E$2:$E$11,MATCH(F685,Produtos!$A$2:$A$11,0))</f>
        <v>18</v>
      </c>
      <c r="L685" s="5" t="n">
        <f aca="false">H685*K685</f>
        <v>36</v>
      </c>
    </row>
    <row r="686" customFormat="false" ht="15" hidden="false" customHeight="false" outlineLevel="0" collapsed="false">
      <c r="A686" s="2" t="s">
        <v>968</v>
      </c>
      <c r="B686" s="8" t="n">
        <v>46081</v>
      </c>
      <c r="C686" s="2" t="s">
        <v>131</v>
      </c>
      <c r="D686" s="3" t="str">
        <f aca="false">INDEX(Vendedores!$C$2:$C$101,MATCH(C686,Vendedores!$A$2:$A$101,0))</f>
        <v>L05</v>
      </c>
      <c r="E686" s="3" t="str">
        <f aca="false">INDEX(Lojas!$E$2:$E$11,MATCH(D686,Lojas!$A$2:$A$11,0))</f>
        <v>Sul</v>
      </c>
      <c r="F686" s="2" t="s">
        <v>252</v>
      </c>
      <c r="G686" s="3" t="str">
        <f aca="false">INDEX(Produtos!$B$2:$B$11,MATCH(F686,Produtos!$A$2:$A$11,0))&amp;" "&amp;INDEX(Produtos!$C$2:$C$11,MATCH(F686,Produtos!$A$2:$A$11,0))</f>
        <v>Notebook Lenovo</v>
      </c>
      <c r="H686" s="2" t="n">
        <v>1</v>
      </c>
      <c r="I686" s="5" t="n">
        <f aca="false">INDEX(Produtos!$D$2:$D$11,MATCH(F686,Produtos!$A$2:$A$11,0))</f>
        <v>3199</v>
      </c>
      <c r="J686" s="5" t="n">
        <f aca="false">H686*I686</f>
        <v>3199</v>
      </c>
      <c r="K686" s="5" t="n">
        <f aca="false">INDEX(Produtos!$E$2:$E$11,MATCH(F686,Produtos!$A$2:$A$11,0))</f>
        <v>2350</v>
      </c>
      <c r="L686" s="5" t="n">
        <f aca="false">H686*K686</f>
        <v>2350</v>
      </c>
    </row>
    <row r="687" customFormat="false" ht="15" hidden="false" customHeight="false" outlineLevel="0" collapsed="false">
      <c r="A687" s="2" t="s">
        <v>969</v>
      </c>
      <c r="B687" s="8" t="n">
        <v>46081</v>
      </c>
      <c r="C687" s="2" t="s">
        <v>88</v>
      </c>
      <c r="D687" s="3" t="str">
        <f aca="false">INDEX(Vendedores!$C$2:$C$101,MATCH(C687,Vendedores!$A$2:$A$101,0))</f>
        <v>L02</v>
      </c>
      <c r="E687" s="3" t="str">
        <f aca="false">INDEX(Lojas!$E$2:$E$11,MATCH(D687,Lojas!$A$2:$A$11,0))</f>
        <v>Sudeste</v>
      </c>
      <c r="F687" s="2" t="s">
        <v>252</v>
      </c>
      <c r="G687" s="3" t="str">
        <f aca="false">INDEX(Produtos!$B$2:$B$11,MATCH(F687,Produtos!$A$2:$A$11,0))&amp;" "&amp;INDEX(Produtos!$C$2:$C$11,MATCH(F687,Produtos!$A$2:$A$11,0))</f>
        <v>Notebook Lenovo</v>
      </c>
      <c r="H687" s="2" t="n">
        <v>1</v>
      </c>
      <c r="I687" s="5" t="n">
        <f aca="false">INDEX(Produtos!$D$2:$D$11,MATCH(F687,Produtos!$A$2:$A$11,0))</f>
        <v>3199</v>
      </c>
      <c r="J687" s="5" t="n">
        <f aca="false">H687*I687</f>
        <v>3199</v>
      </c>
      <c r="K687" s="5" t="n">
        <f aca="false">INDEX(Produtos!$E$2:$E$11,MATCH(F687,Produtos!$A$2:$A$11,0))</f>
        <v>2350</v>
      </c>
      <c r="L687" s="5" t="n">
        <f aca="false">H687*K687</f>
        <v>2350</v>
      </c>
    </row>
    <row r="688" customFormat="false" ht="15" hidden="false" customHeight="false" outlineLevel="0" collapsed="false">
      <c r="A688" s="2" t="s">
        <v>970</v>
      </c>
      <c r="B688" s="8" t="n">
        <v>46081</v>
      </c>
      <c r="C688" s="2" t="s">
        <v>86</v>
      </c>
      <c r="D688" s="3" t="str">
        <f aca="false">INDEX(Vendedores!$C$2:$C$101,MATCH(C688,Vendedores!$A$2:$A$101,0))</f>
        <v>L02</v>
      </c>
      <c r="E688" s="3" t="str">
        <f aca="false">INDEX(Lojas!$E$2:$E$11,MATCH(D688,Lojas!$A$2:$A$11,0))</f>
        <v>Sudeste</v>
      </c>
      <c r="F688" s="2" t="s">
        <v>255</v>
      </c>
      <c r="G688" s="3" t="str">
        <f aca="false">INDEX(Produtos!$B$2:$B$11,MATCH(F688,Produtos!$A$2:$A$11,0))&amp;" "&amp;INDEX(Produtos!$C$2:$C$11,MATCH(F688,Produtos!$A$2:$A$11,0))</f>
        <v>Notebook Positivo</v>
      </c>
      <c r="H688" s="2" t="n">
        <v>2</v>
      </c>
      <c r="I688" s="5" t="n">
        <f aca="false">INDEX(Produtos!$D$2:$D$11,MATCH(F688,Produtos!$A$2:$A$11,0))</f>
        <v>2199</v>
      </c>
      <c r="J688" s="5" t="n">
        <f aca="false">H688*I688</f>
        <v>4398</v>
      </c>
      <c r="K688" s="5" t="n">
        <f aca="false">INDEX(Produtos!$E$2:$E$11,MATCH(F688,Produtos!$A$2:$A$11,0))</f>
        <v>1550</v>
      </c>
      <c r="L688" s="5" t="n">
        <f aca="false">H688*K688</f>
        <v>3100</v>
      </c>
    </row>
    <row r="689" customFormat="false" ht="15" hidden="false" customHeight="false" outlineLevel="0" collapsed="false">
      <c r="A689" s="2" t="s">
        <v>971</v>
      </c>
      <c r="B689" s="8" t="n">
        <v>46081</v>
      </c>
      <c r="C689" s="2" t="s">
        <v>164</v>
      </c>
      <c r="D689" s="3" t="str">
        <f aca="false">INDEX(Vendedores!$C$2:$C$101,MATCH(C689,Vendedores!$A$2:$A$101,0))</f>
        <v>L06</v>
      </c>
      <c r="E689" s="3" t="str">
        <f aca="false">INDEX(Lojas!$E$2:$E$11,MATCH(D689,Lojas!$A$2:$A$11,0))</f>
        <v>Sul</v>
      </c>
      <c r="F689" s="2" t="s">
        <v>257</v>
      </c>
      <c r="G689" s="3" t="str">
        <f aca="false">INDEX(Produtos!$B$2:$B$11,MATCH(F689,Produtos!$A$2:$A$11,0))&amp;" "&amp;INDEX(Produtos!$C$2:$C$11,MATCH(F689,Produtos!$A$2:$A$11,0))</f>
        <v>Celular Samsung</v>
      </c>
      <c r="H689" s="2" t="n">
        <v>2</v>
      </c>
      <c r="I689" s="5" t="n">
        <f aca="false">INDEX(Produtos!$D$2:$D$11,MATCH(F689,Produtos!$A$2:$A$11,0))</f>
        <v>2499</v>
      </c>
      <c r="J689" s="5" t="n">
        <f aca="false">H689*I689</f>
        <v>4998</v>
      </c>
      <c r="K689" s="5" t="n">
        <f aca="false">INDEX(Produtos!$E$2:$E$11,MATCH(F689,Produtos!$A$2:$A$11,0))</f>
        <v>1800</v>
      </c>
      <c r="L689" s="5" t="n">
        <f aca="false">H689*K689</f>
        <v>3600</v>
      </c>
    </row>
    <row r="690" customFormat="false" ht="15" hidden="false" customHeight="false" outlineLevel="0" collapsed="false">
      <c r="A690" s="2" t="s">
        <v>972</v>
      </c>
      <c r="B690" s="8" t="n">
        <v>46082</v>
      </c>
      <c r="C690" s="2" t="s">
        <v>106</v>
      </c>
      <c r="D690" s="3" t="str">
        <f aca="false">INDEX(Vendedores!$C$2:$C$101,MATCH(C690,Vendedores!$A$2:$A$101,0))</f>
        <v>L03</v>
      </c>
      <c r="E690" s="3" t="str">
        <f aca="false">INDEX(Lojas!$E$2:$E$11,MATCH(D690,Lojas!$A$2:$A$11,0))</f>
        <v>Sudeste</v>
      </c>
      <c r="F690" s="2" t="s">
        <v>257</v>
      </c>
      <c r="G690" s="3" t="str">
        <f aca="false">INDEX(Produtos!$B$2:$B$11,MATCH(F690,Produtos!$A$2:$A$11,0))&amp;" "&amp;INDEX(Produtos!$C$2:$C$11,MATCH(F690,Produtos!$A$2:$A$11,0))</f>
        <v>Celular Samsung</v>
      </c>
      <c r="H690" s="2" t="n">
        <v>1</v>
      </c>
      <c r="I690" s="5" t="n">
        <f aca="false">INDEX(Produtos!$D$2:$D$11,MATCH(F690,Produtos!$A$2:$A$11,0))</f>
        <v>2499</v>
      </c>
      <c r="J690" s="5" t="n">
        <f aca="false">H690*I690</f>
        <v>2499</v>
      </c>
      <c r="K690" s="5" t="n">
        <f aca="false">INDEX(Produtos!$E$2:$E$11,MATCH(F690,Produtos!$A$2:$A$11,0))</f>
        <v>1800</v>
      </c>
      <c r="L690" s="5" t="n">
        <f aca="false">H690*K690</f>
        <v>1800</v>
      </c>
    </row>
    <row r="691" customFormat="false" ht="15" hidden="false" customHeight="false" outlineLevel="0" collapsed="false">
      <c r="A691" s="2" t="s">
        <v>973</v>
      </c>
      <c r="B691" s="8" t="n">
        <v>46082</v>
      </c>
      <c r="C691" s="2" t="s">
        <v>185</v>
      </c>
      <c r="D691" s="3" t="str">
        <f aca="false">INDEX(Vendedores!$C$2:$C$101,MATCH(C691,Vendedores!$A$2:$A$101,0))</f>
        <v>L08</v>
      </c>
      <c r="E691" s="3" t="str">
        <f aca="false">INDEX(Lojas!$E$2:$E$11,MATCH(D691,Lojas!$A$2:$A$11,0))</f>
        <v>Nordeste</v>
      </c>
      <c r="F691" s="2" t="s">
        <v>267</v>
      </c>
      <c r="G691" s="3" t="str">
        <f aca="false">INDEX(Produtos!$B$2:$B$11,MATCH(F691,Produtos!$A$2:$A$11,0))&amp;" "&amp;INDEX(Produtos!$C$2:$C$11,MATCH(F691,Produtos!$A$2:$A$11,0))</f>
        <v>Carregador de Celular Tipo C</v>
      </c>
      <c r="H691" s="2" t="n">
        <v>1</v>
      </c>
      <c r="I691" s="5" t="n">
        <f aca="false">INDEX(Produtos!$D$2:$D$11,MATCH(F691,Produtos!$A$2:$A$11,0))</f>
        <v>44.9</v>
      </c>
      <c r="J691" s="5" t="n">
        <f aca="false">H691*I691</f>
        <v>44.9</v>
      </c>
      <c r="K691" s="5" t="n">
        <f aca="false">INDEX(Produtos!$E$2:$E$11,MATCH(F691,Produtos!$A$2:$A$11,0))</f>
        <v>18</v>
      </c>
      <c r="L691" s="5" t="n">
        <f aca="false">H691*K691</f>
        <v>18</v>
      </c>
    </row>
    <row r="692" customFormat="false" ht="15" hidden="false" customHeight="false" outlineLevel="0" collapsed="false">
      <c r="A692" s="2" t="s">
        <v>974</v>
      </c>
      <c r="B692" s="8" t="n">
        <v>46082</v>
      </c>
      <c r="C692" s="2" t="s">
        <v>112</v>
      </c>
      <c r="D692" s="3" t="str">
        <f aca="false">INDEX(Vendedores!$C$2:$C$101,MATCH(C692,Vendedores!$A$2:$A$101,0))</f>
        <v>L04</v>
      </c>
      <c r="E692" s="3" t="str">
        <f aca="false">INDEX(Lojas!$E$2:$E$11,MATCH(D692,Lojas!$A$2:$A$11,0))</f>
        <v>Sudeste</v>
      </c>
      <c r="F692" s="2" t="s">
        <v>273</v>
      </c>
      <c r="G692" s="3" t="str">
        <f aca="false">INDEX(Produtos!$B$2:$B$11,MATCH(F692,Produtos!$A$2:$A$11,0))&amp;" "&amp;INDEX(Produtos!$C$2:$C$11,MATCH(F692,Produtos!$A$2:$A$11,0))</f>
        <v>Controle de Videogame PS4</v>
      </c>
      <c r="H692" s="2" t="n">
        <v>1</v>
      </c>
      <c r="I692" s="5" t="n">
        <f aca="false">INDEX(Produtos!$D$2:$D$11,MATCH(F692,Produtos!$A$2:$A$11,0))</f>
        <v>299.9</v>
      </c>
      <c r="J692" s="5" t="n">
        <f aca="false">H692*I692</f>
        <v>299.9</v>
      </c>
      <c r="K692" s="5" t="n">
        <f aca="false">INDEX(Produtos!$E$2:$E$11,MATCH(F692,Produtos!$A$2:$A$11,0))</f>
        <v>175</v>
      </c>
      <c r="L692" s="5" t="n">
        <f aca="false">H692*K692</f>
        <v>175</v>
      </c>
    </row>
    <row r="693" customFormat="false" ht="15" hidden="false" customHeight="false" outlineLevel="0" collapsed="false">
      <c r="A693" s="2" t="s">
        <v>975</v>
      </c>
      <c r="B693" s="8" t="n">
        <v>46082</v>
      </c>
      <c r="C693" s="2" t="s">
        <v>152</v>
      </c>
      <c r="D693" s="3" t="str">
        <f aca="false">INDEX(Vendedores!$C$2:$C$101,MATCH(C693,Vendedores!$A$2:$A$101,0))</f>
        <v>L06</v>
      </c>
      <c r="E693" s="3" t="str">
        <f aca="false">INDEX(Lojas!$E$2:$E$11,MATCH(D693,Lojas!$A$2:$A$11,0))</f>
        <v>Sul</v>
      </c>
      <c r="F693" s="2" t="s">
        <v>255</v>
      </c>
      <c r="G693" s="3" t="str">
        <f aca="false">INDEX(Produtos!$B$2:$B$11,MATCH(F693,Produtos!$A$2:$A$11,0))&amp;" "&amp;INDEX(Produtos!$C$2:$C$11,MATCH(F693,Produtos!$A$2:$A$11,0))</f>
        <v>Notebook Positivo</v>
      </c>
      <c r="H693" s="2" t="n">
        <v>2</v>
      </c>
      <c r="I693" s="5" t="n">
        <f aca="false">INDEX(Produtos!$D$2:$D$11,MATCH(F693,Produtos!$A$2:$A$11,0))</f>
        <v>2199</v>
      </c>
      <c r="J693" s="5" t="n">
        <f aca="false">H693*I693</f>
        <v>4398</v>
      </c>
      <c r="K693" s="5" t="n">
        <f aca="false">INDEX(Produtos!$E$2:$E$11,MATCH(F693,Produtos!$A$2:$A$11,0))</f>
        <v>1550</v>
      </c>
      <c r="L693" s="5" t="n">
        <f aca="false">H693*K693</f>
        <v>3100</v>
      </c>
    </row>
    <row r="694" customFormat="false" ht="15" hidden="false" customHeight="false" outlineLevel="0" collapsed="false">
      <c r="A694" s="2" t="s">
        <v>976</v>
      </c>
      <c r="B694" s="8" t="n">
        <v>46082</v>
      </c>
      <c r="C694" s="2" t="s">
        <v>243</v>
      </c>
      <c r="D694" s="3" t="str">
        <f aca="false">INDEX(Vendedores!$C$2:$C$101,MATCH(C694,Vendedores!$A$2:$A$101,0))</f>
        <v>L10</v>
      </c>
      <c r="E694" s="3" t="str">
        <f aca="false">INDEX(Lojas!$E$2:$E$11,MATCH(D694,Lojas!$A$2:$A$11,0))</f>
        <v>Nordeste</v>
      </c>
      <c r="F694" s="2" t="s">
        <v>267</v>
      </c>
      <c r="G694" s="3" t="str">
        <f aca="false">INDEX(Produtos!$B$2:$B$11,MATCH(F694,Produtos!$A$2:$A$11,0))&amp;" "&amp;INDEX(Produtos!$C$2:$C$11,MATCH(F694,Produtos!$A$2:$A$11,0))</f>
        <v>Carregador de Celular Tipo C</v>
      </c>
      <c r="H694" s="2" t="n">
        <v>1</v>
      </c>
      <c r="I694" s="5" t="n">
        <f aca="false">INDEX(Produtos!$D$2:$D$11,MATCH(F694,Produtos!$A$2:$A$11,0))</f>
        <v>44.9</v>
      </c>
      <c r="J694" s="5" t="n">
        <f aca="false">H694*I694</f>
        <v>44.9</v>
      </c>
      <c r="K694" s="5" t="n">
        <f aca="false">INDEX(Produtos!$E$2:$E$11,MATCH(F694,Produtos!$A$2:$A$11,0))</f>
        <v>18</v>
      </c>
      <c r="L694" s="5" t="n">
        <f aca="false">H694*K694</f>
        <v>18</v>
      </c>
    </row>
    <row r="695" customFormat="false" ht="15" hidden="false" customHeight="false" outlineLevel="0" collapsed="false">
      <c r="A695" s="2" t="s">
        <v>977</v>
      </c>
      <c r="B695" s="8" t="n">
        <v>46082</v>
      </c>
      <c r="C695" s="2" t="s">
        <v>154</v>
      </c>
      <c r="D695" s="3" t="str">
        <f aca="false">INDEX(Vendedores!$C$2:$C$101,MATCH(C695,Vendedores!$A$2:$A$101,0))</f>
        <v>L06</v>
      </c>
      <c r="E695" s="3" t="str">
        <f aca="false">INDEX(Lojas!$E$2:$E$11,MATCH(D695,Lojas!$A$2:$A$11,0))</f>
        <v>Sul</v>
      </c>
      <c r="F695" s="2" t="s">
        <v>275</v>
      </c>
      <c r="G695" s="3" t="str">
        <f aca="false">INDEX(Produtos!$B$2:$B$11,MATCH(F695,Produtos!$A$2:$A$11,0))&amp;" "&amp;INDEX(Produtos!$C$2:$C$11,MATCH(F695,Produtos!$A$2:$A$11,0))</f>
        <v>Controle de Videogame PS5</v>
      </c>
      <c r="H695" s="2" t="n">
        <v>2</v>
      </c>
      <c r="I695" s="5" t="n">
        <f aca="false">INDEX(Produtos!$D$2:$D$11,MATCH(F695,Produtos!$A$2:$A$11,0))</f>
        <v>379.9</v>
      </c>
      <c r="J695" s="5" t="n">
        <f aca="false">H695*I695</f>
        <v>759.8</v>
      </c>
      <c r="K695" s="5" t="n">
        <f aca="false">INDEX(Produtos!$E$2:$E$11,MATCH(F695,Produtos!$A$2:$A$11,0))</f>
        <v>235</v>
      </c>
      <c r="L695" s="5" t="n">
        <f aca="false">H695*K695</f>
        <v>470</v>
      </c>
    </row>
    <row r="696" customFormat="false" ht="15" hidden="false" customHeight="false" outlineLevel="0" collapsed="false">
      <c r="A696" s="2" t="s">
        <v>978</v>
      </c>
      <c r="B696" s="8" t="n">
        <v>46082</v>
      </c>
      <c r="C696" s="2" t="s">
        <v>128</v>
      </c>
      <c r="D696" s="3" t="str">
        <f aca="false">INDEX(Vendedores!$C$2:$C$101,MATCH(C696,Vendedores!$A$2:$A$101,0))</f>
        <v>L04</v>
      </c>
      <c r="E696" s="3" t="str">
        <f aca="false">INDEX(Lojas!$E$2:$E$11,MATCH(D696,Lojas!$A$2:$A$11,0))</f>
        <v>Sudeste</v>
      </c>
      <c r="F696" s="2" t="s">
        <v>267</v>
      </c>
      <c r="G696" s="3" t="str">
        <f aca="false">INDEX(Produtos!$B$2:$B$11,MATCH(F696,Produtos!$A$2:$A$11,0))&amp;" "&amp;INDEX(Produtos!$C$2:$C$11,MATCH(F696,Produtos!$A$2:$A$11,0))</f>
        <v>Carregador de Celular Tipo C</v>
      </c>
      <c r="H696" s="2" t="n">
        <v>1</v>
      </c>
      <c r="I696" s="5" t="n">
        <f aca="false">INDEX(Produtos!$D$2:$D$11,MATCH(F696,Produtos!$A$2:$A$11,0))</f>
        <v>44.9</v>
      </c>
      <c r="J696" s="5" t="n">
        <f aca="false">H696*I696</f>
        <v>44.9</v>
      </c>
      <c r="K696" s="5" t="n">
        <f aca="false">INDEX(Produtos!$E$2:$E$11,MATCH(F696,Produtos!$A$2:$A$11,0))</f>
        <v>18</v>
      </c>
      <c r="L696" s="5" t="n">
        <f aca="false">H696*K696</f>
        <v>18</v>
      </c>
    </row>
    <row r="697" customFormat="false" ht="15" hidden="false" customHeight="false" outlineLevel="0" collapsed="false">
      <c r="A697" s="2" t="s">
        <v>979</v>
      </c>
      <c r="B697" s="8" t="n">
        <v>46082</v>
      </c>
      <c r="C697" s="2" t="s">
        <v>191</v>
      </c>
      <c r="D697" s="3" t="str">
        <f aca="false">INDEX(Vendedores!$C$2:$C$101,MATCH(C697,Vendedores!$A$2:$A$101,0))</f>
        <v>L08</v>
      </c>
      <c r="E697" s="3" t="str">
        <f aca="false">INDEX(Lojas!$E$2:$E$11,MATCH(D697,Lojas!$A$2:$A$11,0))</f>
        <v>Nordeste</v>
      </c>
      <c r="F697" s="2" t="s">
        <v>273</v>
      </c>
      <c r="G697" s="3" t="str">
        <f aca="false">INDEX(Produtos!$B$2:$B$11,MATCH(F697,Produtos!$A$2:$A$11,0))&amp;" "&amp;INDEX(Produtos!$C$2:$C$11,MATCH(F697,Produtos!$A$2:$A$11,0))</f>
        <v>Controle de Videogame PS4</v>
      </c>
      <c r="H697" s="2" t="n">
        <v>2</v>
      </c>
      <c r="I697" s="5" t="n">
        <f aca="false">INDEX(Produtos!$D$2:$D$11,MATCH(F697,Produtos!$A$2:$A$11,0))</f>
        <v>299.9</v>
      </c>
      <c r="J697" s="5" t="n">
        <f aca="false">H697*I697</f>
        <v>599.8</v>
      </c>
      <c r="K697" s="5" t="n">
        <f aca="false">INDEX(Produtos!$E$2:$E$11,MATCH(F697,Produtos!$A$2:$A$11,0))</f>
        <v>175</v>
      </c>
      <c r="L697" s="5" t="n">
        <f aca="false">H697*K697</f>
        <v>350</v>
      </c>
    </row>
    <row r="698" customFormat="false" ht="15" hidden="false" customHeight="false" outlineLevel="0" collapsed="false">
      <c r="A698" s="2" t="s">
        <v>980</v>
      </c>
      <c r="B698" s="8" t="n">
        <v>46082</v>
      </c>
      <c r="C698" s="2" t="s">
        <v>199</v>
      </c>
      <c r="D698" s="3" t="str">
        <f aca="false">INDEX(Vendedores!$C$2:$C$101,MATCH(C698,Vendedores!$A$2:$A$101,0))</f>
        <v>L08</v>
      </c>
      <c r="E698" s="3" t="str">
        <f aca="false">INDEX(Lojas!$E$2:$E$11,MATCH(D698,Lojas!$A$2:$A$11,0))</f>
        <v>Nordeste</v>
      </c>
      <c r="F698" s="2" t="s">
        <v>275</v>
      </c>
      <c r="G698" s="3" t="str">
        <f aca="false">INDEX(Produtos!$B$2:$B$11,MATCH(F698,Produtos!$A$2:$A$11,0))&amp;" "&amp;INDEX(Produtos!$C$2:$C$11,MATCH(F698,Produtos!$A$2:$A$11,0))</f>
        <v>Controle de Videogame PS5</v>
      </c>
      <c r="H698" s="2" t="n">
        <v>3</v>
      </c>
      <c r="I698" s="5" t="n">
        <f aca="false">INDEX(Produtos!$D$2:$D$11,MATCH(F698,Produtos!$A$2:$A$11,0))</f>
        <v>379.9</v>
      </c>
      <c r="J698" s="5" t="n">
        <f aca="false">H698*I698</f>
        <v>1139.7</v>
      </c>
      <c r="K698" s="5" t="n">
        <f aca="false">INDEX(Produtos!$E$2:$E$11,MATCH(F698,Produtos!$A$2:$A$11,0))</f>
        <v>235</v>
      </c>
      <c r="L698" s="5" t="n">
        <f aca="false">H698*K698</f>
        <v>705</v>
      </c>
    </row>
    <row r="699" customFormat="false" ht="15" hidden="false" customHeight="false" outlineLevel="0" collapsed="false">
      <c r="A699" s="2" t="s">
        <v>981</v>
      </c>
      <c r="B699" s="8" t="n">
        <v>46082</v>
      </c>
      <c r="C699" s="2" t="s">
        <v>156</v>
      </c>
      <c r="D699" s="3" t="str">
        <f aca="false">INDEX(Vendedores!$C$2:$C$101,MATCH(C699,Vendedores!$A$2:$A$101,0))</f>
        <v>L06</v>
      </c>
      <c r="E699" s="3" t="str">
        <f aca="false">INDEX(Lojas!$E$2:$E$11,MATCH(D699,Lojas!$A$2:$A$11,0))</f>
        <v>Sul</v>
      </c>
      <c r="F699" s="2" t="s">
        <v>275</v>
      </c>
      <c r="G699" s="3" t="str">
        <f aca="false">INDEX(Produtos!$B$2:$B$11,MATCH(F699,Produtos!$A$2:$A$11,0))&amp;" "&amp;INDEX(Produtos!$C$2:$C$11,MATCH(F699,Produtos!$A$2:$A$11,0))</f>
        <v>Controle de Videogame PS5</v>
      </c>
      <c r="H699" s="2" t="n">
        <v>1</v>
      </c>
      <c r="I699" s="5" t="n">
        <f aca="false">INDEX(Produtos!$D$2:$D$11,MATCH(F699,Produtos!$A$2:$A$11,0))</f>
        <v>379.9</v>
      </c>
      <c r="J699" s="5" t="n">
        <f aca="false">H699*I699</f>
        <v>379.9</v>
      </c>
      <c r="K699" s="5" t="n">
        <f aca="false">INDEX(Produtos!$E$2:$E$11,MATCH(F699,Produtos!$A$2:$A$11,0))</f>
        <v>235</v>
      </c>
      <c r="L699" s="5" t="n">
        <f aca="false">H699*K699</f>
        <v>235</v>
      </c>
    </row>
    <row r="700" customFormat="false" ht="15" hidden="false" customHeight="false" outlineLevel="0" collapsed="false">
      <c r="A700" s="2" t="s">
        <v>982</v>
      </c>
      <c r="B700" s="8" t="n">
        <v>46082</v>
      </c>
      <c r="C700" s="2" t="s">
        <v>233</v>
      </c>
      <c r="D700" s="3" t="str">
        <f aca="false">INDEX(Vendedores!$C$2:$C$101,MATCH(C700,Vendedores!$A$2:$A$101,0))</f>
        <v>L10</v>
      </c>
      <c r="E700" s="3" t="str">
        <f aca="false">INDEX(Lojas!$E$2:$E$11,MATCH(D700,Lojas!$A$2:$A$11,0))</f>
        <v>Nordeste</v>
      </c>
      <c r="F700" s="2" t="s">
        <v>260</v>
      </c>
      <c r="G700" s="3" t="str">
        <f aca="false">INDEX(Produtos!$B$2:$B$11,MATCH(F700,Produtos!$A$2:$A$11,0))&amp;" "&amp;INDEX(Produtos!$C$2:$C$11,MATCH(F700,Produtos!$A$2:$A$11,0))</f>
        <v>Celular Motorola</v>
      </c>
      <c r="H700" s="2" t="n">
        <v>1</v>
      </c>
      <c r="I700" s="5" t="n">
        <f aca="false">INDEX(Produtos!$D$2:$D$11,MATCH(F700,Produtos!$A$2:$A$11,0))</f>
        <v>1799</v>
      </c>
      <c r="J700" s="5" t="n">
        <f aca="false">H700*I700</f>
        <v>1799</v>
      </c>
      <c r="K700" s="5" t="n">
        <f aca="false">INDEX(Produtos!$E$2:$E$11,MATCH(F700,Produtos!$A$2:$A$11,0))</f>
        <v>1250</v>
      </c>
      <c r="L700" s="5" t="n">
        <f aca="false">H700*K700</f>
        <v>1250</v>
      </c>
    </row>
    <row r="701" customFormat="false" ht="15" hidden="false" customHeight="false" outlineLevel="0" collapsed="false">
      <c r="A701" s="2" t="s">
        <v>983</v>
      </c>
      <c r="B701" s="8" t="n">
        <v>46082</v>
      </c>
      <c r="C701" s="2" t="s">
        <v>52</v>
      </c>
      <c r="D701" s="3" t="str">
        <f aca="false">INDEX(Vendedores!$C$2:$C$101,MATCH(C701,Vendedores!$A$2:$A$101,0))</f>
        <v>L01</v>
      </c>
      <c r="E701" s="3" t="str">
        <f aca="false">INDEX(Lojas!$E$2:$E$11,MATCH(D701,Lojas!$A$2:$A$11,0))</f>
        <v>Sudeste</v>
      </c>
      <c r="F701" s="2" t="s">
        <v>270</v>
      </c>
      <c r="G701" s="3" t="str">
        <f aca="false">INDEX(Produtos!$B$2:$B$11,MATCH(F701,Produtos!$A$2:$A$11,0))&amp;" "&amp;INDEX(Produtos!$C$2:$C$11,MATCH(F701,Produtos!$A$2:$A$11,0))</f>
        <v>Controle de Videogame Xbox</v>
      </c>
      <c r="H701" s="2" t="n">
        <v>2</v>
      </c>
      <c r="I701" s="5" t="n">
        <f aca="false">INDEX(Produtos!$D$2:$D$11,MATCH(F701,Produtos!$A$2:$A$11,0))</f>
        <v>349.9</v>
      </c>
      <c r="J701" s="5" t="n">
        <f aca="false">H701*I701</f>
        <v>699.8</v>
      </c>
      <c r="K701" s="5" t="n">
        <f aca="false">INDEX(Produtos!$E$2:$E$11,MATCH(F701,Produtos!$A$2:$A$11,0))</f>
        <v>215</v>
      </c>
      <c r="L701" s="5" t="n">
        <f aca="false">H701*K701</f>
        <v>430</v>
      </c>
    </row>
    <row r="702" customFormat="false" ht="15" hidden="false" customHeight="false" outlineLevel="0" collapsed="false">
      <c r="A702" s="2" t="s">
        <v>984</v>
      </c>
      <c r="B702" s="8" t="n">
        <v>46082</v>
      </c>
      <c r="C702" s="2" t="s">
        <v>185</v>
      </c>
      <c r="D702" s="3" t="str">
        <f aca="false">INDEX(Vendedores!$C$2:$C$101,MATCH(C702,Vendedores!$A$2:$A$101,0))</f>
        <v>L08</v>
      </c>
      <c r="E702" s="3" t="str">
        <f aca="false">INDEX(Lojas!$E$2:$E$11,MATCH(D702,Lojas!$A$2:$A$11,0))</f>
        <v>Nordeste</v>
      </c>
      <c r="F702" s="2" t="s">
        <v>262</v>
      </c>
      <c r="G702" s="3" t="str">
        <f aca="false">INDEX(Produtos!$B$2:$B$11,MATCH(F702,Produtos!$A$2:$A$11,0))&amp;" "&amp;INDEX(Produtos!$C$2:$C$11,MATCH(F702,Produtos!$A$2:$A$11,0))</f>
        <v>Fone de Ouvido De Celular</v>
      </c>
      <c r="H702" s="2" t="n">
        <v>1</v>
      </c>
      <c r="I702" s="5" t="n">
        <f aca="false">INDEX(Produtos!$D$2:$D$11,MATCH(F702,Produtos!$A$2:$A$11,0))</f>
        <v>59.9</v>
      </c>
      <c r="J702" s="5" t="n">
        <f aca="false">H702*I702</f>
        <v>59.9</v>
      </c>
      <c r="K702" s="5" t="n">
        <f aca="false">INDEX(Produtos!$E$2:$E$11,MATCH(F702,Produtos!$A$2:$A$11,0))</f>
        <v>28</v>
      </c>
      <c r="L702" s="5" t="n">
        <f aca="false">H702*K702</f>
        <v>28</v>
      </c>
    </row>
    <row r="703" customFormat="false" ht="15" hidden="false" customHeight="false" outlineLevel="0" collapsed="false">
      <c r="A703" s="2" t="s">
        <v>985</v>
      </c>
      <c r="B703" s="8" t="n">
        <v>46083</v>
      </c>
      <c r="C703" s="2" t="s">
        <v>193</v>
      </c>
      <c r="D703" s="3" t="str">
        <f aca="false">INDEX(Vendedores!$C$2:$C$101,MATCH(C703,Vendedores!$A$2:$A$101,0))</f>
        <v>L08</v>
      </c>
      <c r="E703" s="3" t="str">
        <f aca="false">INDEX(Lojas!$E$2:$E$11,MATCH(D703,Lojas!$A$2:$A$11,0))</f>
        <v>Nordeste</v>
      </c>
      <c r="F703" s="2" t="s">
        <v>267</v>
      </c>
      <c r="G703" s="3" t="str">
        <f aca="false">INDEX(Produtos!$B$2:$B$11,MATCH(F703,Produtos!$A$2:$A$11,0))&amp;" "&amp;INDEX(Produtos!$C$2:$C$11,MATCH(F703,Produtos!$A$2:$A$11,0))</f>
        <v>Carregador de Celular Tipo C</v>
      </c>
      <c r="H703" s="2" t="n">
        <v>1</v>
      </c>
      <c r="I703" s="5" t="n">
        <f aca="false">INDEX(Produtos!$D$2:$D$11,MATCH(F703,Produtos!$A$2:$A$11,0))</f>
        <v>44.9</v>
      </c>
      <c r="J703" s="5" t="n">
        <f aca="false">H703*I703</f>
        <v>44.9</v>
      </c>
      <c r="K703" s="5" t="n">
        <f aca="false">INDEX(Produtos!$E$2:$E$11,MATCH(F703,Produtos!$A$2:$A$11,0))</f>
        <v>18</v>
      </c>
      <c r="L703" s="5" t="n">
        <f aca="false">H703*K703</f>
        <v>18</v>
      </c>
    </row>
    <row r="704" customFormat="false" ht="15" hidden="false" customHeight="false" outlineLevel="0" collapsed="false">
      <c r="A704" s="2" t="s">
        <v>986</v>
      </c>
      <c r="B704" s="8" t="n">
        <v>46083</v>
      </c>
      <c r="C704" s="2" t="s">
        <v>162</v>
      </c>
      <c r="D704" s="3" t="str">
        <f aca="false">INDEX(Vendedores!$C$2:$C$101,MATCH(C704,Vendedores!$A$2:$A$101,0))</f>
        <v>L06</v>
      </c>
      <c r="E704" s="3" t="str">
        <f aca="false">INDEX(Lojas!$E$2:$E$11,MATCH(D704,Lojas!$A$2:$A$11,0))</f>
        <v>Sul</v>
      </c>
      <c r="F704" s="2" t="s">
        <v>273</v>
      </c>
      <c r="G704" s="3" t="str">
        <f aca="false">INDEX(Produtos!$B$2:$B$11,MATCH(F704,Produtos!$A$2:$A$11,0))&amp;" "&amp;INDEX(Produtos!$C$2:$C$11,MATCH(F704,Produtos!$A$2:$A$11,0))</f>
        <v>Controle de Videogame PS4</v>
      </c>
      <c r="H704" s="2" t="n">
        <v>2</v>
      </c>
      <c r="I704" s="5" t="n">
        <f aca="false">INDEX(Produtos!$D$2:$D$11,MATCH(F704,Produtos!$A$2:$A$11,0))</f>
        <v>299.9</v>
      </c>
      <c r="J704" s="5" t="n">
        <f aca="false">H704*I704</f>
        <v>599.8</v>
      </c>
      <c r="K704" s="5" t="n">
        <f aca="false">INDEX(Produtos!$E$2:$E$11,MATCH(F704,Produtos!$A$2:$A$11,0))</f>
        <v>175</v>
      </c>
      <c r="L704" s="5" t="n">
        <f aca="false">H704*K704</f>
        <v>350</v>
      </c>
    </row>
    <row r="705" customFormat="false" ht="15" hidden="false" customHeight="false" outlineLevel="0" collapsed="false">
      <c r="A705" s="2" t="s">
        <v>987</v>
      </c>
      <c r="B705" s="8" t="n">
        <v>46083</v>
      </c>
      <c r="C705" s="2" t="s">
        <v>156</v>
      </c>
      <c r="D705" s="3" t="str">
        <f aca="false">INDEX(Vendedores!$C$2:$C$101,MATCH(C705,Vendedores!$A$2:$A$101,0))</f>
        <v>L06</v>
      </c>
      <c r="E705" s="3" t="str">
        <f aca="false">INDEX(Lojas!$E$2:$E$11,MATCH(D705,Lojas!$A$2:$A$11,0))</f>
        <v>Sul</v>
      </c>
      <c r="F705" s="2" t="s">
        <v>255</v>
      </c>
      <c r="G705" s="3" t="str">
        <f aca="false">INDEX(Produtos!$B$2:$B$11,MATCH(F705,Produtos!$A$2:$A$11,0))&amp;" "&amp;INDEX(Produtos!$C$2:$C$11,MATCH(F705,Produtos!$A$2:$A$11,0))</f>
        <v>Notebook Positivo</v>
      </c>
      <c r="H705" s="2" t="n">
        <v>2</v>
      </c>
      <c r="I705" s="5" t="n">
        <f aca="false">INDEX(Produtos!$D$2:$D$11,MATCH(F705,Produtos!$A$2:$A$11,0))</f>
        <v>2199</v>
      </c>
      <c r="J705" s="5" t="n">
        <f aca="false">H705*I705</f>
        <v>4398</v>
      </c>
      <c r="K705" s="5" t="n">
        <f aca="false">INDEX(Produtos!$E$2:$E$11,MATCH(F705,Produtos!$A$2:$A$11,0))</f>
        <v>1550</v>
      </c>
      <c r="L705" s="5" t="n">
        <f aca="false">H705*K705</f>
        <v>3100</v>
      </c>
    </row>
    <row r="706" customFormat="false" ht="15" hidden="false" customHeight="false" outlineLevel="0" collapsed="false">
      <c r="A706" s="2" t="s">
        <v>988</v>
      </c>
      <c r="B706" s="8" t="n">
        <v>46083</v>
      </c>
      <c r="C706" s="2" t="s">
        <v>152</v>
      </c>
      <c r="D706" s="3" t="str">
        <f aca="false">INDEX(Vendedores!$C$2:$C$101,MATCH(C706,Vendedores!$A$2:$A$101,0))</f>
        <v>L06</v>
      </c>
      <c r="E706" s="3" t="str">
        <f aca="false">INDEX(Lojas!$E$2:$E$11,MATCH(D706,Lojas!$A$2:$A$11,0))</f>
        <v>Sul</v>
      </c>
      <c r="F706" s="2" t="s">
        <v>270</v>
      </c>
      <c r="G706" s="3" t="str">
        <f aca="false">INDEX(Produtos!$B$2:$B$11,MATCH(F706,Produtos!$A$2:$A$11,0))&amp;" "&amp;INDEX(Produtos!$C$2:$C$11,MATCH(F706,Produtos!$A$2:$A$11,0))</f>
        <v>Controle de Videogame Xbox</v>
      </c>
      <c r="H706" s="2" t="n">
        <v>1</v>
      </c>
      <c r="I706" s="5" t="n">
        <f aca="false">INDEX(Produtos!$D$2:$D$11,MATCH(F706,Produtos!$A$2:$A$11,0))</f>
        <v>349.9</v>
      </c>
      <c r="J706" s="5" t="n">
        <f aca="false">H706*I706</f>
        <v>349.9</v>
      </c>
      <c r="K706" s="5" t="n">
        <f aca="false">INDEX(Produtos!$E$2:$E$11,MATCH(F706,Produtos!$A$2:$A$11,0))</f>
        <v>215</v>
      </c>
      <c r="L706" s="5" t="n">
        <f aca="false">H706*K706</f>
        <v>215</v>
      </c>
    </row>
    <row r="707" customFormat="false" ht="15" hidden="false" customHeight="false" outlineLevel="0" collapsed="false">
      <c r="A707" s="2" t="s">
        <v>989</v>
      </c>
      <c r="B707" s="8" t="n">
        <v>46083</v>
      </c>
      <c r="C707" s="2" t="s">
        <v>231</v>
      </c>
      <c r="D707" s="3" t="str">
        <f aca="false">INDEX(Vendedores!$C$2:$C$101,MATCH(C707,Vendedores!$A$2:$A$101,0))</f>
        <v>L10</v>
      </c>
      <c r="E707" s="3" t="str">
        <f aca="false">INDEX(Lojas!$E$2:$E$11,MATCH(D707,Lojas!$A$2:$A$11,0))</f>
        <v>Nordeste</v>
      </c>
      <c r="F707" s="2" t="s">
        <v>273</v>
      </c>
      <c r="G707" s="3" t="str">
        <f aca="false">INDEX(Produtos!$B$2:$B$11,MATCH(F707,Produtos!$A$2:$A$11,0))&amp;" "&amp;INDEX(Produtos!$C$2:$C$11,MATCH(F707,Produtos!$A$2:$A$11,0))</f>
        <v>Controle de Videogame PS4</v>
      </c>
      <c r="H707" s="2" t="n">
        <v>2</v>
      </c>
      <c r="I707" s="5" t="n">
        <f aca="false">INDEX(Produtos!$D$2:$D$11,MATCH(F707,Produtos!$A$2:$A$11,0))</f>
        <v>299.9</v>
      </c>
      <c r="J707" s="5" t="n">
        <f aca="false">H707*I707</f>
        <v>599.8</v>
      </c>
      <c r="K707" s="5" t="n">
        <f aca="false">INDEX(Produtos!$E$2:$E$11,MATCH(F707,Produtos!$A$2:$A$11,0))</f>
        <v>175</v>
      </c>
      <c r="L707" s="5" t="n">
        <f aca="false">H707*K707</f>
        <v>350</v>
      </c>
    </row>
    <row r="708" customFormat="false" ht="15" hidden="false" customHeight="false" outlineLevel="0" collapsed="false">
      <c r="A708" s="2" t="s">
        <v>990</v>
      </c>
      <c r="B708" s="8" t="n">
        <v>46083</v>
      </c>
      <c r="C708" s="2" t="s">
        <v>233</v>
      </c>
      <c r="D708" s="3" t="str">
        <f aca="false">INDEX(Vendedores!$C$2:$C$101,MATCH(C708,Vendedores!$A$2:$A$101,0))</f>
        <v>L10</v>
      </c>
      <c r="E708" s="3" t="str">
        <f aca="false">INDEX(Lojas!$E$2:$E$11,MATCH(D708,Lojas!$A$2:$A$11,0))</f>
        <v>Nordeste</v>
      </c>
      <c r="F708" s="2" t="s">
        <v>273</v>
      </c>
      <c r="G708" s="3" t="str">
        <f aca="false">INDEX(Produtos!$B$2:$B$11,MATCH(F708,Produtos!$A$2:$A$11,0))&amp;" "&amp;INDEX(Produtos!$C$2:$C$11,MATCH(F708,Produtos!$A$2:$A$11,0))</f>
        <v>Controle de Videogame PS4</v>
      </c>
      <c r="H708" s="2" t="n">
        <v>1</v>
      </c>
      <c r="I708" s="5" t="n">
        <f aca="false">INDEX(Produtos!$D$2:$D$11,MATCH(F708,Produtos!$A$2:$A$11,0))</f>
        <v>299.9</v>
      </c>
      <c r="J708" s="5" t="n">
        <f aca="false">H708*I708</f>
        <v>299.9</v>
      </c>
      <c r="K708" s="5" t="n">
        <f aca="false">INDEX(Produtos!$E$2:$E$11,MATCH(F708,Produtos!$A$2:$A$11,0))</f>
        <v>175</v>
      </c>
      <c r="L708" s="5" t="n">
        <f aca="false">H708*K708</f>
        <v>175</v>
      </c>
    </row>
    <row r="709" customFormat="false" ht="15" hidden="false" customHeight="false" outlineLevel="0" collapsed="false">
      <c r="A709" s="2" t="s">
        <v>991</v>
      </c>
      <c r="B709" s="8" t="n">
        <v>46083</v>
      </c>
      <c r="C709" s="2" t="s">
        <v>58</v>
      </c>
      <c r="D709" s="3" t="str">
        <f aca="false">INDEX(Vendedores!$C$2:$C$101,MATCH(C709,Vendedores!$A$2:$A$101,0))</f>
        <v>L01</v>
      </c>
      <c r="E709" s="3" t="str">
        <f aca="false">INDEX(Lojas!$E$2:$E$11,MATCH(D709,Lojas!$A$2:$A$11,0))</f>
        <v>Sudeste</v>
      </c>
      <c r="F709" s="2" t="s">
        <v>257</v>
      </c>
      <c r="G709" s="3" t="str">
        <f aca="false">INDEX(Produtos!$B$2:$B$11,MATCH(F709,Produtos!$A$2:$A$11,0))&amp;" "&amp;INDEX(Produtos!$C$2:$C$11,MATCH(F709,Produtos!$A$2:$A$11,0))</f>
        <v>Celular Samsung</v>
      </c>
      <c r="H709" s="2" t="n">
        <v>2</v>
      </c>
      <c r="I709" s="5" t="n">
        <f aca="false">INDEX(Produtos!$D$2:$D$11,MATCH(F709,Produtos!$A$2:$A$11,0))</f>
        <v>2499</v>
      </c>
      <c r="J709" s="5" t="n">
        <f aca="false">H709*I709</f>
        <v>4998</v>
      </c>
      <c r="K709" s="5" t="n">
        <f aca="false">INDEX(Produtos!$E$2:$E$11,MATCH(F709,Produtos!$A$2:$A$11,0))</f>
        <v>1800</v>
      </c>
      <c r="L709" s="5" t="n">
        <f aca="false">H709*K709</f>
        <v>3600</v>
      </c>
    </row>
    <row r="710" customFormat="false" ht="15" hidden="false" customHeight="false" outlineLevel="0" collapsed="false">
      <c r="A710" s="2" t="s">
        <v>992</v>
      </c>
      <c r="B710" s="8" t="n">
        <v>46083</v>
      </c>
      <c r="C710" s="2" t="s">
        <v>86</v>
      </c>
      <c r="D710" s="3" t="str">
        <f aca="false">INDEX(Vendedores!$C$2:$C$101,MATCH(C710,Vendedores!$A$2:$A$101,0))</f>
        <v>L02</v>
      </c>
      <c r="E710" s="3" t="str">
        <f aca="false">INDEX(Lojas!$E$2:$E$11,MATCH(D710,Lojas!$A$2:$A$11,0))</f>
        <v>Sudeste</v>
      </c>
      <c r="F710" s="2" t="s">
        <v>252</v>
      </c>
      <c r="G710" s="3" t="str">
        <f aca="false">INDEX(Produtos!$B$2:$B$11,MATCH(F710,Produtos!$A$2:$A$11,0))&amp;" "&amp;INDEX(Produtos!$C$2:$C$11,MATCH(F710,Produtos!$A$2:$A$11,0))</f>
        <v>Notebook Lenovo</v>
      </c>
      <c r="H710" s="2" t="n">
        <v>1</v>
      </c>
      <c r="I710" s="5" t="n">
        <f aca="false">INDEX(Produtos!$D$2:$D$11,MATCH(F710,Produtos!$A$2:$A$11,0))</f>
        <v>3199</v>
      </c>
      <c r="J710" s="5" t="n">
        <f aca="false">H710*I710</f>
        <v>3199</v>
      </c>
      <c r="K710" s="5" t="n">
        <f aca="false">INDEX(Produtos!$E$2:$E$11,MATCH(F710,Produtos!$A$2:$A$11,0))</f>
        <v>2350</v>
      </c>
      <c r="L710" s="5" t="n">
        <f aca="false">H710*K710</f>
        <v>2350</v>
      </c>
    </row>
    <row r="711" customFormat="false" ht="15" hidden="false" customHeight="false" outlineLevel="0" collapsed="false">
      <c r="A711" s="2" t="s">
        <v>993</v>
      </c>
      <c r="B711" s="8" t="n">
        <v>46083</v>
      </c>
      <c r="C711" s="2" t="s">
        <v>164</v>
      </c>
      <c r="D711" s="3" t="str">
        <f aca="false">INDEX(Vendedores!$C$2:$C$101,MATCH(C711,Vendedores!$A$2:$A$101,0))</f>
        <v>L06</v>
      </c>
      <c r="E711" s="3" t="str">
        <f aca="false">INDEX(Lojas!$E$2:$E$11,MATCH(D711,Lojas!$A$2:$A$11,0))</f>
        <v>Sul</v>
      </c>
      <c r="F711" s="2" t="s">
        <v>275</v>
      </c>
      <c r="G711" s="3" t="str">
        <f aca="false">INDEX(Produtos!$B$2:$B$11,MATCH(F711,Produtos!$A$2:$A$11,0))&amp;" "&amp;INDEX(Produtos!$C$2:$C$11,MATCH(F711,Produtos!$A$2:$A$11,0))</f>
        <v>Controle de Videogame PS5</v>
      </c>
      <c r="H711" s="2" t="n">
        <v>1</v>
      </c>
      <c r="I711" s="5" t="n">
        <f aca="false">INDEX(Produtos!$D$2:$D$11,MATCH(F711,Produtos!$A$2:$A$11,0))</f>
        <v>379.9</v>
      </c>
      <c r="J711" s="5" t="n">
        <f aca="false">H711*I711</f>
        <v>379.9</v>
      </c>
      <c r="K711" s="5" t="n">
        <f aca="false">INDEX(Produtos!$E$2:$E$11,MATCH(F711,Produtos!$A$2:$A$11,0))</f>
        <v>235</v>
      </c>
      <c r="L711" s="5" t="n">
        <f aca="false">H711*K711</f>
        <v>235</v>
      </c>
    </row>
    <row r="712" customFormat="false" ht="15" hidden="false" customHeight="false" outlineLevel="0" collapsed="false">
      <c r="A712" s="2" t="s">
        <v>994</v>
      </c>
      <c r="B712" s="8" t="n">
        <v>46083</v>
      </c>
      <c r="C712" s="2" t="s">
        <v>152</v>
      </c>
      <c r="D712" s="3" t="str">
        <f aca="false">INDEX(Vendedores!$C$2:$C$101,MATCH(C712,Vendedores!$A$2:$A$101,0))</f>
        <v>L06</v>
      </c>
      <c r="E712" s="3" t="str">
        <f aca="false">INDEX(Lojas!$E$2:$E$11,MATCH(D712,Lojas!$A$2:$A$11,0))</f>
        <v>Sul</v>
      </c>
      <c r="F712" s="2" t="s">
        <v>262</v>
      </c>
      <c r="G712" s="3" t="str">
        <f aca="false">INDEX(Produtos!$B$2:$B$11,MATCH(F712,Produtos!$A$2:$A$11,0))&amp;" "&amp;INDEX(Produtos!$C$2:$C$11,MATCH(F712,Produtos!$A$2:$A$11,0))</f>
        <v>Fone de Ouvido De Celular</v>
      </c>
      <c r="H712" s="2" t="n">
        <v>1</v>
      </c>
      <c r="I712" s="5" t="n">
        <f aca="false">INDEX(Produtos!$D$2:$D$11,MATCH(F712,Produtos!$A$2:$A$11,0))</f>
        <v>59.9</v>
      </c>
      <c r="J712" s="5" t="n">
        <f aca="false">H712*I712</f>
        <v>59.9</v>
      </c>
      <c r="K712" s="5" t="n">
        <f aca="false">INDEX(Produtos!$E$2:$E$11,MATCH(F712,Produtos!$A$2:$A$11,0))</f>
        <v>28</v>
      </c>
      <c r="L712" s="5" t="n">
        <f aca="false">H712*K712</f>
        <v>28</v>
      </c>
    </row>
    <row r="713" customFormat="false" ht="15" hidden="false" customHeight="false" outlineLevel="0" collapsed="false">
      <c r="A713" s="2" t="s">
        <v>995</v>
      </c>
      <c r="B713" s="8" t="n">
        <v>46083</v>
      </c>
      <c r="C713" s="2" t="s">
        <v>112</v>
      </c>
      <c r="D713" s="3" t="str">
        <f aca="false">INDEX(Vendedores!$C$2:$C$101,MATCH(C713,Vendedores!$A$2:$A$101,0))</f>
        <v>L04</v>
      </c>
      <c r="E713" s="3" t="str">
        <f aca="false">INDEX(Lojas!$E$2:$E$11,MATCH(D713,Lojas!$A$2:$A$11,0))</f>
        <v>Sudeste</v>
      </c>
      <c r="F713" s="2" t="s">
        <v>270</v>
      </c>
      <c r="G713" s="3" t="str">
        <f aca="false">INDEX(Produtos!$B$2:$B$11,MATCH(F713,Produtos!$A$2:$A$11,0))&amp;" "&amp;INDEX(Produtos!$C$2:$C$11,MATCH(F713,Produtos!$A$2:$A$11,0))</f>
        <v>Controle de Videogame Xbox</v>
      </c>
      <c r="H713" s="2" t="n">
        <v>1</v>
      </c>
      <c r="I713" s="5" t="n">
        <f aca="false">INDEX(Produtos!$D$2:$D$11,MATCH(F713,Produtos!$A$2:$A$11,0))</f>
        <v>349.9</v>
      </c>
      <c r="J713" s="5" t="n">
        <f aca="false">H713*I713</f>
        <v>349.9</v>
      </c>
      <c r="K713" s="5" t="n">
        <f aca="false">INDEX(Produtos!$E$2:$E$11,MATCH(F713,Produtos!$A$2:$A$11,0))</f>
        <v>215</v>
      </c>
      <c r="L713" s="5" t="n">
        <f aca="false">H713*K713</f>
        <v>215</v>
      </c>
    </row>
    <row r="714" customFormat="false" ht="15" hidden="false" customHeight="false" outlineLevel="0" collapsed="false">
      <c r="A714" s="2" t="s">
        <v>996</v>
      </c>
      <c r="B714" s="8" t="n">
        <v>46083</v>
      </c>
      <c r="C714" s="2" t="s">
        <v>90</v>
      </c>
      <c r="D714" s="3" t="str">
        <f aca="false">INDEX(Vendedores!$C$2:$C$101,MATCH(C714,Vendedores!$A$2:$A$101,0))</f>
        <v>L03</v>
      </c>
      <c r="E714" s="3" t="str">
        <f aca="false">INDEX(Lojas!$E$2:$E$11,MATCH(D714,Lojas!$A$2:$A$11,0))</f>
        <v>Sudeste</v>
      </c>
      <c r="F714" s="2" t="s">
        <v>257</v>
      </c>
      <c r="G714" s="3" t="str">
        <f aca="false">INDEX(Produtos!$B$2:$B$11,MATCH(F714,Produtos!$A$2:$A$11,0))&amp;" "&amp;INDEX(Produtos!$C$2:$C$11,MATCH(F714,Produtos!$A$2:$A$11,0))</f>
        <v>Celular Samsung</v>
      </c>
      <c r="H714" s="2" t="n">
        <v>1</v>
      </c>
      <c r="I714" s="5" t="n">
        <f aca="false">INDEX(Produtos!$D$2:$D$11,MATCH(F714,Produtos!$A$2:$A$11,0))</f>
        <v>2499</v>
      </c>
      <c r="J714" s="5" t="n">
        <f aca="false">H714*I714</f>
        <v>2499</v>
      </c>
      <c r="K714" s="5" t="n">
        <f aca="false">INDEX(Produtos!$E$2:$E$11,MATCH(F714,Produtos!$A$2:$A$11,0))</f>
        <v>1800</v>
      </c>
      <c r="L714" s="5" t="n">
        <f aca="false">H714*K714</f>
        <v>1800</v>
      </c>
    </row>
    <row r="715" customFormat="false" ht="15" hidden="false" customHeight="false" outlineLevel="0" collapsed="false">
      <c r="A715" s="2" t="s">
        <v>997</v>
      </c>
      <c r="B715" s="8" t="n">
        <v>46083</v>
      </c>
      <c r="C715" s="2" t="s">
        <v>183</v>
      </c>
      <c r="D715" s="3" t="str">
        <f aca="false">INDEX(Vendedores!$C$2:$C$101,MATCH(C715,Vendedores!$A$2:$A$101,0))</f>
        <v>L07</v>
      </c>
      <c r="E715" s="3" t="str">
        <f aca="false">INDEX(Lojas!$E$2:$E$11,MATCH(D715,Lojas!$A$2:$A$11,0))</f>
        <v>Sul</v>
      </c>
      <c r="F715" s="2" t="s">
        <v>252</v>
      </c>
      <c r="G715" s="3" t="str">
        <f aca="false">INDEX(Produtos!$B$2:$B$11,MATCH(F715,Produtos!$A$2:$A$11,0))&amp;" "&amp;INDEX(Produtos!$C$2:$C$11,MATCH(F715,Produtos!$A$2:$A$11,0))</f>
        <v>Notebook Lenovo</v>
      </c>
      <c r="H715" s="2" t="n">
        <v>2</v>
      </c>
      <c r="I715" s="5" t="n">
        <f aca="false">INDEX(Produtos!$D$2:$D$11,MATCH(F715,Produtos!$A$2:$A$11,0))</f>
        <v>3199</v>
      </c>
      <c r="J715" s="5" t="n">
        <f aca="false">H715*I715</f>
        <v>6398</v>
      </c>
      <c r="K715" s="5" t="n">
        <f aca="false">INDEX(Produtos!$E$2:$E$11,MATCH(F715,Produtos!$A$2:$A$11,0))</f>
        <v>2350</v>
      </c>
      <c r="L715" s="5" t="n">
        <f aca="false">H715*K715</f>
        <v>4700</v>
      </c>
    </row>
    <row r="716" customFormat="false" ht="15" hidden="false" customHeight="false" outlineLevel="0" collapsed="false">
      <c r="A716" s="2" t="s">
        <v>998</v>
      </c>
      <c r="B716" s="8" t="n">
        <v>46083</v>
      </c>
      <c r="C716" s="2" t="s">
        <v>92</v>
      </c>
      <c r="D716" s="3" t="str">
        <f aca="false">INDEX(Vendedores!$C$2:$C$101,MATCH(C716,Vendedores!$A$2:$A$101,0))</f>
        <v>L03</v>
      </c>
      <c r="E716" s="3" t="str">
        <f aca="false">INDEX(Lojas!$E$2:$E$11,MATCH(D716,Lojas!$A$2:$A$11,0))</f>
        <v>Sudeste</v>
      </c>
      <c r="F716" s="2" t="s">
        <v>275</v>
      </c>
      <c r="G716" s="3" t="str">
        <f aca="false">INDEX(Produtos!$B$2:$B$11,MATCH(F716,Produtos!$A$2:$A$11,0))&amp;" "&amp;INDEX(Produtos!$C$2:$C$11,MATCH(F716,Produtos!$A$2:$A$11,0))</f>
        <v>Controle de Videogame PS5</v>
      </c>
      <c r="H716" s="2" t="n">
        <v>2</v>
      </c>
      <c r="I716" s="5" t="n">
        <f aca="false">INDEX(Produtos!$D$2:$D$11,MATCH(F716,Produtos!$A$2:$A$11,0))</f>
        <v>379.9</v>
      </c>
      <c r="J716" s="5" t="n">
        <f aca="false">H716*I716</f>
        <v>759.8</v>
      </c>
      <c r="K716" s="5" t="n">
        <f aca="false">INDEX(Produtos!$E$2:$E$11,MATCH(F716,Produtos!$A$2:$A$11,0))</f>
        <v>235</v>
      </c>
      <c r="L716" s="5" t="n">
        <f aca="false">H716*K716</f>
        <v>470</v>
      </c>
    </row>
    <row r="717" customFormat="false" ht="15" hidden="false" customHeight="false" outlineLevel="0" collapsed="false">
      <c r="A717" s="2" t="s">
        <v>999</v>
      </c>
      <c r="B717" s="8" t="n">
        <v>46083</v>
      </c>
      <c r="C717" s="2" t="s">
        <v>126</v>
      </c>
      <c r="D717" s="3" t="str">
        <f aca="false">INDEX(Vendedores!$C$2:$C$101,MATCH(C717,Vendedores!$A$2:$A$101,0))</f>
        <v>L04</v>
      </c>
      <c r="E717" s="3" t="str">
        <f aca="false">INDEX(Lojas!$E$2:$E$11,MATCH(D717,Lojas!$A$2:$A$11,0))</f>
        <v>Sudeste</v>
      </c>
      <c r="F717" s="2" t="s">
        <v>273</v>
      </c>
      <c r="G717" s="3" t="str">
        <f aca="false">INDEX(Produtos!$B$2:$B$11,MATCH(F717,Produtos!$A$2:$A$11,0))&amp;" "&amp;INDEX(Produtos!$C$2:$C$11,MATCH(F717,Produtos!$A$2:$A$11,0))</f>
        <v>Controle de Videogame PS4</v>
      </c>
      <c r="H717" s="2" t="n">
        <v>1</v>
      </c>
      <c r="I717" s="5" t="n">
        <f aca="false">INDEX(Produtos!$D$2:$D$11,MATCH(F717,Produtos!$A$2:$A$11,0))</f>
        <v>299.9</v>
      </c>
      <c r="J717" s="5" t="n">
        <f aca="false">H717*I717</f>
        <v>299.9</v>
      </c>
      <c r="K717" s="5" t="n">
        <f aca="false">INDEX(Produtos!$E$2:$E$11,MATCH(F717,Produtos!$A$2:$A$11,0))</f>
        <v>175</v>
      </c>
      <c r="L717" s="5" t="n">
        <f aca="false">H717*K717</f>
        <v>175</v>
      </c>
    </row>
    <row r="718" customFormat="false" ht="15" hidden="false" customHeight="false" outlineLevel="0" collapsed="false">
      <c r="A718" s="2" t="s">
        <v>1000</v>
      </c>
      <c r="B718" s="8" t="n">
        <v>46083</v>
      </c>
      <c r="C718" s="2" t="s">
        <v>66</v>
      </c>
      <c r="D718" s="3" t="str">
        <f aca="false">INDEX(Vendedores!$C$2:$C$101,MATCH(C718,Vendedores!$A$2:$A$101,0))</f>
        <v>L01</v>
      </c>
      <c r="E718" s="3" t="str">
        <f aca="false">INDEX(Lojas!$E$2:$E$11,MATCH(D718,Lojas!$A$2:$A$11,0))</f>
        <v>Sudeste</v>
      </c>
      <c r="F718" s="2" t="s">
        <v>257</v>
      </c>
      <c r="G718" s="3" t="str">
        <f aca="false">INDEX(Produtos!$B$2:$B$11,MATCH(F718,Produtos!$A$2:$A$11,0))&amp;" "&amp;INDEX(Produtos!$C$2:$C$11,MATCH(F718,Produtos!$A$2:$A$11,0))</f>
        <v>Celular Samsung</v>
      </c>
      <c r="H718" s="2" t="n">
        <v>2</v>
      </c>
      <c r="I718" s="5" t="n">
        <f aca="false">INDEX(Produtos!$D$2:$D$11,MATCH(F718,Produtos!$A$2:$A$11,0))</f>
        <v>2499</v>
      </c>
      <c r="J718" s="5" t="n">
        <f aca="false">H718*I718</f>
        <v>4998</v>
      </c>
      <c r="K718" s="5" t="n">
        <f aca="false">INDEX(Produtos!$E$2:$E$11,MATCH(F718,Produtos!$A$2:$A$11,0))</f>
        <v>1800</v>
      </c>
      <c r="L718" s="5" t="n">
        <f aca="false">H718*K718</f>
        <v>3600</v>
      </c>
    </row>
    <row r="719" customFormat="false" ht="15" hidden="false" customHeight="false" outlineLevel="0" collapsed="false">
      <c r="A719" s="2" t="s">
        <v>1001</v>
      </c>
      <c r="B719" s="8" t="n">
        <v>46084</v>
      </c>
      <c r="C719" s="2" t="s">
        <v>164</v>
      </c>
      <c r="D719" s="3" t="str">
        <f aca="false">INDEX(Vendedores!$C$2:$C$101,MATCH(C719,Vendedores!$A$2:$A$101,0))</f>
        <v>L06</v>
      </c>
      <c r="E719" s="3" t="str">
        <f aca="false">INDEX(Lojas!$E$2:$E$11,MATCH(D719,Lojas!$A$2:$A$11,0))</f>
        <v>Sul</v>
      </c>
      <c r="F719" s="2" t="s">
        <v>260</v>
      </c>
      <c r="G719" s="3" t="str">
        <f aca="false">INDEX(Produtos!$B$2:$B$11,MATCH(F719,Produtos!$A$2:$A$11,0))&amp;" "&amp;INDEX(Produtos!$C$2:$C$11,MATCH(F719,Produtos!$A$2:$A$11,0))</f>
        <v>Celular Motorola</v>
      </c>
      <c r="H719" s="2" t="n">
        <v>1</v>
      </c>
      <c r="I719" s="5" t="n">
        <f aca="false">INDEX(Produtos!$D$2:$D$11,MATCH(F719,Produtos!$A$2:$A$11,0))</f>
        <v>1799</v>
      </c>
      <c r="J719" s="5" t="n">
        <f aca="false">H719*I719</f>
        <v>1799</v>
      </c>
      <c r="K719" s="5" t="n">
        <f aca="false">INDEX(Produtos!$E$2:$E$11,MATCH(F719,Produtos!$A$2:$A$11,0))</f>
        <v>1250</v>
      </c>
      <c r="L719" s="5" t="n">
        <f aca="false">H719*K719</f>
        <v>1250</v>
      </c>
    </row>
    <row r="720" customFormat="false" ht="15" hidden="false" customHeight="false" outlineLevel="0" collapsed="false">
      <c r="A720" s="2" t="s">
        <v>1002</v>
      </c>
      <c r="B720" s="8" t="n">
        <v>46084</v>
      </c>
      <c r="C720" s="2" t="s">
        <v>170</v>
      </c>
      <c r="D720" s="3" t="str">
        <f aca="false">INDEX(Vendedores!$C$2:$C$101,MATCH(C720,Vendedores!$A$2:$A$101,0))</f>
        <v>L07</v>
      </c>
      <c r="E720" s="3" t="str">
        <f aca="false">INDEX(Lojas!$E$2:$E$11,MATCH(D720,Lojas!$A$2:$A$11,0))</f>
        <v>Sul</v>
      </c>
      <c r="F720" s="2" t="s">
        <v>270</v>
      </c>
      <c r="G720" s="3" t="str">
        <f aca="false">INDEX(Produtos!$B$2:$B$11,MATCH(F720,Produtos!$A$2:$A$11,0))&amp;" "&amp;INDEX(Produtos!$C$2:$C$11,MATCH(F720,Produtos!$A$2:$A$11,0))</f>
        <v>Controle de Videogame Xbox</v>
      </c>
      <c r="H720" s="2" t="n">
        <v>2</v>
      </c>
      <c r="I720" s="5" t="n">
        <f aca="false">INDEX(Produtos!$D$2:$D$11,MATCH(F720,Produtos!$A$2:$A$11,0))</f>
        <v>349.9</v>
      </c>
      <c r="J720" s="5" t="n">
        <f aca="false">H720*I720</f>
        <v>699.8</v>
      </c>
      <c r="K720" s="5" t="n">
        <f aca="false">INDEX(Produtos!$E$2:$E$11,MATCH(F720,Produtos!$A$2:$A$11,0))</f>
        <v>215</v>
      </c>
      <c r="L720" s="5" t="n">
        <f aca="false">H720*K720</f>
        <v>430</v>
      </c>
    </row>
    <row r="721" customFormat="false" ht="15" hidden="false" customHeight="false" outlineLevel="0" collapsed="false">
      <c r="A721" s="2" t="s">
        <v>1003</v>
      </c>
      <c r="B721" s="8" t="n">
        <v>46084</v>
      </c>
      <c r="C721" s="2" t="s">
        <v>164</v>
      </c>
      <c r="D721" s="3" t="str">
        <f aca="false">INDEX(Vendedores!$C$2:$C$101,MATCH(C721,Vendedores!$A$2:$A$101,0))</f>
        <v>L06</v>
      </c>
      <c r="E721" s="3" t="str">
        <f aca="false">INDEX(Lojas!$E$2:$E$11,MATCH(D721,Lojas!$A$2:$A$11,0))</f>
        <v>Sul</v>
      </c>
      <c r="F721" s="2" t="s">
        <v>257</v>
      </c>
      <c r="G721" s="3" t="str">
        <f aca="false">INDEX(Produtos!$B$2:$B$11,MATCH(F721,Produtos!$A$2:$A$11,0))&amp;" "&amp;INDEX(Produtos!$C$2:$C$11,MATCH(F721,Produtos!$A$2:$A$11,0))</f>
        <v>Celular Samsung</v>
      </c>
      <c r="H721" s="2" t="n">
        <v>1</v>
      </c>
      <c r="I721" s="5" t="n">
        <f aca="false">INDEX(Produtos!$D$2:$D$11,MATCH(F721,Produtos!$A$2:$A$11,0))</f>
        <v>2499</v>
      </c>
      <c r="J721" s="5" t="n">
        <f aca="false">H721*I721</f>
        <v>2499</v>
      </c>
      <c r="K721" s="5" t="n">
        <f aca="false">INDEX(Produtos!$E$2:$E$11,MATCH(F721,Produtos!$A$2:$A$11,0))</f>
        <v>1800</v>
      </c>
      <c r="L721" s="5" t="n">
        <f aca="false">H721*K721</f>
        <v>1800</v>
      </c>
    </row>
    <row r="722" customFormat="false" ht="15" hidden="false" customHeight="false" outlineLevel="0" collapsed="false">
      <c r="A722" s="2" t="s">
        <v>1004</v>
      </c>
      <c r="B722" s="8" t="n">
        <v>46084</v>
      </c>
      <c r="C722" s="2" t="s">
        <v>68</v>
      </c>
      <c r="D722" s="3" t="str">
        <f aca="false">INDEX(Vendedores!$C$2:$C$101,MATCH(C722,Vendedores!$A$2:$A$101,0))</f>
        <v>L01</v>
      </c>
      <c r="E722" s="3" t="str">
        <f aca="false">INDEX(Lojas!$E$2:$E$11,MATCH(D722,Lojas!$A$2:$A$11,0))</f>
        <v>Sudeste</v>
      </c>
      <c r="F722" s="2" t="s">
        <v>260</v>
      </c>
      <c r="G722" s="3" t="str">
        <f aca="false">INDEX(Produtos!$B$2:$B$11,MATCH(F722,Produtos!$A$2:$A$11,0))&amp;" "&amp;INDEX(Produtos!$C$2:$C$11,MATCH(F722,Produtos!$A$2:$A$11,0))</f>
        <v>Celular Motorola</v>
      </c>
      <c r="H722" s="2" t="n">
        <v>1</v>
      </c>
      <c r="I722" s="5" t="n">
        <f aca="false">INDEX(Produtos!$D$2:$D$11,MATCH(F722,Produtos!$A$2:$A$11,0))</f>
        <v>1799</v>
      </c>
      <c r="J722" s="5" t="n">
        <f aca="false">H722*I722</f>
        <v>1799</v>
      </c>
      <c r="K722" s="5" t="n">
        <f aca="false">INDEX(Produtos!$E$2:$E$11,MATCH(F722,Produtos!$A$2:$A$11,0))</f>
        <v>1250</v>
      </c>
      <c r="L722" s="5" t="n">
        <f aca="false">H722*K722</f>
        <v>1250</v>
      </c>
    </row>
    <row r="723" customFormat="false" ht="15" hidden="false" customHeight="false" outlineLevel="0" collapsed="false">
      <c r="A723" s="2" t="s">
        <v>1005</v>
      </c>
      <c r="B723" s="8" t="n">
        <v>46084</v>
      </c>
      <c r="C723" s="2" t="s">
        <v>126</v>
      </c>
      <c r="D723" s="3" t="str">
        <f aca="false">INDEX(Vendedores!$C$2:$C$101,MATCH(C723,Vendedores!$A$2:$A$101,0))</f>
        <v>L04</v>
      </c>
      <c r="E723" s="3" t="str">
        <f aca="false">INDEX(Lojas!$E$2:$E$11,MATCH(D723,Lojas!$A$2:$A$11,0))</f>
        <v>Sudeste</v>
      </c>
      <c r="F723" s="2" t="s">
        <v>255</v>
      </c>
      <c r="G723" s="3" t="str">
        <f aca="false">INDEX(Produtos!$B$2:$B$11,MATCH(F723,Produtos!$A$2:$A$11,0))&amp;" "&amp;INDEX(Produtos!$C$2:$C$11,MATCH(F723,Produtos!$A$2:$A$11,0))</f>
        <v>Notebook Positivo</v>
      </c>
      <c r="H723" s="2" t="n">
        <v>1</v>
      </c>
      <c r="I723" s="5" t="n">
        <f aca="false">INDEX(Produtos!$D$2:$D$11,MATCH(F723,Produtos!$A$2:$A$11,0))</f>
        <v>2199</v>
      </c>
      <c r="J723" s="5" t="n">
        <f aca="false">H723*I723</f>
        <v>2199</v>
      </c>
      <c r="K723" s="5" t="n">
        <f aca="false">INDEX(Produtos!$E$2:$E$11,MATCH(F723,Produtos!$A$2:$A$11,0))</f>
        <v>1550</v>
      </c>
      <c r="L723" s="5" t="n">
        <f aca="false">H723*K723</f>
        <v>1550</v>
      </c>
    </row>
    <row r="724" customFormat="false" ht="15" hidden="false" customHeight="false" outlineLevel="0" collapsed="false">
      <c r="A724" s="2" t="s">
        <v>1006</v>
      </c>
      <c r="B724" s="8" t="n">
        <v>46084</v>
      </c>
      <c r="C724" s="2" t="s">
        <v>209</v>
      </c>
      <c r="D724" s="3" t="str">
        <f aca="false">INDEX(Vendedores!$C$2:$C$101,MATCH(C724,Vendedores!$A$2:$A$101,0))</f>
        <v>L09</v>
      </c>
      <c r="E724" s="3" t="str">
        <f aca="false">INDEX(Lojas!$E$2:$E$11,MATCH(D724,Lojas!$A$2:$A$11,0))</f>
        <v>Nordeste</v>
      </c>
      <c r="F724" s="2" t="s">
        <v>260</v>
      </c>
      <c r="G724" s="3" t="str">
        <f aca="false">INDEX(Produtos!$B$2:$B$11,MATCH(F724,Produtos!$A$2:$A$11,0))&amp;" "&amp;INDEX(Produtos!$C$2:$C$11,MATCH(F724,Produtos!$A$2:$A$11,0))</f>
        <v>Celular Motorola</v>
      </c>
      <c r="H724" s="2" t="n">
        <v>1</v>
      </c>
      <c r="I724" s="5" t="n">
        <f aca="false">INDEX(Produtos!$D$2:$D$11,MATCH(F724,Produtos!$A$2:$A$11,0))</f>
        <v>1799</v>
      </c>
      <c r="J724" s="5" t="n">
        <f aca="false">H724*I724</f>
        <v>1799</v>
      </c>
      <c r="K724" s="5" t="n">
        <f aca="false">INDEX(Produtos!$E$2:$E$11,MATCH(F724,Produtos!$A$2:$A$11,0))</f>
        <v>1250</v>
      </c>
      <c r="L724" s="5" t="n">
        <f aca="false">H724*K724</f>
        <v>1250</v>
      </c>
    </row>
    <row r="725" customFormat="false" ht="15" hidden="false" customHeight="false" outlineLevel="0" collapsed="false">
      <c r="A725" s="2" t="s">
        <v>1007</v>
      </c>
      <c r="B725" s="8" t="n">
        <v>46084</v>
      </c>
      <c r="C725" s="2" t="s">
        <v>104</v>
      </c>
      <c r="D725" s="3" t="str">
        <f aca="false">INDEX(Vendedores!$C$2:$C$101,MATCH(C725,Vendedores!$A$2:$A$101,0))</f>
        <v>L03</v>
      </c>
      <c r="E725" s="3" t="str">
        <f aca="false">INDEX(Lojas!$E$2:$E$11,MATCH(D725,Lojas!$A$2:$A$11,0))</f>
        <v>Sudeste</v>
      </c>
      <c r="F725" s="2" t="s">
        <v>262</v>
      </c>
      <c r="G725" s="3" t="str">
        <f aca="false">INDEX(Produtos!$B$2:$B$11,MATCH(F725,Produtos!$A$2:$A$11,0))&amp;" "&amp;INDEX(Produtos!$C$2:$C$11,MATCH(F725,Produtos!$A$2:$A$11,0))</f>
        <v>Fone de Ouvido De Celular</v>
      </c>
      <c r="H725" s="2" t="n">
        <v>1</v>
      </c>
      <c r="I725" s="5" t="n">
        <f aca="false">INDEX(Produtos!$D$2:$D$11,MATCH(F725,Produtos!$A$2:$A$11,0))</f>
        <v>59.9</v>
      </c>
      <c r="J725" s="5" t="n">
        <f aca="false">H725*I725</f>
        <v>59.9</v>
      </c>
      <c r="K725" s="5" t="n">
        <f aca="false">INDEX(Produtos!$E$2:$E$11,MATCH(F725,Produtos!$A$2:$A$11,0))</f>
        <v>28</v>
      </c>
      <c r="L725" s="5" t="n">
        <f aca="false">H725*K725</f>
        <v>28</v>
      </c>
    </row>
    <row r="726" customFormat="false" ht="15" hidden="false" customHeight="false" outlineLevel="0" collapsed="false">
      <c r="A726" s="2" t="s">
        <v>1008</v>
      </c>
      <c r="B726" s="8" t="n">
        <v>46084</v>
      </c>
      <c r="C726" s="2" t="s">
        <v>168</v>
      </c>
      <c r="D726" s="3" t="str">
        <f aca="false">INDEX(Vendedores!$C$2:$C$101,MATCH(C726,Vendedores!$A$2:$A$101,0))</f>
        <v>L07</v>
      </c>
      <c r="E726" s="3" t="str">
        <f aca="false">INDEX(Lojas!$E$2:$E$11,MATCH(D726,Lojas!$A$2:$A$11,0))</f>
        <v>Sul</v>
      </c>
      <c r="F726" s="2" t="s">
        <v>275</v>
      </c>
      <c r="G726" s="3" t="str">
        <f aca="false">INDEX(Produtos!$B$2:$B$11,MATCH(F726,Produtos!$A$2:$A$11,0))&amp;" "&amp;INDEX(Produtos!$C$2:$C$11,MATCH(F726,Produtos!$A$2:$A$11,0))</f>
        <v>Controle de Videogame PS5</v>
      </c>
      <c r="H726" s="2" t="n">
        <v>1</v>
      </c>
      <c r="I726" s="5" t="n">
        <f aca="false">INDEX(Produtos!$D$2:$D$11,MATCH(F726,Produtos!$A$2:$A$11,0))</f>
        <v>379.9</v>
      </c>
      <c r="J726" s="5" t="n">
        <f aca="false">H726*I726</f>
        <v>379.9</v>
      </c>
      <c r="K726" s="5" t="n">
        <f aca="false">INDEX(Produtos!$E$2:$E$11,MATCH(F726,Produtos!$A$2:$A$11,0))</f>
        <v>235</v>
      </c>
      <c r="L726" s="5" t="n">
        <f aca="false">H726*K726</f>
        <v>235</v>
      </c>
    </row>
    <row r="727" customFormat="false" ht="15" hidden="false" customHeight="false" outlineLevel="0" collapsed="false">
      <c r="A727" s="2" t="s">
        <v>1009</v>
      </c>
      <c r="B727" s="8" t="n">
        <v>46085</v>
      </c>
      <c r="C727" s="2" t="s">
        <v>156</v>
      </c>
      <c r="D727" s="3" t="str">
        <f aca="false">INDEX(Vendedores!$C$2:$C$101,MATCH(C727,Vendedores!$A$2:$A$101,0))</f>
        <v>L06</v>
      </c>
      <c r="E727" s="3" t="str">
        <f aca="false">INDEX(Lojas!$E$2:$E$11,MATCH(D727,Lojas!$A$2:$A$11,0))</f>
        <v>Sul</v>
      </c>
      <c r="F727" s="2" t="s">
        <v>270</v>
      </c>
      <c r="G727" s="3" t="str">
        <f aca="false">INDEX(Produtos!$B$2:$B$11,MATCH(F727,Produtos!$A$2:$A$11,0))&amp;" "&amp;INDEX(Produtos!$C$2:$C$11,MATCH(F727,Produtos!$A$2:$A$11,0))</f>
        <v>Controle de Videogame Xbox</v>
      </c>
      <c r="H727" s="2" t="n">
        <v>2</v>
      </c>
      <c r="I727" s="5" t="n">
        <f aca="false">INDEX(Produtos!$D$2:$D$11,MATCH(F727,Produtos!$A$2:$A$11,0))</f>
        <v>349.9</v>
      </c>
      <c r="J727" s="5" t="n">
        <f aca="false">H727*I727</f>
        <v>699.8</v>
      </c>
      <c r="K727" s="5" t="n">
        <f aca="false">INDEX(Produtos!$E$2:$E$11,MATCH(F727,Produtos!$A$2:$A$11,0))</f>
        <v>215</v>
      </c>
      <c r="L727" s="5" t="n">
        <f aca="false">H727*K727</f>
        <v>430</v>
      </c>
    </row>
    <row r="728" customFormat="false" ht="15" hidden="false" customHeight="false" outlineLevel="0" collapsed="false">
      <c r="A728" s="2" t="s">
        <v>1010</v>
      </c>
      <c r="B728" s="8" t="n">
        <v>46085</v>
      </c>
      <c r="C728" s="2" t="s">
        <v>144</v>
      </c>
      <c r="D728" s="3" t="str">
        <f aca="false">INDEX(Vendedores!$C$2:$C$101,MATCH(C728,Vendedores!$A$2:$A$101,0))</f>
        <v>L05</v>
      </c>
      <c r="E728" s="3" t="str">
        <f aca="false">INDEX(Lojas!$E$2:$E$11,MATCH(D728,Lojas!$A$2:$A$11,0))</f>
        <v>Sul</v>
      </c>
      <c r="F728" s="2" t="s">
        <v>275</v>
      </c>
      <c r="G728" s="3" t="str">
        <f aca="false">INDEX(Produtos!$B$2:$B$11,MATCH(F728,Produtos!$A$2:$A$11,0))&amp;" "&amp;INDEX(Produtos!$C$2:$C$11,MATCH(F728,Produtos!$A$2:$A$11,0))</f>
        <v>Controle de Videogame PS5</v>
      </c>
      <c r="H728" s="2" t="n">
        <v>1</v>
      </c>
      <c r="I728" s="5" t="n">
        <f aca="false">INDEX(Produtos!$D$2:$D$11,MATCH(F728,Produtos!$A$2:$A$11,0))</f>
        <v>379.9</v>
      </c>
      <c r="J728" s="5" t="n">
        <f aca="false">H728*I728</f>
        <v>379.9</v>
      </c>
      <c r="K728" s="5" t="n">
        <f aca="false">INDEX(Produtos!$E$2:$E$11,MATCH(F728,Produtos!$A$2:$A$11,0))</f>
        <v>235</v>
      </c>
      <c r="L728" s="5" t="n">
        <f aca="false">H728*K728</f>
        <v>235</v>
      </c>
    </row>
    <row r="729" customFormat="false" ht="15" hidden="false" customHeight="false" outlineLevel="0" collapsed="false">
      <c r="A729" s="2" t="s">
        <v>1011</v>
      </c>
      <c r="B729" s="8" t="n">
        <v>46085</v>
      </c>
      <c r="C729" s="2" t="s">
        <v>235</v>
      </c>
      <c r="D729" s="3" t="str">
        <f aca="false">INDEX(Vendedores!$C$2:$C$101,MATCH(C729,Vendedores!$A$2:$A$101,0))</f>
        <v>L10</v>
      </c>
      <c r="E729" s="3" t="str">
        <f aca="false">INDEX(Lojas!$E$2:$E$11,MATCH(D729,Lojas!$A$2:$A$11,0))</f>
        <v>Nordeste</v>
      </c>
      <c r="F729" s="2" t="s">
        <v>260</v>
      </c>
      <c r="G729" s="3" t="str">
        <f aca="false">INDEX(Produtos!$B$2:$B$11,MATCH(F729,Produtos!$A$2:$A$11,0))&amp;" "&amp;INDEX(Produtos!$C$2:$C$11,MATCH(F729,Produtos!$A$2:$A$11,0))</f>
        <v>Celular Motorola</v>
      </c>
      <c r="H729" s="2" t="n">
        <v>1</v>
      </c>
      <c r="I729" s="5" t="n">
        <f aca="false">INDEX(Produtos!$D$2:$D$11,MATCH(F729,Produtos!$A$2:$A$11,0))</f>
        <v>1799</v>
      </c>
      <c r="J729" s="5" t="n">
        <f aca="false">H729*I729</f>
        <v>1799</v>
      </c>
      <c r="K729" s="5" t="n">
        <f aca="false">INDEX(Produtos!$E$2:$E$11,MATCH(F729,Produtos!$A$2:$A$11,0))</f>
        <v>1250</v>
      </c>
      <c r="L729" s="5" t="n">
        <f aca="false">H729*K729</f>
        <v>1250</v>
      </c>
    </row>
    <row r="730" customFormat="false" ht="15" hidden="false" customHeight="false" outlineLevel="0" collapsed="false">
      <c r="A730" s="2" t="s">
        <v>1012</v>
      </c>
      <c r="B730" s="8" t="n">
        <v>46085</v>
      </c>
      <c r="C730" s="2" t="s">
        <v>92</v>
      </c>
      <c r="D730" s="3" t="str">
        <f aca="false">INDEX(Vendedores!$C$2:$C$101,MATCH(C730,Vendedores!$A$2:$A$101,0))</f>
        <v>L03</v>
      </c>
      <c r="E730" s="3" t="str">
        <f aca="false">INDEX(Lojas!$E$2:$E$11,MATCH(D730,Lojas!$A$2:$A$11,0))</f>
        <v>Sudeste</v>
      </c>
      <c r="F730" s="2" t="s">
        <v>255</v>
      </c>
      <c r="G730" s="3" t="str">
        <f aca="false">INDEX(Produtos!$B$2:$B$11,MATCH(F730,Produtos!$A$2:$A$11,0))&amp;" "&amp;INDEX(Produtos!$C$2:$C$11,MATCH(F730,Produtos!$A$2:$A$11,0))</f>
        <v>Notebook Positivo</v>
      </c>
      <c r="H730" s="2" t="n">
        <v>3</v>
      </c>
      <c r="I730" s="5" t="n">
        <f aca="false">INDEX(Produtos!$D$2:$D$11,MATCH(F730,Produtos!$A$2:$A$11,0))</f>
        <v>2199</v>
      </c>
      <c r="J730" s="5" t="n">
        <f aca="false">H730*I730</f>
        <v>6597</v>
      </c>
      <c r="K730" s="5" t="n">
        <f aca="false">INDEX(Produtos!$E$2:$E$11,MATCH(F730,Produtos!$A$2:$A$11,0))</f>
        <v>1550</v>
      </c>
      <c r="L730" s="5" t="n">
        <f aca="false">H730*K730</f>
        <v>4650</v>
      </c>
    </row>
    <row r="731" customFormat="false" ht="15" hidden="false" customHeight="false" outlineLevel="0" collapsed="false">
      <c r="A731" s="2" t="s">
        <v>1013</v>
      </c>
      <c r="B731" s="8" t="n">
        <v>46085</v>
      </c>
      <c r="C731" s="2" t="s">
        <v>178</v>
      </c>
      <c r="D731" s="3" t="str">
        <f aca="false">INDEX(Vendedores!$C$2:$C$101,MATCH(C731,Vendedores!$A$2:$A$101,0))</f>
        <v>L07</v>
      </c>
      <c r="E731" s="3" t="str">
        <f aca="false">INDEX(Lojas!$E$2:$E$11,MATCH(D731,Lojas!$A$2:$A$11,0))</f>
        <v>Sul</v>
      </c>
      <c r="F731" s="2" t="s">
        <v>262</v>
      </c>
      <c r="G731" s="3" t="str">
        <f aca="false">INDEX(Produtos!$B$2:$B$11,MATCH(F731,Produtos!$A$2:$A$11,0))&amp;" "&amp;INDEX(Produtos!$C$2:$C$11,MATCH(F731,Produtos!$A$2:$A$11,0))</f>
        <v>Fone de Ouvido De Celular</v>
      </c>
      <c r="H731" s="2" t="n">
        <v>1</v>
      </c>
      <c r="I731" s="5" t="n">
        <f aca="false">INDEX(Produtos!$D$2:$D$11,MATCH(F731,Produtos!$A$2:$A$11,0))</f>
        <v>59.9</v>
      </c>
      <c r="J731" s="5" t="n">
        <f aca="false">H731*I731</f>
        <v>59.9</v>
      </c>
      <c r="K731" s="5" t="n">
        <f aca="false">INDEX(Produtos!$E$2:$E$11,MATCH(F731,Produtos!$A$2:$A$11,0))</f>
        <v>28</v>
      </c>
      <c r="L731" s="5" t="n">
        <f aca="false">H731*K731</f>
        <v>28</v>
      </c>
    </row>
    <row r="732" customFormat="false" ht="15" hidden="false" customHeight="false" outlineLevel="0" collapsed="false">
      <c r="A732" s="2" t="s">
        <v>1014</v>
      </c>
      <c r="B732" s="8" t="n">
        <v>46085</v>
      </c>
      <c r="C732" s="2" t="s">
        <v>62</v>
      </c>
      <c r="D732" s="3" t="str">
        <f aca="false">INDEX(Vendedores!$C$2:$C$101,MATCH(C732,Vendedores!$A$2:$A$101,0))</f>
        <v>L01</v>
      </c>
      <c r="E732" s="3" t="str">
        <f aca="false">INDEX(Lojas!$E$2:$E$11,MATCH(D732,Lojas!$A$2:$A$11,0))</f>
        <v>Sudeste</v>
      </c>
      <c r="F732" s="2" t="s">
        <v>255</v>
      </c>
      <c r="G732" s="3" t="str">
        <f aca="false">INDEX(Produtos!$B$2:$B$11,MATCH(F732,Produtos!$A$2:$A$11,0))&amp;" "&amp;INDEX(Produtos!$C$2:$C$11,MATCH(F732,Produtos!$A$2:$A$11,0))</f>
        <v>Notebook Positivo</v>
      </c>
      <c r="H732" s="2" t="n">
        <v>1</v>
      </c>
      <c r="I732" s="5" t="n">
        <f aca="false">INDEX(Produtos!$D$2:$D$11,MATCH(F732,Produtos!$A$2:$A$11,0))</f>
        <v>2199</v>
      </c>
      <c r="J732" s="5" t="n">
        <f aca="false">H732*I732</f>
        <v>2199</v>
      </c>
      <c r="K732" s="5" t="n">
        <f aca="false">INDEX(Produtos!$E$2:$E$11,MATCH(F732,Produtos!$A$2:$A$11,0))</f>
        <v>1550</v>
      </c>
      <c r="L732" s="5" t="n">
        <f aca="false">H732*K732</f>
        <v>1550</v>
      </c>
    </row>
    <row r="733" customFormat="false" ht="15" hidden="false" customHeight="false" outlineLevel="0" collapsed="false">
      <c r="A733" s="2" t="s">
        <v>1015</v>
      </c>
      <c r="B733" s="8" t="n">
        <v>46085</v>
      </c>
      <c r="C733" s="2" t="s">
        <v>100</v>
      </c>
      <c r="D733" s="3" t="str">
        <f aca="false">INDEX(Vendedores!$C$2:$C$101,MATCH(C733,Vendedores!$A$2:$A$101,0))</f>
        <v>L03</v>
      </c>
      <c r="E733" s="3" t="str">
        <f aca="false">INDEX(Lojas!$E$2:$E$11,MATCH(D733,Lojas!$A$2:$A$11,0))</f>
        <v>Sudeste</v>
      </c>
      <c r="F733" s="2" t="s">
        <v>252</v>
      </c>
      <c r="G733" s="3" t="str">
        <f aca="false">INDEX(Produtos!$B$2:$B$11,MATCH(F733,Produtos!$A$2:$A$11,0))&amp;" "&amp;INDEX(Produtos!$C$2:$C$11,MATCH(F733,Produtos!$A$2:$A$11,0))</f>
        <v>Notebook Lenovo</v>
      </c>
      <c r="H733" s="2" t="n">
        <v>1</v>
      </c>
      <c r="I733" s="5" t="n">
        <f aca="false">INDEX(Produtos!$D$2:$D$11,MATCH(F733,Produtos!$A$2:$A$11,0))</f>
        <v>3199</v>
      </c>
      <c r="J733" s="5" t="n">
        <f aca="false">H733*I733</f>
        <v>3199</v>
      </c>
      <c r="K733" s="5" t="n">
        <f aca="false">INDEX(Produtos!$E$2:$E$11,MATCH(F733,Produtos!$A$2:$A$11,0))</f>
        <v>2350</v>
      </c>
      <c r="L733" s="5" t="n">
        <f aca="false">H733*K733</f>
        <v>2350</v>
      </c>
    </row>
    <row r="734" customFormat="false" ht="15" hidden="false" customHeight="false" outlineLevel="0" collapsed="false">
      <c r="A734" s="2" t="s">
        <v>1016</v>
      </c>
      <c r="B734" s="8" t="n">
        <v>46085</v>
      </c>
      <c r="C734" s="2" t="s">
        <v>209</v>
      </c>
      <c r="D734" s="3" t="str">
        <f aca="false">INDEX(Vendedores!$C$2:$C$101,MATCH(C734,Vendedores!$A$2:$A$101,0))</f>
        <v>L09</v>
      </c>
      <c r="E734" s="3" t="str">
        <f aca="false">INDEX(Lojas!$E$2:$E$11,MATCH(D734,Lojas!$A$2:$A$11,0))</f>
        <v>Nordeste</v>
      </c>
      <c r="F734" s="2" t="s">
        <v>267</v>
      </c>
      <c r="G734" s="3" t="str">
        <f aca="false">INDEX(Produtos!$B$2:$B$11,MATCH(F734,Produtos!$A$2:$A$11,0))&amp;" "&amp;INDEX(Produtos!$C$2:$C$11,MATCH(F734,Produtos!$A$2:$A$11,0))</f>
        <v>Carregador de Celular Tipo C</v>
      </c>
      <c r="H734" s="2" t="n">
        <v>1</v>
      </c>
      <c r="I734" s="5" t="n">
        <f aca="false">INDEX(Produtos!$D$2:$D$11,MATCH(F734,Produtos!$A$2:$A$11,0))</f>
        <v>44.9</v>
      </c>
      <c r="J734" s="5" t="n">
        <f aca="false">H734*I734</f>
        <v>44.9</v>
      </c>
      <c r="K734" s="5" t="n">
        <f aca="false">INDEX(Produtos!$E$2:$E$11,MATCH(F734,Produtos!$A$2:$A$11,0))</f>
        <v>18</v>
      </c>
      <c r="L734" s="5" t="n">
        <f aca="false">H734*K734</f>
        <v>18</v>
      </c>
    </row>
    <row r="735" customFormat="false" ht="15" hidden="false" customHeight="false" outlineLevel="0" collapsed="false">
      <c r="A735" s="2" t="s">
        <v>1017</v>
      </c>
      <c r="B735" s="8" t="n">
        <v>46085</v>
      </c>
      <c r="C735" s="2" t="s">
        <v>110</v>
      </c>
      <c r="D735" s="3" t="str">
        <f aca="false">INDEX(Vendedores!$C$2:$C$101,MATCH(C735,Vendedores!$A$2:$A$101,0))</f>
        <v>L04</v>
      </c>
      <c r="E735" s="3" t="str">
        <f aca="false">INDEX(Lojas!$E$2:$E$11,MATCH(D735,Lojas!$A$2:$A$11,0))</f>
        <v>Sudeste</v>
      </c>
      <c r="F735" s="2" t="s">
        <v>260</v>
      </c>
      <c r="G735" s="3" t="str">
        <f aca="false">INDEX(Produtos!$B$2:$B$11,MATCH(F735,Produtos!$A$2:$A$11,0))&amp;" "&amp;INDEX(Produtos!$C$2:$C$11,MATCH(F735,Produtos!$A$2:$A$11,0))</f>
        <v>Celular Motorola</v>
      </c>
      <c r="H735" s="2" t="n">
        <v>1</v>
      </c>
      <c r="I735" s="5" t="n">
        <f aca="false">INDEX(Produtos!$D$2:$D$11,MATCH(F735,Produtos!$A$2:$A$11,0))</f>
        <v>1799</v>
      </c>
      <c r="J735" s="5" t="n">
        <f aca="false">H735*I735</f>
        <v>1799</v>
      </c>
      <c r="K735" s="5" t="n">
        <f aca="false">INDEX(Produtos!$E$2:$E$11,MATCH(F735,Produtos!$A$2:$A$11,0))</f>
        <v>1250</v>
      </c>
      <c r="L735" s="5" t="n">
        <f aca="false">H735*K735</f>
        <v>1250</v>
      </c>
    </row>
    <row r="736" customFormat="false" ht="15" hidden="false" customHeight="false" outlineLevel="0" collapsed="false">
      <c r="A736" s="2" t="s">
        <v>1018</v>
      </c>
      <c r="B736" s="8" t="n">
        <v>46085</v>
      </c>
      <c r="C736" s="2" t="s">
        <v>215</v>
      </c>
      <c r="D736" s="3" t="str">
        <f aca="false">INDEX(Vendedores!$C$2:$C$101,MATCH(C736,Vendedores!$A$2:$A$101,0))</f>
        <v>L09</v>
      </c>
      <c r="E736" s="3" t="str">
        <f aca="false">INDEX(Lojas!$E$2:$E$11,MATCH(D736,Lojas!$A$2:$A$11,0))</f>
        <v>Nordeste</v>
      </c>
      <c r="F736" s="2" t="s">
        <v>255</v>
      </c>
      <c r="G736" s="3" t="str">
        <f aca="false">INDEX(Produtos!$B$2:$B$11,MATCH(F736,Produtos!$A$2:$A$11,0))&amp;" "&amp;INDEX(Produtos!$C$2:$C$11,MATCH(F736,Produtos!$A$2:$A$11,0))</f>
        <v>Notebook Positivo</v>
      </c>
      <c r="H736" s="2" t="n">
        <v>1</v>
      </c>
      <c r="I736" s="5" t="n">
        <f aca="false">INDEX(Produtos!$D$2:$D$11,MATCH(F736,Produtos!$A$2:$A$11,0))</f>
        <v>2199</v>
      </c>
      <c r="J736" s="5" t="n">
        <f aca="false">H736*I736</f>
        <v>2199</v>
      </c>
      <c r="K736" s="5" t="n">
        <f aca="false">INDEX(Produtos!$E$2:$E$11,MATCH(F736,Produtos!$A$2:$A$11,0))</f>
        <v>1550</v>
      </c>
      <c r="L736" s="5" t="n">
        <f aca="false">H736*K736</f>
        <v>1550</v>
      </c>
    </row>
    <row r="737" customFormat="false" ht="15" hidden="false" customHeight="false" outlineLevel="0" collapsed="false">
      <c r="A737" s="2" t="s">
        <v>1019</v>
      </c>
      <c r="B737" s="8" t="n">
        <v>46085</v>
      </c>
      <c r="C737" s="2" t="s">
        <v>185</v>
      </c>
      <c r="D737" s="3" t="str">
        <f aca="false">INDEX(Vendedores!$C$2:$C$101,MATCH(C737,Vendedores!$A$2:$A$101,0))</f>
        <v>L08</v>
      </c>
      <c r="E737" s="3" t="str">
        <f aca="false">INDEX(Lojas!$E$2:$E$11,MATCH(D737,Lojas!$A$2:$A$11,0))</f>
        <v>Nordeste</v>
      </c>
      <c r="F737" s="2" t="s">
        <v>265</v>
      </c>
      <c r="G737" s="3" t="str">
        <f aca="false">INDEX(Produtos!$B$2:$B$11,MATCH(F737,Produtos!$A$2:$A$11,0))&amp;" "&amp;INDEX(Produtos!$C$2:$C$11,MATCH(F737,Produtos!$A$2:$A$11,0))</f>
        <v>Fone de Ouvido Headset</v>
      </c>
      <c r="H737" s="2" t="n">
        <v>1</v>
      </c>
      <c r="I737" s="5" t="n">
        <f aca="false">INDEX(Produtos!$D$2:$D$11,MATCH(F737,Produtos!$A$2:$A$11,0))</f>
        <v>249.9</v>
      </c>
      <c r="J737" s="5" t="n">
        <f aca="false">H737*I737</f>
        <v>249.9</v>
      </c>
      <c r="K737" s="5" t="n">
        <f aca="false">INDEX(Produtos!$E$2:$E$11,MATCH(F737,Produtos!$A$2:$A$11,0))</f>
        <v>145</v>
      </c>
      <c r="L737" s="5" t="n">
        <f aca="false">H737*K737</f>
        <v>145</v>
      </c>
    </row>
    <row r="738" customFormat="false" ht="15" hidden="false" customHeight="false" outlineLevel="0" collapsed="false">
      <c r="A738" s="2" t="s">
        <v>1020</v>
      </c>
      <c r="B738" s="8" t="n">
        <v>46085</v>
      </c>
      <c r="C738" s="2" t="s">
        <v>137</v>
      </c>
      <c r="D738" s="3" t="str">
        <f aca="false">INDEX(Vendedores!$C$2:$C$101,MATCH(C738,Vendedores!$A$2:$A$101,0))</f>
        <v>L05</v>
      </c>
      <c r="E738" s="3" t="str">
        <f aca="false">INDEX(Lojas!$E$2:$E$11,MATCH(D738,Lojas!$A$2:$A$11,0))</f>
        <v>Sul</v>
      </c>
      <c r="F738" s="2" t="s">
        <v>255</v>
      </c>
      <c r="G738" s="3" t="str">
        <f aca="false">INDEX(Produtos!$B$2:$B$11,MATCH(F738,Produtos!$A$2:$A$11,0))&amp;" "&amp;INDEX(Produtos!$C$2:$C$11,MATCH(F738,Produtos!$A$2:$A$11,0))</f>
        <v>Notebook Positivo</v>
      </c>
      <c r="H738" s="2" t="n">
        <v>1</v>
      </c>
      <c r="I738" s="5" t="n">
        <f aca="false">INDEX(Produtos!$D$2:$D$11,MATCH(F738,Produtos!$A$2:$A$11,0))</f>
        <v>2199</v>
      </c>
      <c r="J738" s="5" t="n">
        <f aca="false">H738*I738</f>
        <v>2199</v>
      </c>
      <c r="K738" s="5" t="n">
        <f aca="false">INDEX(Produtos!$E$2:$E$11,MATCH(F738,Produtos!$A$2:$A$11,0))</f>
        <v>1550</v>
      </c>
      <c r="L738" s="5" t="n">
        <f aca="false">H738*K738</f>
        <v>1550</v>
      </c>
    </row>
    <row r="739" customFormat="false" ht="15" hidden="false" customHeight="false" outlineLevel="0" collapsed="false">
      <c r="A739" s="2" t="s">
        <v>1021</v>
      </c>
      <c r="B739" s="8" t="n">
        <v>46085</v>
      </c>
      <c r="C739" s="2" t="s">
        <v>140</v>
      </c>
      <c r="D739" s="3" t="str">
        <f aca="false">INDEX(Vendedores!$C$2:$C$101,MATCH(C739,Vendedores!$A$2:$A$101,0))</f>
        <v>L05</v>
      </c>
      <c r="E739" s="3" t="str">
        <f aca="false">INDEX(Lojas!$E$2:$E$11,MATCH(D739,Lojas!$A$2:$A$11,0))</f>
        <v>Sul</v>
      </c>
      <c r="F739" s="2" t="s">
        <v>275</v>
      </c>
      <c r="G739" s="3" t="str">
        <f aca="false">INDEX(Produtos!$B$2:$B$11,MATCH(F739,Produtos!$A$2:$A$11,0))&amp;" "&amp;INDEX(Produtos!$C$2:$C$11,MATCH(F739,Produtos!$A$2:$A$11,0))</f>
        <v>Controle de Videogame PS5</v>
      </c>
      <c r="H739" s="2" t="n">
        <v>2</v>
      </c>
      <c r="I739" s="5" t="n">
        <f aca="false">INDEX(Produtos!$D$2:$D$11,MATCH(F739,Produtos!$A$2:$A$11,0))</f>
        <v>379.9</v>
      </c>
      <c r="J739" s="5" t="n">
        <f aca="false">H739*I739</f>
        <v>759.8</v>
      </c>
      <c r="K739" s="5" t="n">
        <f aca="false">INDEX(Produtos!$E$2:$E$11,MATCH(F739,Produtos!$A$2:$A$11,0))</f>
        <v>235</v>
      </c>
      <c r="L739" s="5" t="n">
        <f aca="false">H739*K739</f>
        <v>470</v>
      </c>
    </row>
    <row r="740" customFormat="false" ht="15" hidden="false" customHeight="false" outlineLevel="0" collapsed="false">
      <c r="A740" s="2" t="s">
        <v>1022</v>
      </c>
      <c r="B740" s="8" t="n">
        <v>46086</v>
      </c>
      <c r="C740" s="2" t="s">
        <v>84</v>
      </c>
      <c r="D740" s="3" t="str">
        <f aca="false">INDEX(Vendedores!$C$2:$C$101,MATCH(C740,Vendedores!$A$2:$A$101,0))</f>
        <v>L02</v>
      </c>
      <c r="E740" s="3" t="str">
        <f aca="false">INDEX(Lojas!$E$2:$E$11,MATCH(D740,Lojas!$A$2:$A$11,0))</f>
        <v>Sudeste</v>
      </c>
      <c r="F740" s="2" t="s">
        <v>257</v>
      </c>
      <c r="G740" s="3" t="str">
        <f aca="false">INDEX(Produtos!$B$2:$B$11,MATCH(F740,Produtos!$A$2:$A$11,0))&amp;" "&amp;INDEX(Produtos!$C$2:$C$11,MATCH(F740,Produtos!$A$2:$A$11,0))</f>
        <v>Celular Samsung</v>
      </c>
      <c r="H740" s="2" t="n">
        <v>3</v>
      </c>
      <c r="I740" s="5" t="n">
        <f aca="false">INDEX(Produtos!$D$2:$D$11,MATCH(F740,Produtos!$A$2:$A$11,0))</f>
        <v>2499</v>
      </c>
      <c r="J740" s="5" t="n">
        <f aca="false">H740*I740</f>
        <v>7497</v>
      </c>
      <c r="K740" s="5" t="n">
        <f aca="false">INDEX(Produtos!$E$2:$E$11,MATCH(F740,Produtos!$A$2:$A$11,0))</f>
        <v>1800</v>
      </c>
      <c r="L740" s="5" t="n">
        <f aca="false">H740*K740</f>
        <v>5400</v>
      </c>
    </row>
    <row r="741" customFormat="false" ht="15" hidden="false" customHeight="false" outlineLevel="0" collapsed="false">
      <c r="A741" s="2" t="s">
        <v>1023</v>
      </c>
      <c r="B741" s="8" t="n">
        <v>46086</v>
      </c>
      <c r="C741" s="2" t="s">
        <v>168</v>
      </c>
      <c r="D741" s="3" t="str">
        <f aca="false">INDEX(Vendedores!$C$2:$C$101,MATCH(C741,Vendedores!$A$2:$A$101,0))</f>
        <v>L07</v>
      </c>
      <c r="E741" s="3" t="str">
        <f aca="false">INDEX(Lojas!$E$2:$E$11,MATCH(D741,Lojas!$A$2:$A$11,0))</f>
        <v>Sul</v>
      </c>
      <c r="F741" s="2" t="s">
        <v>262</v>
      </c>
      <c r="G741" s="3" t="str">
        <f aca="false">INDEX(Produtos!$B$2:$B$11,MATCH(F741,Produtos!$A$2:$A$11,0))&amp;" "&amp;INDEX(Produtos!$C$2:$C$11,MATCH(F741,Produtos!$A$2:$A$11,0))</f>
        <v>Fone de Ouvido De Celular</v>
      </c>
      <c r="H741" s="2" t="n">
        <v>1</v>
      </c>
      <c r="I741" s="5" t="n">
        <f aca="false">INDEX(Produtos!$D$2:$D$11,MATCH(F741,Produtos!$A$2:$A$11,0))</f>
        <v>59.9</v>
      </c>
      <c r="J741" s="5" t="n">
        <f aca="false">H741*I741</f>
        <v>59.9</v>
      </c>
      <c r="K741" s="5" t="n">
        <f aca="false">INDEX(Produtos!$E$2:$E$11,MATCH(F741,Produtos!$A$2:$A$11,0))</f>
        <v>28</v>
      </c>
      <c r="L741" s="5" t="n">
        <f aca="false">H741*K741</f>
        <v>28</v>
      </c>
    </row>
    <row r="742" customFormat="false" ht="15" hidden="false" customHeight="false" outlineLevel="0" collapsed="false">
      <c r="A742" s="2" t="s">
        <v>1024</v>
      </c>
      <c r="B742" s="8" t="n">
        <v>46086</v>
      </c>
      <c r="C742" s="2" t="s">
        <v>133</v>
      </c>
      <c r="D742" s="3" t="str">
        <f aca="false">INDEX(Vendedores!$C$2:$C$101,MATCH(C742,Vendedores!$A$2:$A$101,0))</f>
        <v>L05</v>
      </c>
      <c r="E742" s="3" t="str">
        <f aca="false">INDEX(Lojas!$E$2:$E$11,MATCH(D742,Lojas!$A$2:$A$11,0))</f>
        <v>Sul</v>
      </c>
      <c r="F742" s="2" t="s">
        <v>267</v>
      </c>
      <c r="G742" s="3" t="str">
        <f aca="false">INDEX(Produtos!$B$2:$B$11,MATCH(F742,Produtos!$A$2:$A$11,0))&amp;" "&amp;INDEX(Produtos!$C$2:$C$11,MATCH(F742,Produtos!$A$2:$A$11,0))</f>
        <v>Carregador de Celular Tipo C</v>
      </c>
      <c r="H742" s="2" t="n">
        <v>1</v>
      </c>
      <c r="I742" s="5" t="n">
        <f aca="false">INDEX(Produtos!$D$2:$D$11,MATCH(F742,Produtos!$A$2:$A$11,0))</f>
        <v>44.9</v>
      </c>
      <c r="J742" s="5" t="n">
        <f aca="false">H742*I742</f>
        <v>44.9</v>
      </c>
      <c r="K742" s="5" t="n">
        <f aca="false">INDEX(Produtos!$E$2:$E$11,MATCH(F742,Produtos!$A$2:$A$11,0))</f>
        <v>18</v>
      </c>
      <c r="L742" s="5" t="n">
        <f aca="false">H742*K742</f>
        <v>18</v>
      </c>
    </row>
    <row r="743" customFormat="false" ht="15" hidden="false" customHeight="false" outlineLevel="0" collapsed="false">
      <c r="A743" s="2" t="s">
        <v>1025</v>
      </c>
      <c r="B743" s="8" t="n">
        <v>46086</v>
      </c>
      <c r="C743" s="2" t="s">
        <v>160</v>
      </c>
      <c r="D743" s="3" t="str">
        <f aca="false">INDEX(Vendedores!$C$2:$C$101,MATCH(C743,Vendedores!$A$2:$A$101,0))</f>
        <v>L06</v>
      </c>
      <c r="E743" s="3" t="str">
        <f aca="false">INDEX(Lojas!$E$2:$E$11,MATCH(D743,Lojas!$A$2:$A$11,0))</f>
        <v>Sul</v>
      </c>
      <c r="F743" s="2" t="s">
        <v>275</v>
      </c>
      <c r="G743" s="3" t="str">
        <f aca="false">INDEX(Produtos!$B$2:$B$11,MATCH(F743,Produtos!$A$2:$A$11,0))&amp;" "&amp;INDEX(Produtos!$C$2:$C$11,MATCH(F743,Produtos!$A$2:$A$11,0))</f>
        <v>Controle de Videogame PS5</v>
      </c>
      <c r="H743" s="2" t="n">
        <v>1</v>
      </c>
      <c r="I743" s="5" t="n">
        <f aca="false">INDEX(Produtos!$D$2:$D$11,MATCH(F743,Produtos!$A$2:$A$11,0))</f>
        <v>379.9</v>
      </c>
      <c r="J743" s="5" t="n">
        <f aca="false">H743*I743</f>
        <v>379.9</v>
      </c>
      <c r="K743" s="5" t="n">
        <f aca="false">INDEX(Produtos!$E$2:$E$11,MATCH(F743,Produtos!$A$2:$A$11,0))</f>
        <v>235</v>
      </c>
      <c r="L743" s="5" t="n">
        <f aca="false">H743*K743</f>
        <v>235</v>
      </c>
    </row>
    <row r="744" customFormat="false" ht="15" hidden="false" customHeight="false" outlineLevel="0" collapsed="false">
      <c r="A744" s="2" t="s">
        <v>1026</v>
      </c>
      <c r="B744" s="8" t="n">
        <v>46086</v>
      </c>
      <c r="C744" s="2" t="s">
        <v>90</v>
      </c>
      <c r="D744" s="3" t="str">
        <f aca="false">INDEX(Vendedores!$C$2:$C$101,MATCH(C744,Vendedores!$A$2:$A$101,0))</f>
        <v>L03</v>
      </c>
      <c r="E744" s="3" t="str">
        <f aca="false">INDEX(Lojas!$E$2:$E$11,MATCH(D744,Lojas!$A$2:$A$11,0))</f>
        <v>Sudeste</v>
      </c>
      <c r="F744" s="2" t="s">
        <v>265</v>
      </c>
      <c r="G744" s="3" t="str">
        <f aca="false">INDEX(Produtos!$B$2:$B$11,MATCH(F744,Produtos!$A$2:$A$11,0))&amp;" "&amp;INDEX(Produtos!$C$2:$C$11,MATCH(F744,Produtos!$A$2:$A$11,0))</f>
        <v>Fone de Ouvido Headset</v>
      </c>
      <c r="H744" s="2" t="n">
        <v>2</v>
      </c>
      <c r="I744" s="5" t="n">
        <f aca="false">INDEX(Produtos!$D$2:$D$11,MATCH(F744,Produtos!$A$2:$A$11,0))</f>
        <v>249.9</v>
      </c>
      <c r="J744" s="5" t="n">
        <f aca="false">H744*I744</f>
        <v>499.8</v>
      </c>
      <c r="K744" s="5" t="n">
        <f aca="false">INDEX(Produtos!$E$2:$E$11,MATCH(F744,Produtos!$A$2:$A$11,0))</f>
        <v>145</v>
      </c>
      <c r="L744" s="5" t="n">
        <f aca="false">H744*K744</f>
        <v>290</v>
      </c>
    </row>
    <row r="745" customFormat="false" ht="15" hidden="false" customHeight="false" outlineLevel="0" collapsed="false">
      <c r="A745" s="2" t="s">
        <v>1027</v>
      </c>
      <c r="B745" s="8" t="n">
        <v>46086</v>
      </c>
      <c r="C745" s="2" t="s">
        <v>88</v>
      </c>
      <c r="D745" s="3" t="str">
        <f aca="false">INDEX(Vendedores!$C$2:$C$101,MATCH(C745,Vendedores!$A$2:$A$101,0))</f>
        <v>L02</v>
      </c>
      <c r="E745" s="3" t="str">
        <f aca="false">INDEX(Lojas!$E$2:$E$11,MATCH(D745,Lojas!$A$2:$A$11,0))</f>
        <v>Sudeste</v>
      </c>
      <c r="F745" s="2" t="s">
        <v>275</v>
      </c>
      <c r="G745" s="3" t="str">
        <f aca="false">INDEX(Produtos!$B$2:$B$11,MATCH(F745,Produtos!$A$2:$A$11,0))&amp;" "&amp;INDEX(Produtos!$C$2:$C$11,MATCH(F745,Produtos!$A$2:$A$11,0))</f>
        <v>Controle de Videogame PS5</v>
      </c>
      <c r="H745" s="2" t="n">
        <v>1</v>
      </c>
      <c r="I745" s="5" t="n">
        <f aca="false">INDEX(Produtos!$D$2:$D$11,MATCH(F745,Produtos!$A$2:$A$11,0))</f>
        <v>379.9</v>
      </c>
      <c r="J745" s="5" t="n">
        <f aca="false">H745*I745</f>
        <v>379.9</v>
      </c>
      <c r="K745" s="5" t="n">
        <f aca="false">INDEX(Produtos!$E$2:$E$11,MATCH(F745,Produtos!$A$2:$A$11,0))</f>
        <v>235</v>
      </c>
      <c r="L745" s="5" t="n">
        <f aca="false">H745*K745</f>
        <v>235</v>
      </c>
    </row>
    <row r="746" customFormat="false" ht="15" hidden="false" customHeight="false" outlineLevel="0" collapsed="false">
      <c r="A746" s="2" t="s">
        <v>1028</v>
      </c>
      <c r="B746" s="8" t="n">
        <v>46086</v>
      </c>
      <c r="C746" s="2" t="s">
        <v>235</v>
      </c>
      <c r="D746" s="3" t="str">
        <f aca="false">INDEX(Vendedores!$C$2:$C$101,MATCH(C746,Vendedores!$A$2:$A$101,0))</f>
        <v>L10</v>
      </c>
      <c r="E746" s="3" t="str">
        <f aca="false">INDEX(Lojas!$E$2:$E$11,MATCH(D746,Lojas!$A$2:$A$11,0))</f>
        <v>Nordeste</v>
      </c>
      <c r="F746" s="2" t="s">
        <v>252</v>
      </c>
      <c r="G746" s="3" t="str">
        <f aca="false">INDEX(Produtos!$B$2:$B$11,MATCH(F746,Produtos!$A$2:$A$11,0))&amp;" "&amp;INDEX(Produtos!$C$2:$C$11,MATCH(F746,Produtos!$A$2:$A$11,0))</f>
        <v>Notebook Lenovo</v>
      </c>
      <c r="H746" s="2" t="n">
        <v>1</v>
      </c>
      <c r="I746" s="5" t="n">
        <f aca="false">INDEX(Produtos!$D$2:$D$11,MATCH(F746,Produtos!$A$2:$A$11,0))</f>
        <v>3199</v>
      </c>
      <c r="J746" s="5" t="n">
        <f aca="false">H746*I746</f>
        <v>3199</v>
      </c>
      <c r="K746" s="5" t="n">
        <f aca="false">INDEX(Produtos!$E$2:$E$11,MATCH(F746,Produtos!$A$2:$A$11,0))</f>
        <v>2350</v>
      </c>
      <c r="L746" s="5" t="n">
        <f aca="false">H746*K746</f>
        <v>2350</v>
      </c>
    </row>
    <row r="747" customFormat="false" ht="15" hidden="false" customHeight="false" outlineLevel="0" collapsed="false">
      <c r="A747" s="2" t="s">
        <v>1029</v>
      </c>
      <c r="B747" s="8" t="n">
        <v>46086</v>
      </c>
      <c r="C747" s="2" t="s">
        <v>209</v>
      </c>
      <c r="D747" s="3" t="str">
        <f aca="false">INDEX(Vendedores!$C$2:$C$101,MATCH(C747,Vendedores!$A$2:$A$101,0))</f>
        <v>L09</v>
      </c>
      <c r="E747" s="3" t="str">
        <f aca="false">INDEX(Lojas!$E$2:$E$11,MATCH(D747,Lojas!$A$2:$A$11,0))</f>
        <v>Nordeste</v>
      </c>
      <c r="F747" s="2" t="s">
        <v>267</v>
      </c>
      <c r="G747" s="3" t="str">
        <f aca="false">INDEX(Produtos!$B$2:$B$11,MATCH(F747,Produtos!$A$2:$A$11,0))&amp;" "&amp;INDEX(Produtos!$C$2:$C$11,MATCH(F747,Produtos!$A$2:$A$11,0))</f>
        <v>Carregador de Celular Tipo C</v>
      </c>
      <c r="H747" s="2" t="n">
        <v>1</v>
      </c>
      <c r="I747" s="5" t="n">
        <f aca="false">INDEX(Produtos!$D$2:$D$11,MATCH(F747,Produtos!$A$2:$A$11,0))</f>
        <v>44.9</v>
      </c>
      <c r="J747" s="5" t="n">
        <f aca="false">H747*I747</f>
        <v>44.9</v>
      </c>
      <c r="K747" s="5" t="n">
        <f aca="false">INDEX(Produtos!$E$2:$E$11,MATCH(F747,Produtos!$A$2:$A$11,0))</f>
        <v>18</v>
      </c>
      <c r="L747" s="5" t="n">
        <f aca="false">H747*K747</f>
        <v>18</v>
      </c>
    </row>
    <row r="748" customFormat="false" ht="15" hidden="false" customHeight="false" outlineLevel="0" collapsed="false">
      <c r="A748" s="2" t="s">
        <v>1030</v>
      </c>
      <c r="B748" s="8" t="n">
        <v>46086</v>
      </c>
      <c r="C748" s="2" t="s">
        <v>191</v>
      </c>
      <c r="D748" s="3" t="str">
        <f aca="false">INDEX(Vendedores!$C$2:$C$101,MATCH(C748,Vendedores!$A$2:$A$101,0))</f>
        <v>L08</v>
      </c>
      <c r="E748" s="3" t="str">
        <f aca="false">INDEX(Lojas!$E$2:$E$11,MATCH(D748,Lojas!$A$2:$A$11,0))</f>
        <v>Nordeste</v>
      </c>
      <c r="F748" s="2" t="s">
        <v>252</v>
      </c>
      <c r="G748" s="3" t="str">
        <f aca="false">INDEX(Produtos!$B$2:$B$11,MATCH(F748,Produtos!$A$2:$A$11,0))&amp;" "&amp;INDEX(Produtos!$C$2:$C$11,MATCH(F748,Produtos!$A$2:$A$11,0))</f>
        <v>Notebook Lenovo</v>
      </c>
      <c r="H748" s="2" t="n">
        <v>1</v>
      </c>
      <c r="I748" s="5" t="n">
        <f aca="false">INDEX(Produtos!$D$2:$D$11,MATCH(F748,Produtos!$A$2:$A$11,0))</f>
        <v>3199</v>
      </c>
      <c r="J748" s="5" t="n">
        <f aca="false">H748*I748</f>
        <v>3199</v>
      </c>
      <c r="K748" s="5" t="n">
        <f aca="false">INDEX(Produtos!$E$2:$E$11,MATCH(F748,Produtos!$A$2:$A$11,0))</f>
        <v>2350</v>
      </c>
      <c r="L748" s="5" t="n">
        <f aca="false">H748*K748</f>
        <v>2350</v>
      </c>
    </row>
    <row r="749" customFormat="false" ht="15" hidden="false" customHeight="false" outlineLevel="0" collapsed="false">
      <c r="A749" s="2" t="s">
        <v>1031</v>
      </c>
      <c r="B749" s="8" t="n">
        <v>46086</v>
      </c>
      <c r="C749" s="2" t="s">
        <v>174</v>
      </c>
      <c r="D749" s="3" t="str">
        <f aca="false">INDEX(Vendedores!$C$2:$C$101,MATCH(C749,Vendedores!$A$2:$A$101,0))</f>
        <v>L07</v>
      </c>
      <c r="E749" s="3" t="str">
        <f aca="false">INDEX(Lojas!$E$2:$E$11,MATCH(D749,Lojas!$A$2:$A$11,0))</f>
        <v>Sul</v>
      </c>
      <c r="F749" s="2" t="s">
        <v>270</v>
      </c>
      <c r="G749" s="3" t="str">
        <f aca="false">INDEX(Produtos!$B$2:$B$11,MATCH(F749,Produtos!$A$2:$A$11,0))&amp;" "&amp;INDEX(Produtos!$C$2:$C$11,MATCH(F749,Produtos!$A$2:$A$11,0))</f>
        <v>Controle de Videogame Xbox</v>
      </c>
      <c r="H749" s="2" t="n">
        <v>1</v>
      </c>
      <c r="I749" s="5" t="n">
        <f aca="false">INDEX(Produtos!$D$2:$D$11,MATCH(F749,Produtos!$A$2:$A$11,0))</f>
        <v>349.9</v>
      </c>
      <c r="J749" s="5" t="n">
        <f aca="false">H749*I749</f>
        <v>349.9</v>
      </c>
      <c r="K749" s="5" t="n">
        <f aca="false">INDEX(Produtos!$E$2:$E$11,MATCH(F749,Produtos!$A$2:$A$11,0))</f>
        <v>215</v>
      </c>
      <c r="L749" s="5" t="n">
        <f aca="false">H749*K749</f>
        <v>215</v>
      </c>
    </row>
    <row r="750" customFormat="false" ht="15" hidden="false" customHeight="false" outlineLevel="0" collapsed="false">
      <c r="A750" s="2" t="s">
        <v>1032</v>
      </c>
      <c r="B750" s="8" t="n">
        <v>46086</v>
      </c>
      <c r="C750" s="2" t="s">
        <v>201</v>
      </c>
      <c r="D750" s="3" t="str">
        <f aca="false">INDEX(Vendedores!$C$2:$C$101,MATCH(C750,Vendedores!$A$2:$A$101,0))</f>
        <v>L08</v>
      </c>
      <c r="E750" s="3" t="str">
        <f aca="false">INDEX(Lojas!$E$2:$E$11,MATCH(D750,Lojas!$A$2:$A$11,0))</f>
        <v>Nordeste</v>
      </c>
      <c r="F750" s="2" t="s">
        <v>267</v>
      </c>
      <c r="G750" s="3" t="str">
        <f aca="false">INDEX(Produtos!$B$2:$B$11,MATCH(F750,Produtos!$A$2:$A$11,0))&amp;" "&amp;INDEX(Produtos!$C$2:$C$11,MATCH(F750,Produtos!$A$2:$A$11,0))</f>
        <v>Carregador de Celular Tipo C</v>
      </c>
      <c r="H750" s="2" t="n">
        <v>1</v>
      </c>
      <c r="I750" s="5" t="n">
        <f aca="false">INDEX(Produtos!$D$2:$D$11,MATCH(F750,Produtos!$A$2:$A$11,0))</f>
        <v>44.9</v>
      </c>
      <c r="J750" s="5" t="n">
        <f aca="false">H750*I750</f>
        <v>44.9</v>
      </c>
      <c r="K750" s="5" t="n">
        <f aca="false">INDEX(Produtos!$E$2:$E$11,MATCH(F750,Produtos!$A$2:$A$11,0))</f>
        <v>18</v>
      </c>
      <c r="L750" s="5" t="n">
        <f aca="false">H750*K750</f>
        <v>18</v>
      </c>
    </row>
    <row r="751" customFormat="false" ht="15" hidden="false" customHeight="false" outlineLevel="0" collapsed="false">
      <c r="A751" s="2" t="s">
        <v>1033</v>
      </c>
      <c r="B751" s="8" t="n">
        <v>46086</v>
      </c>
      <c r="C751" s="2" t="s">
        <v>133</v>
      </c>
      <c r="D751" s="3" t="str">
        <f aca="false">INDEX(Vendedores!$C$2:$C$101,MATCH(C751,Vendedores!$A$2:$A$101,0))</f>
        <v>L05</v>
      </c>
      <c r="E751" s="3" t="str">
        <f aca="false">INDEX(Lojas!$E$2:$E$11,MATCH(D751,Lojas!$A$2:$A$11,0))</f>
        <v>Sul</v>
      </c>
      <c r="F751" s="2" t="s">
        <v>275</v>
      </c>
      <c r="G751" s="3" t="str">
        <f aca="false">INDEX(Produtos!$B$2:$B$11,MATCH(F751,Produtos!$A$2:$A$11,0))&amp;" "&amp;INDEX(Produtos!$C$2:$C$11,MATCH(F751,Produtos!$A$2:$A$11,0))</f>
        <v>Controle de Videogame PS5</v>
      </c>
      <c r="H751" s="2" t="n">
        <v>1</v>
      </c>
      <c r="I751" s="5" t="n">
        <f aca="false">INDEX(Produtos!$D$2:$D$11,MATCH(F751,Produtos!$A$2:$A$11,0))</f>
        <v>379.9</v>
      </c>
      <c r="J751" s="5" t="n">
        <f aca="false">H751*I751</f>
        <v>379.9</v>
      </c>
      <c r="K751" s="5" t="n">
        <f aca="false">INDEX(Produtos!$E$2:$E$11,MATCH(F751,Produtos!$A$2:$A$11,0))</f>
        <v>235</v>
      </c>
      <c r="L751" s="5" t="n">
        <f aca="false">H751*K751</f>
        <v>235</v>
      </c>
    </row>
    <row r="752" customFormat="false" ht="15" hidden="false" customHeight="false" outlineLevel="0" collapsed="false">
      <c r="A752" s="2" t="s">
        <v>1034</v>
      </c>
      <c r="B752" s="8" t="n">
        <v>46086</v>
      </c>
      <c r="C752" s="2" t="s">
        <v>80</v>
      </c>
      <c r="D752" s="3" t="str">
        <f aca="false">INDEX(Vendedores!$C$2:$C$101,MATCH(C752,Vendedores!$A$2:$A$101,0))</f>
        <v>L02</v>
      </c>
      <c r="E752" s="3" t="str">
        <f aca="false">INDEX(Lojas!$E$2:$E$11,MATCH(D752,Lojas!$A$2:$A$11,0))</f>
        <v>Sudeste</v>
      </c>
      <c r="F752" s="2" t="s">
        <v>273</v>
      </c>
      <c r="G752" s="3" t="str">
        <f aca="false">INDEX(Produtos!$B$2:$B$11,MATCH(F752,Produtos!$A$2:$A$11,0))&amp;" "&amp;INDEX(Produtos!$C$2:$C$11,MATCH(F752,Produtos!$A$2:$A$11,0))</f>
        <v>Controle de Videogame PS4</v>
      </c>
      <c r="H752" s="2" t="n">
        <v>1</v>
      </c>
      <c r="I752" s="5" t="n">
        <f aca="false">INDEX(Produtos!$D$2:$D$11,MATCH(F752,Produtos!$A$2:$A$11,0))</f>
        <v>299.9</v>
      </c>
      <c r="J752" s="5" t="n">
        <f aca="false">H752*I752</f>
        <v>299.9</v>
      </c>
      <c r="K752" s="5" t="n">
        <f aca="false">INDEX(Produtos!$E$2:$E$11,MATCH(F752,Produtos!$A$2:$A$11,0))</f>
        <v>175</v>
      </c>
      <c r="L752" s="5" t="n">
        <f aca="false">H752*K752</f>
        <v>175</v>
      </c>
    </row>
    <row r="753" customFormat="false" ht="15" hidden="false" customHeight="false" outlineLevel="0" collapsed="false">
      <c r="A753" s="2" t="s">
        <v>1035</v>
      </c>
      <c r="B753" s="8" t="n">
        <v>46086</v>
      </c>
      <c r="C753" s="2" t="s">
        <v>233</v>
      </c>
      <c r="D753" s="3" t="str">
        <f aca="false">INDEX(Vendedores!$C$2:$C$101,MATCH(C753,Vendedores!$A$2:$A$101,0))</f>
        <v>L10</v>
      </c>
      <c r="E753" s="3" t="str">
        <f aca="false">INDEX(Lojas!$E$2:$E$11,MATCH(D753,Lojas!$A$2:$A$11,0))</f>
        <v>Nordeste</v>
      </c>
      <c r="F753" s="2" t="s">
        <v>257</v>
      </c>
      <c r="G753" s="3" t="str">
        <f aca="false">INDEX(Produtos!$B$2:$B$11,MATCH(F753,Produtos!$A$2:$A$11,0))&amp;" "&amp;INDEX(Produtos!$C$2:$C$11,MATCH(F753,Produtos!$A$2:$A$11,0))</f>
        <v>Celular Samsung</v>
      </c>
      <c r="H753" s="2" t="n">
        <v>1</v>
      </c>
      <c r="I753" s="5" t="n">
        <f aca="false">INDEX(Produtos!$D$2:$D$11,MATCH(F753,Produtos!$A$2:$A$11,0))</f>
        <v>2499</v>
      </c>
      <c r="J753" s="5" t="n">
        <f aca="false">H753*I753</f>
        <v>2499</v>
      </c>
      <c r="K753" s="5" t="n">
        <f aca="false">INDEX(Produtos!$E$2:$E$11,MATCH(F753,Produtos!$A$2:$A$11,0))</f>
        <v>1800</v>
      </c>
      <c r="L753" s="5" t="n">
        <f aca="false">H753*K753</f>
        <v>1800</v>
      </c>
    </row>
    <row r="754" customFormat="false" ht="15" hidden="false" customHeight="false" outlineLevel="0" collapsed="false">
      <c r="A754" s="2" t="s">
        <v>1036</v>
      </c>
      <c r="B754" s="8" t="n">
        <v>46086</v>
      </c>
      <c r="C754" s="2" t="s">
        <v>164</v>
      </c>
      <c r="D754" s="3" t="str">
        <f aca="false">INDEX(Vendedores!$C$2:$C$101,MATCH(C754,Vendedores!$A$2:$A$101,0))</f>
        <v>L06</v>
      </c>
      <c r="E754" s="3" t="str">
        <f aca="false">INDEX(Lojas!$E$2:$E$11,MATCH(D754,Lojas!$A$2:$A$11,0))</f>
        <v>Sul</v>
      </c>
      <c r="F754" s="2" t="s">
        <v>267</v>
      </c>
      <c r="G754" s="3" t="str">
        <f aca="false">INDEX(Produtos!$B$2:$B$11,MATCH(F754,Produtos!$A$2:$A$11,0))&amp;" "&amp;INDEX(Produtos!$C$2:$C$11,MATCH(F754,Produtos!$A$2:$A$11,0))</f>
        <v>Carregador de Celular Tipo C</v>
      </c>
      <c r="H754" s="2" t="n">
        <v>1</v>
      </c>
      <c r="I754" s="5" t="n">
        <f aca="false">INDEX(Produtos!$D$2:$D$11,MATCH(F754,Produtos!$A$2:$A$11,0))</f>
        <v>44.9</v>
      </c>
      <c r="J754" s="5" t="n">
        <f aca="false">H754*I754</f>
        <v>44.9</v>
      </c>
      <c r="K754" s="5" t="n">
        <f aca="false">INDEX(Produtos!$E$2:$E$11,MATCH(F754,Produtos!$A$2:$A$11,0))</f>
        <v>18</v>
      </c>
      <c r="L754" s="5" t="n">
        <f aca="false">H754*K754</f>
        <v>18</v>
      </c>
    </row>
    <row r="755" customFormat="false" ht="15" hidden="false" customHeight="false" outlineLevel="0" collapsed="false">
      <c r="A755" s="2" t="s">
        <v>1037</v>
      </c>
      <c r="B755" s="8" t="n">
        <v>46086</v>
      </c>
      <c r="C755" s="2" t="s">
        <v>156</v>
      </c>
      <c r="D755" s="3" t="str">
        <f aca="false">INDEX(Vendedores!$C$2:$C$101,MATCH(C755,Vendedores!$A$2:$A$101,0))</f>
        <v>L06</v>
      </c>
      <c r="E755" s="3" t="str">
        <f aca="false">INDEX(Lojas!$E$2:$E$11,MATCH(D755,Lojas!$A$2:$A$11,0))</f>
        <v>Sul</v>
      </c>
      <c r="F755" s="2" t="s">
        <v>267</v>
      </c>
      <c r="G755" s="3" t="str">
        <f aca="false">INDEX(Produtos!$B$2:$B$11,MATCH(F755,Produtos!$A$2:$A$11,0))&amp;" "&amp;INDEX(Produtos!$C$2:$C$11,MATCH(F755,Produtos!$A$2:$A$11,0))</f>
        <v>Carregador de Celular Tipo C</v>
      </c>
      <c r="H755" s="2" t="n">
        <v>1</v>
      </c>
      <c r="I755" s="5" t="n">
        <f aca="false">INDEX(Produtos!$D$2:$D$11,MATCH(F755,Produtos!$A$2:$A$11,0))</f>
        <v>44.9</v>
      </c>
      <c r="J755" s="5" t="n">
        <f aca="false">H755*I755</f>
        <v>44.9</v>
      </c>
      <c r="K755" s="5" t="n">
        <f aca="false">INDEX(Produtos!$E$2:$E$11,MATCH(F755,Produtos!$A$2:$A$11,0))</f>
        <v>18</v>
      </c>
      <c r="L755" s="5" t="n">
        <f aca="false">H755*K755</f>
        <v>18</v>
      </c>
    </row>
    <row r="756" customFormat="false" ht="15" hidden="false" customHeight="false" outlineLevel="0" collapsed="false">
      <c r="A756" s="2" t="s">
        <v>1038</v>
      </c>
      <c r="B756" s="8" t="n">
        <v>46087</v>
      </c>
      <c r="C756" s="2" t="s">
        <v>199</v>
      </c>
      <c r="D756" s="3" t="str">
        <f aca="false">INDEX(Vendedores!$C$2:$C$101,MATCH(C756,Vendedores!$A$2:$A$101,0))</f>
        <v>L08</v>
      </c>
      <c r="E756" s="3" t="str">
        <f aca="false">INDEX(Lojas!$E$2:$E$11,MATCH(D756,Lojas!$A$2:$A$11,0))</f>
        <v>Nordeste</v>
      </c>
      <c r="F756" s="2" t="s">
        <v>260</v>
      </c>
      <c r="G756" s="3" t="str">
        <f aca="false">INDEX(Produtos!$B$2:$B$11,MATCH(F756,Produtos!$A$2:$A$11,0))&amp;" "&amp;INDEX(Produtos!$C$2:$C$11,MATCH(F756,Produtos!$A$2:$A$11,0))</f>
        <v>Celular Motorola</v>
      </c>
      <c r="H756" s="2" t="n">
        <v>1</v>
      </c>
      <c r="I756" s="5" t="n">
        <f aca="false">INDEX(Produtos!$D$2:$D$11,MATCH(F756,Produtos!$A$2:$A$11,0))</f>
        <v>1799</v>
      </c>
      <c r="J756" s="5" t="n">
        <f aca="false">H756*I756</f>
        <v>1799</v>
      </c>
      <c r="K756" s="5" t="n">
        <f aca="false">INDEX(Produtos!$E$2:$E$11,MATCH(F756,Produtos!$A$2:$A$11,0))</f>
        <v>1250</v>
      </c>
      <c r="L756" s="5" t="n">
        <f aca="false">H756*K756</f>
        <v>1250</v>
      </c>
    </row>
    <row r="757" customFormat="false" ht="15" hidden="false" customHeight="false" outlineLevel="0" collapsed="false">
      <c r="A757" s="2" t="s">
        <v>1039</v>
      </c>
      <c r="B757" s="8" t="n">
        <v>46087</v>
      </c>
      <c r="C757" s="2" t="s">
        <v>122</v>
      </c>
      <c r="D757" s="3" t="str">
        <f aca="false">INDEX(Vendedores!$C$2:$C$101,MATCH(C757,Vendedores!$A$2:$A$101,0))</f>
        <v>L04</v>
      </c>
      <c r="E757" s="3" t="str">
        <f aca="false">INDEX(Lojas!$E$2:$E$11,MATCH(D757,Lojas!$A$2:$A$11,0))</f>
        <v>Sudeste</v>
      </c>
      <c r="F757" s="2" t="s">
        <v>275</v>
      </c>
      <c r="G757" s="3" t="str">
        <f aca="false">INDEX(Produtos!$B$2:$B$11,MATCH(F757,Produtos!$A$2:$A$11,0))&amp;" "&amp;INDEX(Produtos!$C$2:$C$11,MATCH(F757,Produtos!$A$2:$A$11,0))</f>
        <v>Controle de Videogame PS5</v>
      </c>
      <c r="H757" s="2" t="n">
        <v>1</v>
      </c>
      <c r="I757" s="5" t="n">
        <f aca="false">INDEX(Produtos!$D$2:$D$11,MATCH(F757,Produtos!$A$2:$A$11,0))</f>
        <v>379.9</v>
      </c>
      <c r="J757" s="5" t="n">
        <f aca="false">H757*I757</f>
        <v>379.9</v>
      </c>
      <c r="K757" s="5" t="n">
        <f aca="false">INDEX(Produtos!$E$2:$E$11,MATCH(F757,Produtos!$A$2:$A$11,0))</f>
        <v>235</v>
      </c>
      <c r="L757" s="5" t="n">
        <f aca="false">H757*K757</f>
        <v>235</v>
      </c>
    </row>
    <row r="758" customFormat="false" ht="15" hidden="false" customHeight="false" outlineLevel="0" collapsed="false">
      <c r="A758" s="2" t="s">
        <v>1040</v>
      </c>
      <c r="B758" s="8" t="n">
        <v>46087</v>
      </c>
      <c r="C758" s="2" t="s">
        <v>128</v>
      </c>
      <c r="D758" s="3" t="str">
        <f aca="false">INDEX(Vendedores!$C$2:$C$101,MATCH(C758,Vendedores!$A$2:$A$101,0))</f>
        <v>L04</v>
      </c>
      <c r="E758" s="3" t="str">
        <f aca="false">INDEX(Lojas!$E$2:$E$11,MATCH(D758,Lojas!$A$2:$A$11,0))</f>
        <v>Sudeste</v>
      </c>
      <c r="F758" s="2" t="s">
        <v>265</v>
      </c>
      <c r="G758" s="3" t="str">
        <f aca="false">INDEX(Produtos!$B$2:$B$11,MATCH(F758,Produtos!$A$2:$A$11,0))&amp;" "&amp;INDEX(Produtos!$C$2:$C$11,MATCH(F758,Produtos!$A$2:$A$11,0))</f>
        <v>Fone de Ouvido Headset</v>
      </c>
      <c r="H758" s="2" t="n">
        <v>1</v>
      </c>
      <c r="I758" s="5" t="n">
        <f aca="false">INDEX(Produtos!$D$2:$D$11,MATCH(F758,Produtos!$A$2:$A$11,0))</f>
        <v>249.9</v>
      </c>
      <c r="J758" s="5" t="n">
        <f aca="false">H758*I758</f>
        <v>249.9</v>
      </c>
      <c r="K758" s="5" t="n">
        <f aca="false">INDEX(Produtos!$E$2:$E$11,MATCH(F758,Produtos!$A$2:$A$11,0))</f>
        <v>145</v>
      </c>
      <c r="L758" s="5" t="n">
        <f aca="false">H758*K758</f>
        <v>145</v>
      </c>
    </row>
    <row r="759" customFormat="false" ht="15" hidden="false" customHeight="false" outlineLevel="0" collapsed="false">
      <c r="A759" s="2" t="s">
        <v>1041</v>
      </c>
      <c r="B759" s="8" t="n">
        <v>46087</v>
      </c>
      <c r="C759" s="2" t="s">
        <v>58</v>
      </c>
      <c r="D759" s="3" t="str">
        <f aca="false">INDEX(Vendedores!$C$2:$C$101,MATCH(C759,Vendedores!$A$2:$A$101,0))</f>
        <v>L01</v>
      </c>
      <c r="E759" s="3" t="str">
        <f aca="false">INDEX(Lojas!$E$2:$E$11,MATCH(D759,Lojas!$A$2:$A$11,0))</f>
        <v>Sudeste</v>
      </c>
      <c r="F759" s="2" t="s">
        <v>265</v>
      </c>
      <c r="G759" s="3" t="str">
        <f aca="false">INDEX(Produtos!$B$2:$B$11,MATCH(F759,Produtos!$A$2:$A$11,0))&amp;" "&amp;INDEX(Produtos!$C$2:$C$11,MATCH(F759,Produtos!$A$2:$A$11,0))</f>
        <v>Fone de Ouvido Headset</v>
      </c>
      <c r="H759" s="2" t="n">
        <v>1</v>
      </c>
      <c r="I759" s="5" t="n">
        <f aca="false">INDEX(Produtos!$D$2:$D$11,MATCH(F759,Produtos!$A$2:$A$11,0))</f>
        <v>249.9</v>
      </c>
      <c r="J759" s="5" t="n">
        <f aca="false">H759*I759</f>
        <v>249.9</v>
      </c>
      <c r="K759" s="5" t="n">
        <f aca="false">INDEX(Produtos!$E$2:$E$11,MATCH(F759,Produtos!$A$2:$A$11,0))</f>
        <v>145</v>
      </c>
      <c r="L759" s="5" t="n">
        <f aca="false">H759*K759</f>
        <v>145</v>
      </c>
    </row>
    <row r="760" customFormat="false" ht="15" hidden="false" customHeight="false" outlineLevel="0" collapsed="false">
      <c r="A760" s="2" t="s">
        <v>1042</v>
      </c>
      <c r="B760" s="8" t="n">
        <v>46087</v>
      </c>
      <c r="C760" s="2" t="s">
        <v>146</v>
      </c>
      <c r="D760" s="3" t="str">
        <f aca="false">INDEX(Vendedores!$C$2:$C$101,MATCH(C760,Vendedores!$A$2:$A$101,0))</f>
        <v>L05</v>
      </c>
      <c r="E760" s="3" t="str">
        <f aca="false">INDEX(Lojas!$E$2:$E$11,MATCH(D760,Lojas!$A$2:$A$11,0))</f>
        <v>Sul</v>
      </c>
      <c r="F760" s="2" t="s">
        <v>270</v>
      </c>
      <c r="G760" s="3" t="str">
        <f aca="false">INDEX(Produtos!$B$2:$B$11,MATCH(F760,Produtos!$A$2:$A$11,0))&amp;" "&amp;INDEX(Produtos!$C$2:$C$11,MATCH(F760,Produtos!$A$2:$A$11,0))</f>
        <v>Controle de Videogame Xbox</v>
      </c>
      <c r="H760" s="2" t="n">
        <v>1</v>
      </c>
      <c r="I760" s="5" t="n">
        <f aca="false">INDEX(Produtos!$D$2:$D$11,MATCH(F760,Produtos!$A$2:$A$11,0))</f>
        <v>349.9</v>
      </c>
      <c r="J760" s="5" t="n">
        <f aca="false">H760*I760</f>
        <v>349.9</v>
      </c>
      <c r="K760" s="5" t="n">
        <f aca="false">INDEX(Produtos!$E$2:$E$11,MATCH(F760,Produtos!$A$2:$A$11,0))</f>
        <v>215</v>
      </c>
      <c r="L760" s="5" t="n">
        <f aca="false">H760*K760</f>
        <v>215</v>
      </c>
    </row>
    <row r="761" customFormat="false" ht="15" hidden="false" customHeight="false" outlineLevel="0" collapsed="false">
      <c r="A761" s="2" t="s">
        <v>1043</v>
      </c>
      <c r="B761" s="8" t="n">
        <v>46087</v>
      </c>
      <c r="C761" s="2" t="s">
        <v>185</v>
      </c>
      <c r="D761" s="3" t="str">
        <f aca="false">INDEX(Vendedores!$C$2:$C$101,MATCH(C761,Vendedores!$A$2:$A$101,0))</f>
        <v>L08</v>
      </c>
      <c r="E761" s="3" t="str">
        <f aca="false">INDEX(Lojas!$E$2:$E$11,MATCH(D761,Lojas!$A$2:$A$11,0))</f>
        <v>Nordeste</v>
      </c>
      <c r="F761" s="2" t="s">
        <v>273</v>
      </c>
      <c r="G761" s="3" t="str">
        <f aca="false">INDEX(Produtos!$B$2:$B$11,MATCH(F761,Produtos!$A$2:$A$11,0))&amp;" "&amp;INDEX(Produtos!$C$2:$C$11,MATCH(F761,Produtos!$A$2:$A$11,0))</f>
        <v>Controle de Videogame PS4</v>
      </c>
      <c r="H761" s="2" t="n">
        <v>1</v>
      </c>
      <c r="I761" s="5" t="n">
        <f aca="false">INDEX(Produtos!$D$2:$D$11,MATCH(F761,Produtos!$A$2:$A$11,0))</f>
        <v>299.9</v>
      </c>
      <c r="J761" s="5" t="n">
        <f aca="false">H761*I761</f>
        <v>299.9</v>
      </c>
      <c r="K761" s="5" t="n">
        <f aca="false">INDEX(Produtos!$E$2:$E$11,MATCH(F761,Produtos!$A$2:$A$11,0))</f>
        <v>175</v>
      </c>
      <c r="L761" s="5" t="n">
        <f aca="false">H761*K761</f>
        <v>175</v>
      </c>
    </row>
    <row r="762" customFormat="false" ht="15" hidden="false" customHeight="false" outlineLevel="0" collapsed="false">
      <c r="A762" s="2" t="s">
        <v>1044</v>
      </c>
      <c r="B762" s="8" t="n">
        <v>46087</v>
      </c>
      <c r="C762" s="2" t="s">
        <v>166</v>
      </c>
      <c r="D762" s="3" t="str">
        <f aca="false">INDEX(Vendedores!$C$2:$C$101,MATCH(C762,Vendedores!$A$2:$A$101,0))</f>
        <v>L06</v>
      </c>
      <c r="E762" s="3" t="str">
        <f aca="false">INDEX(Lojas!$E$2:$E$11,MATCH(D762,Lojas!$A$2:$A$11,0))</f>
        <v>Sul</v>
      </c>
      <c r="F762" s="2" t="s">
        <v>275</v>
      </c>
      <c r="G762" s="3" t="str">
        <f aca="false">INDEX(Produtos!$B$2:$B$11,MATCH(F762,Produtos!$A$2:$A$11,0))&amp;" "&amp;INDEX(Produtos!$C$2:$C$11,MATCH(F762,Produtos!$A$2:$A$11,0))</f>
        <v>Controle de Videogame PS5</v>
      </c>
      <c r="H762" s="2" t="n">
        <v>2</v>
      </c>
      <c r="I762" s="5" t="n">
        <f aca="false">INDEX(Produtos!$D$2:$D$11,MATCH(F762,Produtos!$A$2:$A$11,0))</f>
        <v>379.9</v>
      </c>
      <c r="J762" s="5" t="n">
        <f aca="false">H762*I762</f>
        <v>759.8</v>
      </c>
      <c r="K762" s="5" t="n">
        <f aca="false">INDEX(Produtos!$E$2:$E$11,MATCH(F762,Produtos!$A$2:$A$11,0))</f>
        <v>235</v>
      </c>
      <c r="L762" s="5" t="n">
        <f aca="false">H762*K762</f>
        <v>470</v>
      </c>
    </row>
    <row r="763" customFormat="false" ht="15" hidden="false" customHeight="false" outlineLevel="0" collapsed="false">
      <c r="A763" s="2" t="s">
        <v>1045</v>
      </c>
      <c r="B763" s="8" t="n">
        <v>46087</v>
      </c>
      <c r="C763" s="2" t="s">
        <v>148</v>
      </c>
      <c r="D763" s="3" t="str">
        <f aca="false">INDEX(Vendedores!$C$2:$C$101,MATCH(C763,Vendedores!$A$2:$A$101,0))</f>
        <v>L06</v>
      </c>
      <c r="E763" s="3" t="str">
        <f aca="false">INDEX(Lojas!$E$2:$E$11,MATCH(D763,Lojas!$A$2:$A$11,0))</f>
        <v>Sul</v>
      </c>
      <c r="F763" s="2" t="s">
        <v>275</v>
      </c>
      <c r="G763" s="3" t="str">
        <f aca="false">INDEX(Produtos!$B$2:$B$11,MATCH(F763,Produtos!$A$2:$A$11,0))&amp;" "&amp;INDEX(Produtos!$C$2:$C$11,MATCH(F763,Produtos!$A$2:$A$11,0))</f>
        <v>Controle de Videogame PS5</v>
      </c>
      <c r="H763" s="2" t="n">
        <v>1</v>
      </c>
      <c r="I763" s="5" t="n">
        <f aca="false">INDEX(Produtos!$D$2:$D$11,MATCH(F763,Produtos!$A$2:$A$11,0))</f>
        <v>379.9</v>
      </c>
      <c r="J763" s="5" t="n">
        <f aca="false">H763*I763</f>
        <v>379.9</v>
      </c>
      <c r="K763" s="5" t="n">
        <f aca="false">INDEX(Produtos!$E$2:$E$11,MATCH(F763,Produtos!$A$2:$A$11,0))</f>
        <v>235</v>
      </c>
      <c r="L763" s="5" t="n">
        <f aca="false">H763*K763</f>
        <v>235</v>
      </c>
    </row>
    <row r="764" customFormat="false" ht="15" hidden="false" customHeight="false" outlineLevel="0" collapsed="false">
      <c r="A764" s="2" t="s">
        <v>1046</v>
      </c>
      <c r="B764" s="8" t="n">
        <v>46087</v>
      </c>
      <c r="C764" s="2" t="s">
        <v>137</v>
      </c>
      <c r="D764" s="3" t="str">
        <f aca="false">INDEX(Vendedores!$C$2:$C$101,MATCH(C764,Vendedores!$A$2:$A$101,0))</f>
        <v>L05</v>
      </c>
      <c r="E764" s="3" t="str">
        <f aca="false">INDEX(Lojas!$E$2:$E$11,MATCH(D764,Lojas!$A$2:$A$11,0))</f>
        <v>Sul</v>
      </c>
      <c r="F764" s="2" t="s">
        <v>267</v>
      </c>
      <c r="G764" s="3" t="str">
        <f aca="false">INDEX(Produtos!$B$2:$B$11,MATCH(F764,Produtos!$A$2:$A$11,0))&amp;" "&amp;INDEX(Produtos!$C$2:$C$11,MATCH(F764,Produtos!$A$2:$A$11,0))</f>
        <v>Carregador de Celular Tipo C</v>
      </c>
      <c r="H764" s="2" t="n">
        <v>2</v>
      </c>
      <c r="I764" s="5" t="n">
        <f aca="false">INDEX(Produtos!$D$2:$D$11,MATCH(F764,Produtos!$A$2:$A$11,0))</f>
        <v>44.9</v>
      </c>
      <c r="J764" s="5" t="n">
        <f aca="false">H764*I764</f>
        <v>89.8</v>
      </c>
      <c r="K764" s="5" t="n">
        <f aca="false">INDEX(Produtos!$E$2:$E$11,MATCH(F764,Produtos!$A$2:$A$11,0))</f>
        <v>18</v>
      </c>
      <c r="L764" s="5" t="n">
        <f aca="false">H764*K764</f>
        <v>36</v>
      </c>
    </row>
    <row r="765" customFormat="false" ht="15" hidden="false" customHeight="false" outlineLevel="0" collapsed="false">
      <c r="A765" s="2" t="s">
        <v>1047</v>
      </c>
      <c r="B765" s="8" t="n">
        <v>46087</v>
      </c>
      <c r="C765" s="2" t="s">
        <v>124</v>
      </c>
      <c r="D765" s="3" t="str">
        <f aca="false">INDEX(Vendedores!$C$2:$C$101,MATCH(C765,Vendedores!$A$2:$A$101,0))</f>
        <v>L04</v>
      </c>
      <c r="E765" s="3" t="str">
        <f aca="false">INDEX(Lojas!$E$2:$E$11,MATCH(D765,Lojas!$A$2:$A$11,0))</f>
        <v>Sudeste</v>
      </c>
      <c r="F765" s="2" t="s">
        <v>265</v>
      </c>
      <c r="G765" s="3" t="str">
        <f aca="false">INDEX(Produtos!$B$2:$B$11,MATCH(F765,Produtos!$A$2:$A$11,0))&amp;" "&amp;INDEX(Produtos!$C$2:$C$11,MATCH(F765,Produtos!$A$2:$A$11,0))</f>
        <v>Fone de Ouvido Headset</v>
      </c>
      <c r="H765" s="2" t="n">
        <v>1</v>
      </c>
      <c r="I765" s="5" t="n">
        <f aca="false">INDEX(Produtos!$D$2:$D$11,MATCH(F765,Produtos!$A$2:$A$11,0))</f>
        <v>249.9</v>
      </c>
      <c r="J765" s="5" t="n">
        <f aca="false">H765*I765</f>
        <v>249.9</v>
      </c>
      <c r="K765" s="5" t="n">
        <f aca="false">INDEX(Produtos!$E$2:$E$11,MATCH(F765,Produtos!$A$2:$A$11,0))</f>
        <v>145</v>
      </c>
      <c r="L765" s="5" t="n">
        <f aca="false">H765*K765</f>
        <v>145</v>
      </c>
    </row>
    <row r="766" customFormat="false" ht="15" hidden="false" customHeight="false" outlineLevel="0" collapsed="false">
      <c r="A766" s="2" t="s">
        <v>1048</v>
      </c>
      <c r="B766" s="8" t="n">
        <v>46088</v>
      </c>
      <c r="C766" s="2" t="s">
        <v>162</v>
      </c>
      <c r="D766" s="3" t="str">
        <f aca="false">INDEX(Vendedores!$C$2:$C$101,MATCH(C766,Vendedores!$A$2:$A$101,0))</f>
        <v>L06</v>
      </c>
      <c r="E766" s="3" t="str">
        <f aca="false">INDEX(Lojas!$E$2:$E$11,MATCH(D766,Lojas!$A$2:$A$11,0))</f>
        <v>Sul</v>
      </c>
      <c r="F766" s="2" t="s">
        <v>267</v>
      </c>
      <c r="G766" s="3" t="str">
        <f aca="false">INDEX(Produtos!$B$2:$B$11,MATCH(F766,Produtos!$A$2:$A$11,0))&amp;" "&amp;INDEX(Produtos!$C$2:$C$11,MATCH(F766,Produtos!$A$2:$A$11,0))</f>
        <v>Carregador de Celular Tipo C</v>
      </c>
      <c r="H766" s="2" t="n">
        <v>1</v>
      </c>
      <c r="I766" s="5" t="n">
        <f aca="false">INDEX(Produtos!$D$2:$D$11,MATCH(F766,Produtos!$A$2:$A$11,0))</f>
        <v>44.9</v>
      </c>
      <c r="J766" s="5" t="n">
        <f aca="false">H766*I766</f>
        <v>44.9</v>
      </c>
      <c r="K766" s="5" t="n">
        <f aca="false">INDEX(Produtos!$E$2:$E$11,MATCH(F766,Produtos!$A$2:$A$11,0))</f>
        <v>18</v>
      </c>
      <c r="L766" s="5" t="n">
        <f aca="false">H766*K766</f>
        <v>18</v>
      </c>
    </row>
    <row r="767" customFormat="false" ht="15" hidden="false" customHeight="false" outlineLevel="0" collapsed="false">
      <c r="A767" s="2" t="s">
        <v>1049</v>
      </c>
      <c r="B767" s="8" t="n">
        <v>46088</v>
      </c>
      <c r="C767" s="2" t="s">
        <v>76</v>
      </c>
      <c r="D767" s="3" t="str">
        <f aca="false">INDEX(Vendedores!$C$2:$C$101,MATCH(C767,Vendedores!$A$2:$A$101,0))</f>
        <v>L02</v>
      </c>
      <c r="E767" s="3" t="str">
        <f aca="false">INDEX(Lojas!$E$2:$E$11,MATCH(D767,Lojas!$A$2:$A$11,0))</f>
        <v>Sudeste</v>
      </c>
      <c r="F767" s="2" t="s">
        <v>267</v>
      </c>
      <c r="G767" s="3" t="str">
        <f aca="false">INDEX(Produtos!$B$2:$B$11,MATCH(F767,Produtos!$A$2:$A$11,0))&amp;" "&amp;INDEX(Produtos!$C$2:$C$11,MATCH(F767,Produtos!$A$2:$A$11,0))</f>
        <v>Carregador de Celular Tipo C</v>
      </c>
      <c r="H767" s="2" t="n">
        <v>1</v>
      </c>
      <c r="I767" s="5" t="n">
        <f aca="false">INDEX(Produtos!$D$2:$D$11,MATCH(F767,Produtos!$A$2:$A$11,0))</f>
        <v>44.9</v>
      </c>
      <c r="J767" s="5" t="n">
        <f aca="false">H767*I767</f>
        <v>44.9</v>
      </c>
      <c r="K767" s="5" t="n">
        <f aca="false">INDEX(Produtos!$E$2:$E$11,MATCH(F767,Produtos!$A$2:$A$11,0))</f>
        <v>18</v>
      </c>
      <c r="L767" s="5" t="n">
        <f aca="false">H767*K767</f>
        <v>18</v>
      </c>
    </row>
    <row r="768" customFormat="false" ht="15" hidden="false" customHeight="false" outlineLevel="0" collapsed="false">
      <c r="A768" s="2" t="s">
        <v>1050</v>
      </c>
      <c r="B768" s="8" t="n">
        <v>46088</v>
      </c>
      <c r="C768" s="2" t="s">
        <v>168</v>
      </c>
      <c r="D768" s="3" t="str">
        <f aca="false">INDEX(Vendedores!$C$2:$C$101,MATCH(C768,Vendedores!$A$2:$A$101,0))</f>
        <v>L07</v>
      </c>
      <c r="E768" s="3" t="str">
        <f aca="false">INDEX(Lojas!$E$2:$E$11,MATCH(D768,Lojas!$A$2:$A$11,0))</f>
        <v>Sul</v>
      </c>
      <c r="F768" s="2" t="s">
        <v>257</v>
      </c>
      <c r="G768" s="3" t="str">
        <f aca="false">INDEX(Produtos!$B$2:$B$11,MATCH(F768,Produtos!$A$2:$A$11,0))&amp;" "&amp;INDEX(Produtos!$C$2:$C$11,MATCH(F768,Produtos!$A$2:$A$11,0))</f>
        <v>Celular Samsung</v>
      </c>
      <c r="H768" s="2" t="n">
        <v>1</v>
      </c>
      <c r="I768" s="5" t="n">
        <f aca="false">INDEX(Produtos!$D$2:$D$11,MATCH(F768,Produtos!$A$2:$A$11,0))</f>
        <v>2499</v>
      </c>
      <c r="J768" s="5" t="n">
        <f aca="false">H768*I768</f>
        <v>2499</v>
      </c>
      <c r="K768" s="5" t="n">
        <f aca="false">INDEX(Produtos!$E$2:$E$11,MATCH(F768,Produtos!$A$2:$A$11,0))</f>
        <v>1800</v>
      </c>
      <c r="L768" s="5" t="n">
        <f aca="false">H768*K768</f>
        <v>1800</v>
      </c>
    </row>
    <row r="769" customFormat="false" ht="15" hidden="false" customHeight="false" outlineLevel="0" collapsed="false">
      <c r="A769" s="2" t="s">
        <v>1051</v>
      </c>
      <c r="B769" s="8" t="n">
        <v>46088</v>
      </c>
      <c r="C769" s="2" t="s">
        <v>100</v>
      </c>
      <c r="D769" s="3" t="str">
        <f aca="false">INDEX(Vendedores!$C$2:$C$101,MATCH(C769,Vendedores!$A$2:$A$101,0))</f>
        <v>L03</v>
      </c>
      <c r="E769" s="3" t="str">
        <f aca="false">INDEX(Lojas!$E$2:$E$11,MATCH(D769,Lojas!$A$2:$A$11,0))</f>
        <v>Sudeste</v>
      </c>
      <c r="F769" s="2" t="s">
        <v>273</v>
      </c>
      <c r="G769" s="3" t="str">
        <f aca="false">INDEX(Produtos!$B$2:$B$11,MATCH(F769,Produtos!$A$2:$A$11,0))&amp;" "&amp;INDEX(Produtos!$C$2:$C$11,MATCH(F769,Produtos!$A$2:$A$11,0))</f>
        <v>Controle de Videogame PS4</v>
      </c>
      <c r="H769" s="2" t="n">
        <v>1</v>
      </c>
      <c r="I769" s="5" t="n">
        <f aca="false">INDEX(Produtos!$D$2:$D$11,MATCH(F769,Produtos!$A$2:$A$11,0))</f>
        <v>299.9</v>
      </c>
      <c r="J769" s="5" t="n">
        <f aca="false">H769*I769</f>
        <v>299.9</v>
      </c>
      <c r="K769" s="5" t="n">
        <f aca="false">INDEX(Produtos!$E$2:$E$11,MATCH(F769,Produtos!$A$2:$A$11,0))</f>
        <v>175</v>
      </c>
      <c r="L769" s="5" t="n">
        <f aca="false">H769*K769</f>
        <v>175</v>
      </c>
    </row>
    <row r="770" customFormat="false" ht="15" hidden="false" customHeight="false" outlineLevel="0" collapsed="false">
      <c r="A770" s="2" t="s">
        <v>1052</v>
      </c>
      <c r="B770" s="8" t="n">
        <v>46088</v>
      </c>
      <c r="C770" s="2" t="s">
        <v>148</v>
      </c>
      <c r="D770" s="3" t="str">
        <f aca="false">INDEX(Vendedores!$C$2:$C$101,MATCH(C770,Vendedores!$A$2:$A$101,0))</f>
        <v>L06</v>
      </c>
      <c r="E770" s="3" t="str">
        <f aca="false">INDEX(Lojas!$E$2:$E$11,MATCH(D770,Lojas!$A$2:$A$11,0))</f>
        <v>Sul</v>
      </c>
      <c r="F770" s="2" t="s">
        <v>270</v>
      </c>
      <c r="G770" s="3" t="str">
        <f aca="false">INDEX(Produtos!$B$2:$B$11,MATCH(F770,Produtos!$A$2:$A$11,0))&amp;" "&amp;INDEX(Produtos!$C$2:$C$11,MATCH(F770,Produtos!$A$2:$A$11,0))</f>
        <v>Controle de Videogame Xbox</v>
      </c>
      <c r="H770" s="2" t="n">
        <v>1</v>
      </c>
      <c r="I770" s="5" t="n">
        <f aca="false">INDEX(Produtos!$D$2:$D$11,MATCH(F770,Produtos!$A$2:$A$11,0))</f>
        <v>349.9</v>
      </c>
      <c r="J770" s="5" t="n">
        <f aca="false">H770*I770</f>
        <v>349.9</v>
      </c>
      <c r="K770" s="5" t="n">
        <f aca="false">INDEX(Produtos!$E$2:$E$11,MATCH(F770,Produtos!$A$2:$A$11,0))</f>
        <v>215</v>
      </c>
      <c r="L770" s="5" t="n">
        <f aca="false">H770*K770</f>
        <v>215</v>
      </c>
    </row>
    <row r="771" customFormat="false" ht="15" hidden="false" customHeight="false" outlineLevel="0" collapsed="false">
      <c r="A771" s="2" t="s">
        <v>1053</v>
      </c>
      <c r="B771" s="8" t="n">
        <v>46088</v>
      </c>
      <c r="C771" s="2" t="s">
        <v>213</v>
      </c>
      <c r="D771" s="3" t="str">
        <f aca="false">INDEX(Vendedores!$C$2:$C$101,MATCH(C771,Vendedores!$A$2:$A$101,0))</f>
        <v>L09</v>
      </c>
      <c r="E771" s="3" t="str">
        <f aca="false">INDEX(Lojas!$E$2:$E$11,MATCH(D771,Lojas!$A$2:$A$11,0))</f>
        <v>Nordeste</v>
      </c>
      <c r="F771" s="2" t="s">
        <v>255</v>
      </c>
      <c r="G771" s="3" t="str">
        <f aca="false">INDEX(Produtos!$B$2:$B$11,MATCH(F771,Produtos!$A$2:$A$11,0))&amp;" "&amp;INDEX(Produtos!$C$2:$C$11,MATCH(F771,Produtos!$A$2:$A$11,0))</f>
        <v>Notebook Positivo</v>
      </c>
      <c r="H771" s="2" t="n">
        <v>1</v>
      </c>
      <c r="I771" s="5" t="n">
        <f aca="false">INDEX(Produtos!$D$2:$D$11,MATCH(F771,Produtos!$A$2:$A$11,0))</f>
        <v>2199</v>
      </c>
      <c r="J771" s="5" t="n">
        <f aca="false">H771*I771</f>
        <v>2199</v>
      </c>
      <c r="K771" s="5" t="n">
        <f aca="false">INDEX(Produtos!$E$2:$E$11,MATCH(F771,Produtos!$A$2:$A$11,0))</f>
        <v>1550</v>
      </c>
      <c r="L771" s="5" t="n">
        <f aca="false">H771*K771</f>
        <v>1550</v>
      </c>
    </row>
    <row r="772" customFormat="false" ht="15" hidden="false" customHeight="false" outlineLevel="0" collapsed="false">
      <c r="A772" s="2" t="s">
        <v>1054</v>
      </c>
      <c r="B772" s="8" t="n">
        <v>46088</v>
      </c>
      <c r="C772" s="2" t="s">
        <v>138</v>
      </c>
      <c r="D772" s="3" t="str">
        <f aca="false">INDEX(Vendedores!$C$2:$C$101,MATCH(C772,Vendedores!$A$2:$A$101,0))</f>
        <v>L05</v>
      </c>
      <c r="E772" s="3" t="str">
        <f aca="false">INDEX(Lojas!$E$2:$E$11,MATCH(D772,Lojas!$A$2:$A$11,0))</f>
        <v>Sul</v>
      </c>
      <c r="F772" s="2" t="s">
        <v>275</v>
      </c>
      <c r="G772" s="3" t="str">
        <f aca="false">INDEX(Produtos!$B$2:$B$11,MATCH(F772,Produtos!$A$2:$A$11,0))&amp;" "&amp;INDEX(Produtos!$C$2:$C$11,MATCH(F772,Produtos!$A$2:$A$11,0))</f>
        <v>Controle de Videogame PS5</v>
      </c>
      <c r="H772" s="2" t="n">
        <v>2</v>
      </c>
      <c r="I772" s="5" t="n">
        <f aca="false">INDEX(Produtos!$D$2:$D$11,MATCH(F772,Produtos!$A$2:$A$11,0))</f>
        <v>379.9</v>
      </c>
      <c r="J772" s="5" t="n">
        <f aca="false">H772*I772</f>
        <v>759.8</v>
      </c>
      <c r="K772" s="5" t="n">
        <f aca="false">INDEX(Produtos!$E$2:$E$11,MATCH(F772,Produtos!$A$2:$A$11,0))</f>
        <v>235</v>
      </c>
      <c r="L772" s="5" t="n">
        <f aca="false">H772*K772</f>
        <v>470</v>
      </c>
    </row>
    <row r="773" customFormat="false" ht="15" hidden="false" customHeight="false" outlineLevel="0" collapsed="false">
      <c r="A773" s="2" t="s">
        <v>1055</v>
      </c>
      <c r="B773" s="8" t="n">
        <v>46088</v>
      </c>
      <c r="C773" s="2" t="s">
        <v>102</v>
      </c>
      <c r="D773" s="3" t="str">
        <f aca="false">INDEX(Vendedores!$C$2:$C$101,MATCH(C773,Vendedores!$A$2:$A$101,0))</f>
        <v>L03</v>
      </c>
      <c r="E773" s="3" t="str">
        <f aca="false">INDEX(Lojas!$E$2:$E$11,MATCH(D773,Lojas!$A$2:$A$11,0))</f>
        <v>Sudeste</v>
      </c>
      <c r="F773" s="2" t="s">
        <v>273</v>
      </c>
      <c r="G773" s="3" t="str">
        <f aca="false">INDEX(Produtos!$B$2:$B$11,MATCH(F773,Produtos!$A$2:$A$11,0))&amp;" "&amp;INDEX(Produtos!$C$2:$C$11,MATCH(F773,Produtos!$A$2:$A$11,0))</f>
        <v>Controle de Videogame PS4</v>
      </c>
      <c r="H773" s="2" t="n">
        <v>2</v>
      </c>
      <c r="I773" s="5" t="n">
        <f aca="false">INDEX(Produtos!$D$2:$D$11,MATCH(F773,Produtos!$A$2:$A$11,0))</f>
        <v>299.9</v>
      </c>
      <c r="J773" s="5" t="n">
        <f aca="false">H773*I773</f>
        <v>599.8</v>
      </c>
      <c r="K773" s="5" t="n">
        <f aca="false">INDEX(Produtos!$E$2:$E$11,MATCH(F773,Produtos!$A$2:$A$11,0))</f>
        <v>175</v>
      </c>
      <c r="L773" s="5" t="n">
        <f aca="false">H773*K773</f>
        <v>350</v>
      </c>
    </row>
    <row r="774" customFormat="false" ht="15" hidden="false" customHeight="false" outlineLevel="0" collapsed="false">
      <c r="A774" s="2" t="s">
        <v>1056</v>
      </c>
      <c r="B774" s="8" t="n">
        <v>46088</v>
      </c>
      <c r="C774" s="2" t="s">
        <v>205</v>
      </c>
      <c r="D774" s="3" t="str">
        <f aca="false">INDEX(Vendedores!$C$2:$C$101,MATCH(C774,Vendedores!$A$2:$A$101,0))</f>
        <v>L09</v>
      </c>
      <c r="E774" s="3" t="str">
        <f aca="false">INDEX(Lojas!$E$2:$E$11,MATCH(D774,Lojas!$A$2:$A$11,0))</f>
        <v>Nordeste</v>
      </c>
      <c r="F774" s="2" t="s">
        <v>260</v>
      </c>
      <c r="G774" s="3" t="str">
        <f aca="false">INDEX(Produtos!$B$2:$B$11,MATCH(F774,Produtos!$A$2:$A$11,0))&amp;" "&amp;INDEX(Produtos!$C$2:$C$11,MATCH(F774,Produtos!$A$2:$A$11,0))</f>
        <v>Celular Motorola</v>
      </c>
      <c r="H774" s="2" t="n">
        <v>2</v>
      </c>
      <c r="I774" s="5" t="n">
        <f aca="false">INDEX(Produtos!$D$2:$D$11,MATCH(F774,Produtos!$A$2:$A$11,0))</f>
        <v>1799</v>
      </c>
      <c r="J774" s="5" t="n">
        <f aca="false">H774*I774</f>
        <v>3598</v>
      </c>
      <c r="K774" s="5" t="n">
        <f aca="false">INDEX(Produtos!$E$2:$E$11,MATCH(F774,Produtos!$A$2:$A$11,0))</f>
        <v>1250</v>
      </c>
      <c r="L774" s="5" t="n">
        <f aca="false">H774*K774</f>
        <v>2500</v>
      </c>
    </row>
    <row r="775" customFormat="false" ht="15" hidden="false" customHeight="false" outlineLevel="0" collapsed="false">
      <c r="A775" s="2" t="s">
        <v>1057</v>
      </c>
      <c r="B775" s="8" t="n">
        <v>46088</v>
      </c>
      <c r="C775" s="2" t="s">
        <v>182</v>
      </c>
      <c r="D775" s="3" t="str">
        <f aca="false">INDEX(Vendedores!$C$2:$C$101,MATCH(C775,Vendedores!$A$2:$A$101,0))</f>
        <v>L07</v>
      </c>
      <c r="E775" s="3" t="str">
        <f aca="false">INDEX(Lojas!$E$2:$E$11,MATCH(D775,Lojas!$A$2:$A$11,0))</f>
        <v>Sul</v>
      </c>
      <c r="F775" s="2" t="s">
        <v>262</v>
      </c>
      <c r="G775" s="3" t="str">
        <f aca="false">INDEX(Produtos!$B$2:$B$11,MATCH(F775,Produtos!$A$2:$A$11,0))&amp;" "&amp;INDEX(Produtos!$C$2:$C$11,MATCH(F775,Produtos!$A$2:$A$11,0))</f>
        <v>Fone de Ouvido De Celular</v>
      </c>
      <c r="H775" s="2" t="n">
        <v>1</v>
      </c>
      <c r="I775" s="5" t="n">
        <f aca="false">INDEX(Produtos!$D$2:$D$11,MATCH(F775,Produtos!$A$2:$A$11,0))</f>
        <v>59.9</v>
      </c>
      <c r="J775" s="5" t="n">
        <f aca="false">H775*I775</f>
        <v>59.9</v>
      </c>
      <c r="K775" s="5" t="n">
        <f aca="false">INDEX(Produtos!$E$2:$E$11,MATCH(F775,Produtos!$A$2:$A$11,0))</f>
        <v>28</v>
      </c>
      <c r="L775" s="5" t="n">
        <f aca="false">H775*K775</f>
        <v>28</v>
      </c>
    </row>
    <row r="776" customFormat="false" ht="15" hidden="false" customHeight="false" outlineLevel="0" collapsed="false">
      <c r="A776" s="2" t="s">
        <v>1058</v>
      </c>
      <c r="B776" s="8" t="n">
        <v>46088</v>
      </c>
      <c r="C776" s="2" t="s">
        <v>162</v>
      </c>
      <c r="D776" s="3" t="str">
        <f aca="false">INDEX(Vendedores!$C$2:$C$101,MATCH(C776,Vendedores!$A$2:$A$101,0))</f>
        <v>L06</v>
      </c>
      <c r="E776" s="3" t="str">
        <f aca="false">INDEX(Lojas!$E$2:$E$11,MATCH(D776,Lojas!$A$2:$A$11,0))</f>
        <v>Sul</v>
      </c>
      <c r="F776" s="2" t="s">
        <v>267</v>
      </c>
      <c r="G776" s="3" t="str">
        <f aca="false">INDEX(Produtos!$B$2:$B$11,MATCH(F776,Produtos!$A$2:$A$11,0))&amp;" "&amp;INDEX(Produtos!$C$2:$C$11,MATCH(F776,Produtos!$A$2:$A$11,0))</f>
        <v>Carregador de Celular Tipo C</v>
      </c>
      <c r="H776" s="2" t="n">
        <v>1</v>
      </c>
      <c r="I776" s="5" t="n">
        <f aca="false">INDEX(Produtos!$D$2:$D$11,MATCH(F776,Produtos!$A$2:$A$11,0))</f>
        <v>44.9</v>
      </c>
      <c r="J776" s="5" t="n">
        <f aca="false">H776*I776</f>
        <v>44.9</v>
      </c>
      <c r="K776" s="5" t="n">
        <f aca="false">INDEX(Produtos!$E$2:$E$11,MATCH(F776,Produtos!$A$2:$A$11,0))</f>
        <v>18</v>
      </c>
      <c r="L776" s="5" t="n">
        <f aca="false">H776*K776</f>
        <v>18</v>
      </c>
    </row>
    <row r="777" customFormat="false" ht="15" hidden="false" customHeight="false" outlineLevel="0" collapsed="false">
      <c r="A777" s="2" t="s">
        <v>1059</v>
      </c>
      <c r="B777" s="8" t="n">
        <v>46088</v>
      </c>
      <c r="C777" s="2" t="s">
        <v>209</v>
      </c>
      <c r="D777" s="3" t="str">
        <f aca="false">INDEX(Vendedores!$C$2:$C$101,MATCH(C777,Vendedores!$A$2:$A$101,0))</f>
        <v>L09</v>
      </c>
      <c r="E777" s="3" t="str">
        <f aca="false">INDEX(Lojas!$E$2:$E$11,MATCH(D777,Lojas!$A$2:$A$11,0))</f>
        <v>Nordeste</v>
      </c>
      <c r="F777" s="2" t="s">
        <v>265</v>
      </c>
      <c r="G777" s="3" t="str">
        <f aca="false">INDEX(Produtos!$B$2:$B$11,MATCH(F777,Produtos!$A$2:$A$11,0))&amp;" "&amp;INDEX(Produtos!$C$2:$C$11,MATCH(F777,Produtos!$A$2:$A$11,0))</f>
        <v>Fone de Ouvido Headset</v>
      </c>
      <c r="H777" s="2" t="n">
        <v>1</v>
      </c>
      <c r="I777" s="5" t="n">
        <f aca="false">INDEX(Produtos!$D$2:$D$11,MATCH(F777,Produtos!$A$2:$A$11,0))</f>
        <v>249.9</v>
      </c>
      <c r="J777" s="5" t="n">
        <f aca="false">H777*I777</f>
        <v>249.9</v>
      </c>
      <c r="K777" s="5" t="n">
        <f aca="false">INDEX(Produtos!$E$2:$E$11,MATCH(F777,Produtos!$A$2:$A$11,0))</f>
        <v>145</v>
      </c>
      <c r="L777" s="5" t="n">
        <f aca="false">H777*K777</f>
        <v>145</v>
      </c>
    </row>
    <row r="778" customFormat="false" ht="15" hidden="false" customHeight="false" outlineLevel="0" collapsed="false">
      <c r="A778" s="2" t="s">
        <v>1060</v>
      </c>
      <c r="B778" s="8" t="n">
        <v>46088</v>
      </c>
      <c r="C778" s="2" t="s">
        <v>146</v>
      </c>
      <c r="D778" s="3" t="str">
        <f aca="false">INDEX(Vendedores!$C$2:$C$101,MATCH(C778,Vendedores!$A$2:$A$101,0))</f>
        <v>L05</v>
      </c>
      <c r="E778" s="3" t="str">
        <f aca="false">INDEX(Lojas!$E$2:$E$11,MATCH(D778,Lojas!$A$2:$A$11,0))</f>
        <v>Sul</v>
      </c>
      <c r="F778" s="2" t="s">
        <v>267</v>
      </c>
      <c r="G778" s="3" t="str">
        <f aca="false">INDEX(Produtos!$B$2:$B$11,MATCH(F778,Produtos!$A$2:$A$11,0))&amp;" "&amp;INDEX(Produtos!$C$2:$C$11,MATCH(F778,Produtos!$A$2:$A$11,0))</f>
        <v>Carregador de Celular Tipo C</v>
      </c>
      <c r="H778" s="2" t="n">
        <v>2</v>
      </c>
      <c r="I778" s="5" t="n">
        <f aca="false">INDEX(Produtos!$D$2:$D$11,MATCH(F778,Produtos!$A$2:$A$11,0))</f>
        <v>44.9</v>
      </c>
      <c r="J778" s="5" t="n">
        <f aca="false">H778*I778</f>
        <v>89.8</v>
      </c>
      <c r="K778" s="5" t="n">
        <f aca="false">INDEX(Produtos!$E$2:$E$11,MATCH(F778,Produtos!$A$2:$A$11,0))</f>
        <v>18</v>
      </c>
      <c r="L778" s="5" t="n">
        <f aca="false">H778*K778</f>
        <v>36</v>
      </c>
    </row>
    <row r="779" customFormat="false" ht="15" hidden="false" customHeight="false" outlineLevel="0" collapsed="false">
      <c r="A779" s="2" t="s">
        <v>1061</v>
      </c>
      <c r="B779" s="8" t="n">
        <v>46089</v>
      </c>
      <c r="C779" s="2" t="s">
        <v>158</v>
      </c>
      <c r="D779" s="3" t="str">
        <f aca="false">INDEX(Vendedores!$C$2:$C$101,MATCH(C779,Vendedores!$A$2:$A$101,0))</f>
        <v>L06</v>
      </c>
      <c r="E779" s="3" t="str">
        <f aca="false">INDEX(Lojas!$E$2:$E$11,MATCH(D779,Lojas!$A$2:$A$11,0))</f>
        <v>Sul</v>
      </c>
      <c r="F779" s="2" t="s">
        <v>275</v>
      </c>
      <c r="G779" s="3" t="str">
        <f aca="false">INDEX(Produtos!$B$2:$B$11,MATCH(F779,Produtos!$A$2:$A$11,0))&amp;" "&amp;INDEX(Produtos!$C$2:$C$11,MATCH(F779,Produtos!$A$2:$A$11,0))</f>
        <v>Controle de Videogame PS5</v>
      </c>
      <c r="H779" s="2" t="n">
        <v>3</v>
      </c>
      <c r="I779" s="5" t="n">
        <f aca="false">INDEX(Produtos!$D$2:$D$11,MATCH(F779,Produtos!$A$2:$A$11,0))</f>
        <v>379.9</v>
      </c>
      <c r="J779" s="5" t="n">
        <f aca="false">H779*I779</f>
        <v>1139.7</v>
      </c>
      <c r="K779" s="5" t="n">
        <f aca="false">INDEX(Produtos!$E$2:$E$11,MATCH(F779,Produtos!$A$2:$A$11,0))</f>
        <v>235</v>
      </c>
      <c r="L779" s="5" t="n">
        <f aca="false">H779*K779</f>
        <v>705</v>
      </c>
    </row>
    <row r="780" customFormat="false" ht="15" hidden="false" customHeight="false" outlineLevel="0" collapsed="false">
      <c r="A780" s="2" t="s">
        <v>1062</v>
      </c>
      <c r="B780" s="8" t="n">
        <v>46089</v>
      </c>
      <c r="C780" s="2" t="s">
        <v>179</v>
      </c>
      <c r="D780" s="3" t="str">
        <f aca="false">INDEX(Vendedores!$C$2:$C$101,MATCH(C780,Vendedores!$A$2:$A$101,0))</f>
        <v>L07</v>
      </c>
      <c r="E780" s="3" t="str">
        <f aca="false">INDEX(Lojas!$E$2:$E$11,MATCH(D780,Lojas!$A$2:$A$11,0))</f>
        <v>Sul</v>
      </c>
      <c r="F780" s="2" t="s">
        <v>262</v>
      </c>
      <c r="G780" s="3" t="str">
        <f aca="false">INDEX(Produtos!$B$2:$B$11,MATCH(F780,Produtos!$A$2:$A$11,0))&amp;" "&amp;INDEX(Produtos!$C$2:$C$11,MATCH(F780,Produtos!$A$2:$A$11,0))</f>
        <v>Fone de Ouvido De Celular</v>
      </c>
      <c r="H780" s="2" t="n">
        <v>2</v>
      </c>
      <c r="I780" s="5" t="n">
        <f aca="false">INDEX(Produtos!$D$2:$D$11,MATCH(F780,Produtos!$A$2:$A$11,0))</f>
        <v>59.9</v>
      </c>
      <c r="J780" s="5" t="n">
        <f aca="false">H780*I780</f>
        <v>119.8</v>
      </c>
      <c r="K780" s="5" t="n">
        <f aca="false">INDEX(Produtos!$E$2:$E$11,MATCH(F780,Produtos!$A$2:$A$11,0))</f>
        <v>28</v>
      </c>
      <c r="L780" s="5" t="n">
        <f aca="false">H780*K780</f>
        <v>56</v>
      </c>
    </row>
    <row r="781" customFormat="false" ht="15" hidden="false" customHeight="false" outlineLevel="0" collapsed="false">
      <c r="A781" s="2" t="s">
        <v>1063</v>
      </c>
      <c r="B781" s="8" t="n">
        <v>46089</v>
      </c>
      <c r="C781" s="2" t="s">
        <v>225</v>
      </c>
      <c r="D781" s="3" t="str">
        <f aca="false">INDEX(Vendedores!$C$2:$C$101,MATCH(C781,Vendedores!$A$2:$A$101,0))</f>
        <v>L10</v>
      </c>
      <c r="E781" s="3" t="str">
        <f aca="false">INDEX(Lojas!$E$2:$E$11,MATCH(D781,Lojas!$A$2:$A$11,0))</f>
        <v>Nordeste</v>
      </c>
      <c r="F781" s="2" t="s">
        <v>275</v>
      </c>
      <c r="G781" s="3" t="str">
        <f aca="false">INDEX(Produtos!$B$2:$B$11,MATCH(F781,Produtos!$A$2:$A$11,0))&amp;" "&amp;INDEX(Produtos!$C$2:$C$11,MATCH(F781,Produtos!$A$2:$A$11,0))</f>
        <v>Controle de Videogame PS5</v>
      </c>
      <c r="H781" s="2" t="n">
        <v>3</v>
      </c>
      <c r="I781" s="5" t="n">
        <f aca="false">INDEX(Produtos!$D$2:$D$11,MATCH(F781,Produtos!$A$2:$A$11,0))</f>
        <v>379.9</v>
      </c>
      <c r="J781" s="5" t="n">
        <f aca="false">H781*I781</f>
        <v>1139.7</v>
      </c>
      <c r="K781" s="5" t="n">
        <f aca="false">INDEX(Produtos!$E$2:$E$11,MATCH(F781,Produtos!$A$2:$A$11,0))</f>
        <v>235</v>
      </c>
      <c r="L781" s="5" t="n">
        <f aca="false">H781*K781</f>
        <v>705</v>
      </c>
    </row>
    <row r="782" customFormat="false" ht="15" hidden="false" customHeight="false" outlineLevel="0" collapsed="false">
      <c r="A782" s="2" t="s">
        <v>1064</v>
      </c>
      <c r="B782" s="8" t="n">
        <v>46089</v>
      </c>
      <c r="C782" s="2" t="s">
        <v>207</v>
      </c>
      <c r="D782" s="3" t="str">
        <f aca="false">INDEX(Vendedores!$C$2:$C$101,MATCH(C782,Vendedores!$A$2:$A$101,0))</f>
        <v>L09</v>
      </c>
      <c r="E782" s="3" t="str">
        <f aca="false">INDEX(Lojas!$E$2:$E$11,MATCH(D782,Lojas!$A$2:$A$11,0))</f>
        <v>Nordeste</v>
      </c>
      <c r="F782" s="2" t="s">
        <v>262</v>
      </c>
      <c r="G782" s="3" t="str">
        <f aca="false">INDEX(Produtos!$B$2:$B$11,MATCH(F782,Produtos!$A$2:$A$11,0))&amp;" "&amp;INDEX(Produtos!$C$2:$C$11,MATCH(F782,Produtos!$A$2:$A$11,0))</f>
        <v>Fone de Ouvido De Celular</v>
      </c>
      <c r="H782" s="2" t="n">
        <v>1</v>
      </c>
      <c r="I782" s="5" t="n">
        <f aca="false">INDEX(Produtos!$D$2:$D$11,MATCH(F782,Produtos!$A$2:$A$11,0))</f>
        <v>59.9</v>
      </c>
      <c r="J782" s="5" t="n">
        <f aca="false">H782*I782</f>
        <v>59.9</v>
      </c>
      <c r="K782" s="5" t="n">
        <f aca="false">INDEX(Produtos!$E$2:$E$11,MATCH(F782,Produtos!$A$2:$A$11,0))</f>
        <v>28</v>
      </c>
      <c r="L782" s="5" t="n">
        <f aca="false">H782*K782</f>
        <v>28</v>
      </c>
    </row>
    <row r="783" customFormat="false" ht="15" hidden="false" customHeight="false" outlineLevel="0" collapsed="false">
      <c r="A783" s="2" t="s">
        <v>1065</v>
      </c>
      <c r="B783" s="8" t="n">
        <v>46089</v>
      </c>
      <c r="C783" s="2" t="s">
        <v>193</v>
      </c>
      <c r="D783" s="3" t="str">
        <f aca="false">INDEX(Vendedores!$C$2:$C$101,MATCH(C783,Vendedores!$A$2:$A$101,0))</f>
        <v>L08</v>
      </c>
      <c r="E783" s="3" t="str">
        <f aca="false">INDEX(Lojas!$E$2:$E$11,MATCH(D783,Lojas!$A$2:$A$11,0))</f>
        <v>Nordeste</v>
      </c>
      <c r="F783" s="2" t="s">
        <v>273</v>
      </c>
      <c r="G783" s="3" t="str">
        <f aca="false">INDEX(Produtos!$B$2:$B$11,MATCH(F783,Produtos!$A$2:$A$11,0))&amp;" "&amp;INDEX(Produtos!$C$2:$C$11,MATCH(F783,Produtos!$A$2:$A$11,0))</f>
        <v>Controle de Videogame PS4</v>
      </c>
      <c r="H783" s="2" t="n">
        <v>1</v>
      </c>
      <c r="I783" s="5" t="n">
        <f aca="false">INDEX(Produtos!$D$2:$D$11,MATCH(F783,Produtos!$A$2:$A$11,0))</f>
        <v>299.9</v>
      </c>
      <c r="J783" s="5" t="n">
        <f aca="false">H783*I783</f>
        <v>299.9</v>
      </c>
      <c r="K783" s="5" t="n">
        <f aca="false">INDEX(Produtos!$E$2:$E$11,MATCH(F783,Produtos!$A$2:$A$11,0))</f>
        <v>175</v>
      </c>
      <c r="L783" s="5" t="n">
        <f aca="false">H783*K783</f>
        <v>175</v>
      </c>
    </row>
    <row r="784" customFormat="false" ht="15" hidden="false" customHeight="false" outlineLevel="0" collapsed="false">
      <c r="A784" s="2" t="s">
        <v>1066</v>
      </c>
      <c r="B784" s="8" t="n">
        <v>46089</v>
      </c>
      <c r="C784" s="2" t="s">
        <v>68</v>
      </c>
      <c r="D784" s="3" t="str">
        <f aca="false">INDEX(Vendedores!$C$2:$C$101,MATCH(C784,Vendedores!$A$2:$A$101,0))</f>
        <v>L01</v>
      </c>
      <c r="E784" s="3" t="str">
        <f aca="false">INDEX(Lojas!$E$2:$E$11,MATCH(D784,Lojas!$A$2:$A$11,0))</f>
        <v>Sudeste</v>
      </c>
      <c r="F784" s="2" t="s">
        <v>273</v>
      </c>
      <c r="G784" s="3" t="str">
        <f aca="false">INDEX(Produtos!$B$2:$B$11,MATCH(F784,Produtos!$A$2:$A$11,0))&amp;" "&amp;INDEX(Produtos!$C$2:$C$11,MATCH(F784,Produtos!$A$2:$A$11,0))</f>
        <v>Controle de Videogame PS4</v>
      </c>
      <c r="H784" s="2" t="n">
        <v>1</v>
      </c>
      <c r="I784" s="5" t="n">
        <f aca="false">INDEX(Produtos!$D$2:$D$11,MATCH(F784,Produtos!$A$2:$A$11,0))</f>
        <v>299.9</v>
      </c>
      <c r="J784" s="5" t="n">
        <f aca="false">H784*I784</f>
        <v>299.9</v>
      </c>
      <c r="K784" s="5" t="n">
        <f aca="false">INDEX(Produtos!$E$2:$E$11,MATCH(F784,Produtos!$A$2:$A$11,0))</f>
        <v>175</v>
      </c>
      <c r="L784" s="5" t="n">
        <f aca="false">H784*K784</f>
        <v>175</v>
      </c>
    </row>
    <row r="785" customFormat="false" ht="15" hidden="false" customHeight="false" outlineLevel="0" collapsed="false">
      <c r="A785" s="2" t="s">
        <v>1067</v>
      </c>
      <c r="B785" s="8" t="n">
        <v>46089</v>
      </c>
      <c r="C785" s="2" t="s">
        <v>185</v>
      </c>
      <c r="D785" s="3" t="str">
        <f aca="false">INDEX(Vendedores!$C$2:$C$101,MATCH(C785,Vendedores!$A$2:$A$101,0))</f>
        <v>L08</v>
      </c>
      <c r="E785" s="3" t="str">
        <f aca="false">INDEX(Lojas!$E$2:$E$11,MATCH(D785,Lojas!$A$2:$A$11,0))</f>
        <v>Nordeste</v>
      </c>
      <c r="F785" s="2" t="s">
        <v>267</v>
      </c>
      <c r="G785" s="3" t="str">
        <f aca="false">INDEX(Produtos!$B$2:$B$11,MATCH(F785,Produtos!$A$2:$A$11,0))&amp;" "&amp;INDEX(Produtos!$C$2:$C$11,MATCH(F785,Produtos!$A$2:$A$11,0))</f>
        <v>Carregador de Celular Tipo C</v>
      </c>
      <c r="H785" s="2" t="n">
        <v>1</v>
      </c>
      <c r="I785" s="5" t="n">
        <f aca="false">INDEX(Produtos!$D$2:$D$11,MATCH(F785,Produtos!$A$2:$A$11,0))</f>
        <v>44.9</v>
      </c>
      <c r="J785" s="5" t="n">
        <f aca="false">H785*I785</f>
        <v>44.9</v>
      </c>
      <c r="K785" s="5" t="n">
        <f aca="false">INDEX(Produtos!$E$2:$E$11,MATCH(F785,Produtos!$A$2:$A$11,0))</f>
        <v>18</v>
      </c>
      <c r="L785" s="5" t="n">
        <f aca="false">H785*K785</f>
        <v>18</v>
      </c>
    </row>
    <row r="786" customFormat="false" ht="15" hidden="false" customHeight="false" outlineLevel="0" collapsed="false">
      <c r="A786" s="2" t="s">
        <v>1068</v>
      </c>
      <c r="B786" s="8" t="n">
        <v>46089</v>
      </c>
      <c r="C786" s="2" t="s">
        <v>129</v>
      </c>
      <c r="D786" s="3" t="str">
        <f aca="false">INDEX(Vendedores!$C$2:$C$101,MATCH(C786,Vendedores!$A$2:$A$101,0))</f>
        <v>L05</v>
      </c>
      <c r="E786" s="3" t="str">
        <f aca="false">INDEX(Lojas!$E$2:$E$11,MATCH(D786,Lojas!$A$2:$A$11,0))</f>
        <v>Sul</v>
      </c>
      <c r="F786" s="2" t="s">
        <v>257</v>
      </c>
      <c r="G786" s="3" t="str">
        <f aca="false">INDEX(Produtos!$B$2:$B$11,MATCH(F786,Produtos!$A$2:$A$11,0))&amp;" "&amp;INDEX(Produtos!$C$2:$C$11,MATCH(F786,Produtos!$A$2:$A$11,0))</f>
        <v>Celular Samsung</v>
      </c>
      <c r="H786" s="2" t="n">
        <v>1</v>
      </c>
      <c r="I786" s="5" t="n">
        <f aca="false">INDEX(Produtos!$D$2:$D$11,MATCH(F786,Produtos!$A$2:$A$11,0))</f>
        <v>2499</v>
      </c>
      <c r="J786" s="5" t="n">
        <f aca="false">H786*I786</f>
        <v>2499</v>
      </c>
      <c r="K786" s="5" t="n">
        <f aca="false">INDEX(Produtos!$E$2:$E$11,MATCH(F786,Produtos!$A$2:$A$11,0))</f>
        <v>1800</v>
      </c>
      <c r="L786" s="5" t="n">
        <f aca="false">H786*K786</f>
        <v>1800</v>
      </c>
    </row>
    <row r="787" customFormat="false" ht="15" hidden="false" customHeight="false" outlineLevel="0" collapsed="false">
      <c r="A787" s="2" t="s">
        <v>1069</v>
      </c>
      <c r="B787" s="8" t="n">
        <v>46089</v>
      </c>
      <c r="C787" s="2" t="s">
        <v>178</v>
      </c>
      <c r="D787" s="3" t="str">
        <f aca="false">INDEX(Vendedores!$C$2:$C$101,MATCH(C787,Vendedores!$A$2:$A$101,0))</f>
        <v>L07</v>
      </c>
      <c r="E787" s="3" t="str">
        <f aca="false">INDEX(Lojas!$E$2:$E$11,MATCH(D787,Lojas!$A$2:$A$11,0))</f>
        <v>Sul</v>
      </c>
      <c r="F787" s="2" t="s">
        <v>262</v>
      </c>
      <c r="G787" s="3" t="str">
        <f aca="false">INDEX(Produtos!$B$2:$B$11,MATCH(F787,Produtos!$A$2:$A$11,0))&amp;" "&amp;INDEX(Produtos!$C$2:$C$11,MATCH(F787,Produtos!$A$2:$A$11,0))</f>
        <v>Fone de Ouvido De Celular</v>
      </c>
      <c r="H787" s="2" t="n">
        <v>1</v>
      </c>
      <c r="I787" s="5" t="n">
        <f aca="false">INDEX(Produtos!$D$2:$D$11,MATCH(F787,Produtos!$A$2:$A$11,0))</f>
        <v>59.9</v>
      </c>
      <c r="J787" s="5" t="n">
        <f aca="false">H787*I787</f>
        <v>59.9</v>
      </c>
      <c r="K787" s="5" t="n">
        <f aca="false">INDEX(Produtos!$E$2:$E$11,MATCH(F787,Produtos!$A$2:$A$11,0))</f>
        <v>28</v>
      </c>
      <c r="L787" s="5" t="n">
        <f aca="false">H787*K787</f>
        <v>28</v>
      </c>
    </row>
    <row r="788" customFormat="false" ht="15" hidden="false" customHeight="false" outlineLevel="0" collapsed="false">
      <c r="A788" s="2" t="s">
        <v>1070</v>
      </c>
      <c r="B788" s="8" t="n">
        <v>46089</v>
      </c>
      <c r="C788" s="2" t="s">
        <v>138</v>
      </c>
      <c r="D788" s="3" t="str">
        <f aca="false">INDEX(Vendedores!$C$2:$C$101,MATCH(C788,Vendedores!$A$2:$A$101,0))</f>
        <v>L05</v>
      </c>
      <c r="E788" s="3" t="str">
        <f aca="false">INDEX(Lojas!$E$2:$E$11,MATCH(D788,Lojas!$A$2:$A$11,0))</f>
        <v>Sul</v>
      </c>
      <c r="F788" s="2" t="s">
        <v>270</v>
      </c>
      <c r="G788" s="3" t="str">
        <f aca="false">INDEX(Produtos!$B$2:$B$11,MATCH(F788,Produtos!$A$2:$A$11,0))&amp;" "&amp;INDEX(Produtos!$C$2:$C$11,MATCH(F788,Produtos!$A$2:$A$11,0))</f>
        <v>Controle de Videogame Xbox</v>
      </c>
      <c r="H788" s="2" t="n">
        <v>2</v>
      </c>
      <c r="I788" s="5" t="n">
        <f aca="false">INDEX(Produtos!$D$2:$D$11,MATCH(F788,Produtos!$A$2:$A$11,0))</f>
        <v>349.9</v>
      </c>
      <c r="J788" s="5" t="n">
        <f aca="false">H788*I788</f>
        <v>699.8</v>
      </c>
      <c r="K788" s="5" t="n">
        <f aca="false">INDEX(Produtos!$E$2:$E$11,MATCH(F788,Produtos!$A$2:$A$11,0))</f>
        <v>215</v>
      </c>
      <c r="L788" s="5" t="n">
        <f aca="false">H788*K788</f>
        <v>430</v>
      </c>
    </row>
    <row r="789" customFormat="false" ht="15" hidden="false" customHeight="false" outlineLevel="0" collapsed="false">
      <c r="A789" s="2" t="s">
        <v>1071</v>
      </c>
      <c r="B789" s="8" t="n">
        <v>46089</v>
      </c>
      <c r="C789" s="2" t="s">
        <v>126</v>
      </c>
      <c r="D789" s="3" t="str">
        <f aca="false">INDEX(Vendedores!$C$2:$C$101,MATCH(C789,Vendedores!$A$2:$A$101,0))</f>
        <v>L04</v>
      </c>
      <c r="E789" s="3" t="str">
        <f aca="false">INDEX(Lojas!$E$2:$E$11,MATCH(D789,Lojas!$A$2:$A$11,0))</f>
        <v>Sudeste</v>
      </c>
      <c r="F789" s="2" t="s">
        <v>275</v>
      </c>
      <c r="G789" s="3" t="str">
        <f aca="false">INDEX(Produtos!$B$2:$B$11,MATCH(F789,Produtos!$A$2:$A$11,0))&amp;" "&amp;INDEX(Produtos!$C$2:$C$11,MATCH(F789,Produtos!$A$2:$A$11,0))</f>
        <v>Controle de Videogame PS5</v>
      </c>
      <c r="H789" s="2" t="n">
        <v>2</v>
      </c>
      <c r="I789" s="5" t="n">
        <f aca="false">INDEX(Produtos!$D$2:$D$11,MATCH(F789,Produtos!$A$2:$A$11,0))</f>
        <v>379.9</v>
      </c>
      <c r="J789" s="5" t="n">
        <f aca="false">H789*I789</f>
        <v>759.8</v>
      </c>
      <c r="K789" s="5" t="n">
        <f aca="false">INDEX(Produtos!$E$2:$E$11,MATCH(F789,Produtos!$A$2:$A$11,0))</f>
        <v>235</v>
      </c>
      <c r="L789" s="5" t="n">
        <f aca="false">H789*K789</f>
        <v>470</v>
      </c>
    </row>
    <row r="790" customFormat="false" ht="15" hidden="false" customHeight="false" outlineLevel="0" collapsed="false">
      <c r="A790" s="2" t="s">
        <v>1072</v>
      </c>
      <c r="B790" s="8" t="n">
        <v>46089</v>
      </c>
      <c r="C790" s="2" t="s">
        <v>148</v>
      </c>
      <c r="D790" s="3" t="str">
        <f aca="false">INDEX(Vendedores!$C$2:$C$101,MATCH(C790,Vendedores!$A$2:$A$101,0))</f>
        <v>L06</v>
      </c>
      <c r="E790" s="3" t="str">
        <f aca="false">INDEX(Lojas!$E$2:$E$11,MATCH(D790,Lojas!$A$2:$A$11,0))</f>
        <v>Sul</v>
      </c>
      <c r="F790" s="2" t="s">
        <v>275</v>
      </c>
      <c r="G790" s="3" t="str">
        <f aca="false">INDEX(Produtos!$B$2:$B$11,MATCH(F790,Produtos!$A$2:$A$11,0))&amp;" "&amp;INDEX(Produtos!$C$2:$C$11,MATCH(F790,Produtos!$A$2:$A$11,0))</f>
        <v>Controle de Videogame PS5</v>
      </c>
      <c r="H790" s="2" t="n">
        <v>1</v>
      </c>
      <c r="I790" s="5" t="n">
        <f aca="false">INDEX(Produtos!$D$2:$D$11,MATCH(F790,Produtos!$A$2:$A$11,0))</f>
        <v>379.9</v>
      </c>
      <c r="J790" s="5" t="n">
        <f aca="false">H790*I790</f>
        <v>379.9</v>
      </c>
      <c r="K790" s="5" t="n">
        <f aca="false">INDEX(Produtos!$E$2:$E$11,MATCH(F790,Produtos!$A$2:$A$11,0))</f>
        <v>235</v>
      </c>
      <c r="L790" s="5" t="n">
        <f aca="false">H790*K790</f>
        <v>235</v>
      </c>
    </row>
    <row r="791" customFormat="false" ht="15" hidden="false" customHeight="false" outlineLevel="0" collapsed="false">
      <c r="A791" s="2" t="s">
        <v>1073</v>
      </c>
      <c r="B791" s="8" t="n">
        <v>46090</v>
      </c>
      <c r="C791" s="2" t="s">
        <v>98</v>
      </c>
      <c r="D791" s="3" t="str">
        <f aca="false">INDEX(Vendedores!$C$2:$C$101,MATCH(C791,Vendedores!$A$2:$A$101,0))</f>
        <v>L03</v>
      </c>
      <c r="E791" s="3" t="str">
        <f aca="false">INDEX(Lojas!$E$2:$E$11,MATCH(D791,Lojas!$A$2:$A$11,0))</f>
        <v>Sudeste</v>
      </c>
      <c r="F791" s="2" t="s">
        <v>252</v>
      </c>
      <c r="G791" s="3" t="str">
        <f aca="false">INDEX(Produtos!$B$2:$B$11,MATCH(F791,Produtos!$A$2:$A$11,0))&amp;" "&amp;INDEX(Produtos!$C$2:$C$11,MATCH(F791,Produtos!$A$2:$A$11,0))</f>
        <v>Notebook Lenovo</v>
      </c>
      <c r="H791" s="2" t="n">
        <v>2</v>
      </c>
      <c r="I791" s="5" t="n">
        <f aca="false">INDEX(Produtos!$D$2:$D$11,MATCH(F791,Produtos!$A$2:$A$11,0))</f>
        <v>3199</v>
      </c>
      <c r="J791" s="5" t="n">
        <f aca="false">H791*I791</f>
        <v>6398</v>
      </c>
      <c r="K791" s="5" t="n">
        <f aca="false">INDEX(Produtos!$E$2:$E$11,MATCH(F791,Produtos!$A$2:$A$11,0))</f>
        <v>2350</v>
      </c>
      <c r="L791" s="5" t="n">
        <f aca="false">H791*K791</f>
        <v>4700</v>
      </c>
    </row>
    <row r="792" customFormat="false" ht="15" hidden="false" customHeight="false" outlineLevel="0" collapsed="false">
      <c r="A792" s="2" t="s">
        <v>1074</v>
      </c>
      <c r="B792" s="8" t="n">
        <v>46090</v>
      </c>
      <c r="C792" s="2" t="s">
        <v>152</v>
      </c>
      <c r="D792" s="3" t="str">
        <f aca="false">INDEX(Vendedores!$C$2:$C$101,MATCH(C792,Vendedores!$A$2:$A$101,0))</f>
        <v>L06</v>
      </c>
      <c r="E792" s="3" t="str">
        <f aca="false">INDEX(Lojas!$E$2:$E$11,MATCH(D792,Lojas!$A$2:$A$11,0))</f>
        <v>Sul</v>
      </c>
      <c r="F792" s="2" t="s">
        <v>275</v>
      </c>
      <c r="G792" s="3" t="str">
        <f aca="false">INDEX(Produtos!$B$2:$B$11,MATCH(F792,Produtos!$A$2:$A$11,0))&amp;" "&amp;INDEX(Produtos!$C$2:$C$11,MATCH(F792,Produtos!$A$2:$A$11,0))</f>
        <v>Controle de Videogame PS5</v>
      </c>
      <c r="H792" s="2" t="n">
        <v>1</v>
      </c>
      <c r="I792" s="5" t="n">
        <f aca="false">INDEX(Produtos!$D$2:$D$11,MATCH(F792,Produtos!$A$2:$A$11,0))</f>
        <v>379.9</v>
      </c>
      <c r="J792" s="5" t="n">
        <f aca="false">H792*I792</f>
        <v>379.9</v>
      </c>
      <c r="K792" s="5" t="n">
        <f aca="false">INDEX(Produtos!$E$2:$E$11,MATCH(F792,Produtos!$A$2:$A$11,0))</f>
        <v>235</v>
      </c>
      <c r="L792" s="5" t="n">
        <f aca="false">H792*K792</f>
        <v>235</v>
      </c>
    </row>
    <row r="793" customFormat="false" ht="15" hidden="false" customHeight="false" outlineLevel="0" collapsed="false">
      <c r="A793" s="2" t="s">
        <v>1075</v>
      </c>
      <c r="B793" s="8" t="n">
        <v>46090</v>
      </c>
      <c r="C793" s="2" t="s">
        <v>80</v>
      </c>
      <c r="D793" s="3" t="str">
        <f aca="false">INDEX(Vendedores!$C$2:$C$101,MATCH(C793,Vendedores!$A$2:$A$101,0))</f>
        <v>L02</v>
      </c>
      <c r="E793" s="3" t="str">
        <f aca="false">INDEX(Lojas!$E$2:$E$11,MATCH(D793,Lojas!$A$2:$A$11,0))</f>
        <v>Sudeste</v>
      </c>
      <c r="F793" s="2" t="s">
        <v>267</v>
      </c>
      <c r="G793" s="3" t="str">
        <f aca="false">INDEX(Produtos!$B$2:$B$11,MATCH(F793,Produtos!$A$2:$A$11,0))&amp;" "&amp;INDEX(Produtos!$C$2:$C$11,MATCH(F793,Produtos!$A$2:$A$11,0))</f>
        <v>Carregador de Celular Tipo C</v>
      </c>
      <c r="H793" s="2" t="n">
        <v>1</v>
      </c>
      <c r="I793" s="5" t="n">
        <f aca="false">INDEX(Produtos!$D$2:$D$11,MATCH(F793,Produtos!$A$2:$A$11,0))</f>
        <v>44.9</v>
      </c>
      <c r="J793" s="5" t="n">
        <f aca="false">H793*I793</f>
        <v>44.9</v>
      </c>
      <c r="K793" s="5" t="n">
        <f aca="false">INDEX(Produtos!$E$2:$E$11,MATCH(F793,Produtos!$A$2:$A$11,0))</f>
        <v>18</v>
      </c>
      <c r="L793" s="5" t="n">
        <f aca="false">H793*K793</f>
        <v>18</v>
      </c>
    </row>
    <row r="794" customFormat="false" ht="15" hidden="false" customHeight="false" outlineLevel="0" collapsed="false">
      <c r="A794" s="2" t="s">
        <v>1076</v>
      </c>
      <c r="B794" s="8" t="n">
        <v>46090</v>
      </c>
      <c r="C794" s="2" t="s">
        <v>84</v>
      </c>
      <c r="D794" s="3" t="str">
        <f aca="false">INDEX(Vendedores!$C$2:$C$101,MATCH(C794,Vendedores!$A$2:$A$101,0))</f>
        <v>L02</v>
      </c>
      <c r="E794" s="3" t="str">
        <f aca="false">INDEX(Lojas!$E$2:$E$11,MATCH(D794,Lojas!$A$2:$A$11,0))</f>
        <v>Sudeste</v>
      </c>
      <c r="F794" s="2" t="s">
        <v>265</v>
      </c>
      <c r="G794" s="3" t="str">
        <f aca="false">INDEX(Produtos!$B$2:$B$11,MATCH(F794,Produtos!$A$2:$A$11,0))&amp;" "&amp;INDEX(Produtos!$C$2:$C$11,MATCH(F794,Produtos!$A$2:$A$11,0))</f>
        <v>Fone de Ouvido Headset</v>
      </c>
      <c r="H794" s="2" t="n">
        <v>1</v>
      </c>
      <c r="I794" s="5" t="n">
        <f aca="false">INDEX(Produtos!$D$2:$D$11,MATCH(F794,Produtos!$A$2:$A$11,0))</f>
        <v>249.9</v>
      </c>
      <c r="J794" s="5" t="n">
        <f aca="false">H794*I794</f>
        <v>249.9</v>
      </c>
      <c r="K794" s="5" t="n">
        <f aca="false">INDEX(Produtos!$E$2:$E$11,MATCH(F794,Produtos!$A$2:$A$11,0))</f>
        <v>145</v>
      </c>
      <c r="L794" s="5" t="n">
        <f aca="false">H794*K794</f>
        <v>145</v>
      </c>
    </row>
    <row r="795" customFormat="false" ht="15" hidden="false" customHeight="false" outlineLevel="0" collapsed="false">
      <c r="A795" s="2" t="s">
        <v>1077</v>
      </c>
      <c r="B795" s="8" t="n">
        <v>46090</v>
      </c>
      <c r="C795" s="2" t="s">
        <v>191</v>
      </c>
      <c r="D795" s="3" t="str">
        <f aca="false">INDEX(Vendedores!$C$2:$C$101,MATCH(C795,Vendedores!$A$2:$A$101,0))</f>
        <v>L08</v>
      </c>
      <c r="E795" s="3" t="str">
        <f aca="false">INDEX(Lojas!$E$2:$E$11,MATCH(D795,Lojas!$A$2:$A$11,0))</f>
        <v>Nordeste</v>
      </c>
      <c r="F795" s="2" t="s">
        <v>257</v>
      </c>
      <c r="G795" s="3" t="str">
        <f aca="false">INDEX(Produtos!$B$2:$B$11,MATCH(F795,Produtos!$A$2:$A$11,0))&amp;" "&amp;INDEX(Produtos!$C$2:$C$11,MATCH(F795,Produtos!$A$2:$A$11,0))</f>
        <v>Celular Samsung</v>
      </c>
      <c r="H795" s="2" t="n">
        <v>2</v>
      </c>
      <c r="I795" s="5" t="n">
        <f aca="false">INDEX(Produtos!$D$2:$D$11,MATCH(F795,Produtos!$A$2:$A$11,0))</f>
        <v>2499</v>
      </c>
      <c r="J795" s="5" t="n">
        <f aca="false">H795*I795</f>
        <v>4998</v>
      </c>
      <c r="K795" s="5" t="n">
        <f aca="false">INDEX(Produtos!$E$2:$E$11,MATCH(F795,Produtos!$A$2:$A$11,0))</f>
        <v>1800</v>
      </c>
      <c r="L795" s="5" t="n">
        <f aca="false">H795*K795</f>
        <v>3600</v>
      </c>
    </row>
    <row r="796" customFormat="false" ht="15" hidden="false" customHeight="false" outlineLevel="0" collapsed="false">
      <c r="A796" s="2" t="s">
        <v>1078</v>
      </c>
      <c r="B796" s="8" t="n">
        <v>46090</v>
      </c>
      <c r="C796" s="2" t="s">
        <v>201</v>
      </c>
      <c r="D796" s="3" t="str">
        <f aca="false">INDEX(Vendedores!$C$2:$C$101,MATCH(C796,Vendedores!$A$2:$A$101,0))</f>
        <v>L08</v>
      </c>
      <c r="E796" s="3" t="str">
        <f aca="false">INDEX(Lojas!$E$2:$E$11,MATCH(D796,Lojas!$A$2:$A$11,0))</f>
        <v>Nordeste</v>
      </c>
      <c r="F796" s="2" t="s">
        <v>270</v>
      </c>
      <c r="G796" s="3" t="str">
        <f aca="false">INDEX(Produtos!$B$2:$B$11,MATCH(F796,Produtos!$A$2:$A$11,0))&amp;" "&amp;INDEX(Produtos!$C$2:$C$11,MATCH(F796,Produtos!$A$2:$A$11,0))</f>
        <v>Controle de Videogame Xbox</v>
      </c>
      <c r="H796" s="2" t="n">
        <v>1</v>
      </c>
      <c r="I796" s="5" t="n">
        <f aca="false">INDEX(Produtos!$D$2:$D$11,MATCH(F796,Produtos!$A$2:$A$11,0))</f>
        <v>349.9</v>
      </c>
      <c r="J796" s="5" t="n">
        <f aca="false">H796*I796</f>
        <v>349.9</v>
      </c>
      <c r="K796" s="5" t="n">
        <f aca="false">INDEX(Produtos!$E$2:$E$11,MATCH(F796,Produtos!$A$2:$A$11,0))</f>
        <v>215</v>
      </c>
      <c r="L796" s="5" t="n">
        <f aca="false">H796*K796</f>
        <v>215</v>
      </c>
    </row>
    <row r="797" customFormat="false" ht="15" hidden="false" customHeight="false" outlineLevel="0" collapsed="false">
      <c r="A797" s="2" t="s">
        <v>1079</v>
      </c>
      <c r="B797" s="8" t="n">
        <v>46090</v>
      </c>
      <c r="C797" s="2" t="s">
        <v>185</v>
      </c>
      <c r="D797" s="3" t="str">
        <f aca="false">INDEX(Vendedores!$C$2:$C$101,MATCH(C797,Vendedores!$A$2:$A$101,0))</f>
        <v>L08</v>
      </c>
      <c r="E797" s="3" t="str">
        <f aca="false">INDEX(Lojas!$E$2:$E$11,MATCH(D797,Lojas!$A$2:$A$11,0))</f>
        <v>Nordeste</v>
      </c>
      <c r="F797" s="2" t="s">
        <v>255</v>
      </c>
      <c r="G797" s="3" t="str">
        <f aca="false">INDEX(Produtos!$B$2:$B$11,MATCH(F797,Produtos!$A$2:$A$11,0))&amp;" "&amp;INDEX(Produtos!$C$2:$C$11,MATCH(F797,Produtos!$A$2:$A$11,0))</f>
        <v>Notebook Positivo</v>
      </c>
      <c r="H797" s="2" t="n">
        <v>1</v>
      </c>
      <c r="I797" s="5" t="n">
        <f aca="false">INDEX(Produtos!$D$2:$D$11,MATCH(F797,Produtos!$A$2:$A$11,0))</f>
        <v>2199</v>
      </c>
      <c r="J797" s="5" t="n">
        <f aca="false">H797*I797</f>
        <v>2199</v>
      </c>
      <c r="K797" s="5" t="n">
        <f aca="false">INDEX(Produtos!$E$2:$E$11,MATCH(F797,Produtos!$A$2:$A$11,0))</f>
        <v>1550</v>
      </c>
      <c r="L797" s="5" t="n">
        <f aca="false">H797*K797</f>
        <v>1550</v>
      </c>
    </row>
    <row r="798" customFormat="false" ht="15" hidden="false" customHeight="false" outlineLevel="0" collapsed="false">
      <c r="A798" s="2" t="s">
        <v>1080</v>
      </c>
      <c r="B798" s="8" t="n">
        <v>46090</v>
      </c>
      <c r="C798" s="2" t="s">
        <v>86</v>
      </c>
      <c r="D798" s="3" t="str">
        <f aca="false">INDEX(Vendedores!$C$2:$C$101,MATCH(C798,Vendedores!$A$2:$A$101,0))</f>
        <v>L02</v>
      </c>
      <c r="E798" s="3" t="str">
        <f aca="false">INDEX(Lojas!$E$2:$E$11,MATCH(D798,Lojas!$A$2:$A$11,0))</f>
        <v>Sudeste</v>
      </c>
      <c r="F798" s="2" t="s">
        <v>273</v>
      </c>
      <c r="G798" s="3" t="str">
        <f aca="false">INDEX(Produtos!$B$2:$B$11,MATCH(F798,Produtos!$A$2:$A$11,0))&amp;" "&amp;INDEX(Produtos!$C$2:$C$11,MATCH(F798,Produtos!$A$2:$A$11,0))</f>
        <v>Controle de Videogame PS4</v>
      </c>
      <c r="H798" s="2" t="n">
        <v>1</v>
      </c>
      <c r="I798" s="5" t="n">
        <f aca="false">INDEX(Produtos!$D$2:$D$11,MATCH(F798,Produtos!$A$2:$A$11,0))</f>
        <v>299.9</v>
      </c>
      <c r="J798" s="5" t="n">
        <f aca="false">H798*I798</f>
        <v>299.9</v>
      </c>
      <c r="K798" s="5" t="n">
        <f aca="false">INDEX(Produtos!$E$2:$E$11,MATCH(F798,Produtos!$A$2:$A$11,0))</f>
        <v>175</v>
      </c>
      <c r="L798" s="5" t="n">
        <f aca="false">H798*K798</f>
        <v>175</v>
      </c>
    </row>
    <row r="799" customFormat="false" ht="15" hidden="false" customHeight="false" outlineLevel="0" collapsed="false">
      <c r="A799" s="2" t="s">
        <v>1081</v>
      </c>
      <c r="B799" s="8" t="n">
        <v>46090</v>
      </c>
      <c r="C799" s="2" t="s">
        <v>78</v>
      </c>
      <c r="D799" s="3" t="str">
        <f aca="false">INDEX(Vendedores!$C$2:$C$101,MATCH(C799,Vendedores!$A$2:$A$101,0))</f>
        <v>L02</v>
      </c>
      <c r="E799" s="3" t="str">
        <f aca="false">INDEX(Lojas!$E$2:$E$11,MATCH(D799,Lojas!$A$2:$A$11,0))</f>
        <v>Sudeste</v>
      </c>
      <c r="F799" s="2" t="s">
        <v>252</v>
      </c>
      <c r="G799" s="3" t="str">
        <f aca="false">INDEX(Produtos!$B$2:$B$11,MATCH(F799,Produtos!$A$2:$A$11,0))&amp;" "&amp;INDEX(Produtos!$C$2:$C$11,MATCH(F799,Produtos!$A$2:$A$11,0))</f>
        <v>Notebook Lenovo</v>
      </c>
      <c r="H799" s="2" t="n">
        <v>2</v>
      </c>
      <c r="I799" s="5" t="n">
        <f aca="false">INDEX(Produtos!$D$2:$D$11,MATCH(F799,Produtos!$A$2:$A$11,0))</f>
        <v>3199</v>
      </c>
      <c r="J799" s="5" t="n">
        <f aca="false">H799*I799</f>
        <v>6398</v>
      </c>
      <c r="K799" s="5" t="n">
        <f aca="false">INDEX(Produtos!$E$2:$E$11,MATCH(F799,Produtos!$A$2:$A$11,0))</f>
        <v>2350</v>
      </c>
      <c r="L799" s="5" t="n">
        <f aca="false">H799*K799</f>
        <v>4700</v>
      </c>
    </row>
    <row r="800" customFormat="false" ht="15" hidden="false" customHeight="false" outlineLevel="0" collapsed="false">
      <c r="A800" s="2" t="s">
        <v>1082</v>
      </c>
      <c r="B800" s="8" t="n">
        <v>46090</v>
      </c>
      <c r="C800" s="2" t="s">
        <v>146</v>
      </c>
      <c r="D800" s="3" t="str">
        <f aca="false">INDEX(Vendedores!$C$2:$C$101,MATCH(C800,Vendedores!$A$2:$A$101,0))</f>
        <v>L05</v>
      </c>
      <c r="E800" s="3" t="str">
        <f aca="false">INDEX(Lojas!$E$2:$E$11,MATCH(D800,Lojas!$A$2:$A$11,0))</f>
        <v>Sul</v>
      </c>
      <c r="F800" s="2" t="s">
        <v>262</v>
      </c>
      <c r="G800" s="3" t="str">
        <f aca="false">INDEX(Produtos!$B$2:$B$11,MATCH(F800,Produtos!$A$2:$A$11,0))&amp;" "&amp;INDEX(Produtos!$C$2:$C$11,MATCH(F800,Produtos!$A$2:$A$11,0))</f>
        <v>Fone de Ouvido De Celular</v>
      </c>
      <c r="H800" s="2" t="n">
        <v>1</v>
      </c>
      <c r="I800" s="5" t="n">
        <f aca="false">INDEX(Produtos!$D$2:$D$11,MATCH(F800,Produtos!$A$2:$A$11,0))</f>
        <v>59.9</v>
      </c>
      <c r="J800" s="5" t="n">
        <f aca="false">H800*I800</f>
        <v>59.9</v>
      </c>
      <c r="K800" s="5" t="n">
        <f aca="false">INDEX(Produtos!$E$2:$E$11,MATCH(F800,Produtos!$A$2:$A$11,0))</f>
        <v>28</v>
      </c>
      <c r="L800" s="5" t="n">
        <f aca="false">H800*K800</f>
        <v>28</v>
      </c>
    </row>
    <row r="801" customFormat="false" ht="15" hidden="false" customHeight="false" outlineLevel="0" collapsed="false">
      <c r="A801" s="2" t="s">
        <v>1083</v>
      </c>
      <c r="B801" s="8" t="n">
        <v>46091</v>
      </c>
      <c r="C801" s="2" t="s">
        <v>68</v>
      </c>
      <c r="D801" s="3" t="str">
        <f aca="false">INDEX(Vendedores!$C$2:$C$101,MATCH(C801,Vendedores!$A$2:$A$101,0))</f>
        <v>L01</v>
      </c>
      <c r="E801" s="3" t="str">
        <f aca="false">INDEX(Lojas!$E$2:$E$11,MATCH(D801,Lojas!$A$2:$A$11,0))</f>
        <v>Sudeste</v>
      </c>
      <c r="F801" s="2" t="s">
        <v>252</v>
      </c>
      <c r="G801" s="3" t="str">
        <f aca="false">INDEX(Produtos!$B$2:$B$11,MATCH(F801,Produtos!$A$2:$A$11,0))&amp;" "&amp;INDEX(Produtos!$C$2:$C$11,MATCH(F801,Produtos!$A$2:$A$11,0))</f>
        <v>Notebook Lenovo</v>
      </c>
      <c r="H801" s="2" t="n">
        <v>2</v>
      </c>
      <c r="I801" s="5" t="n">
        <f aca="false">INDEX(Produtos!$D$2:$D$11,MATCH(F801,Produtos!$A$2:$A$11,0))</f>
        <v>3199</v>
      </c>
      <c r="J801" s="5" t="n">
        <f aca="false">H801*I801</f>
        <v>6398</v>
      </c>
      <c r="K801" s="5" t="n">
        <f aca="false">INDEX(Produtos!$E$2:$E$11,MATCH(F801,Produtos!$A$2:$A$11,0))</f>
        <v>2350</v>
      </c>
      <c r="L801" s="5" t="n">
        <f aca="false">H801*K801</f>
        <v>4700</v>
      </c>
    </row>
    <row r="802" customFormat="false" ht="15" hidden="false" customHeight="false" outlineLevel="0" collapsed="false">
      <c r="A802" s="2" t="s">
        <v>1084</v>
      </c>
      <c r="B802" s="8" t="n">
        <v>46091</v>
      </c>
      <c r="C802" s="2" t="s">
        <v>128</v>
      </c>
      <c r="D802" s="3" t="str">
        <f aca="false">INDEX(Vendedores!$C$2:$C$101,MATCH(C802,Vendedores!$A$2:$A$101,0))</f>
        <v>L04</v>
      </c>
      <c r="E802" s="3" t="str">
        <f aca="false">INDEX(Lojas!$E$2:$E$11,MATCH(D802,Lojas!$A$2:$A$11,0))</f>
        <v>Sudeste</v>
      </c>
      <c r="F802" s="2" t="s">
        <v>267</v>
      </c>
      <c r="G802" s="3" t="str">
        <f aca="false">INDEX(Produtos!$B$2:$B$11,MATCH(F802,Produtos!$A$2:$A$11,0))&amp;" "&amp;INDEX(Produtos!$C$2:$C$11,MATCH(F802,Produtos!$A$2:$A$11,0))</f>
        <v>Carregador de Celular Tipo C</v>
      </c>
      <c r="H802" s="2" t="n">
        <v>1</v>
      </c>
      <c r="I802" s="5" t="n">
        <f aca="false">INDEX(Produtos!$D$2:$D$11,MATCH(F802,Produtos!$A$2:$A$11,0))</f>
        <v>44.9</v>
      </c>
      <c r="J802" s="5" t="n">
        <f aca="false">H802*I802</f>
        <v>44.9</v>
      </c>
      <c r="K802" s="5" t="n">
        <f aca="false">INDEX(Produtos!$E$2:$E$11,MATCH(F802,Produtos!$A$2:$A$11,0))</f>
        <v>18</v>
      </c>
      <c r="L802" s="5" t="n">
        <f aca="false">H802*K802</f>
        <v>18</v>
      </c>
    </row>
    <row r="803" customFormat="false" ht="15" hidden="false" customHeight="false" outlineLevel="0" collapsed="false">
      <c r="A803" s="2" t="s">
        <v>1085</v>
      </c>
      <c r="B803" s="8" t="n">
        <v>46091</v>
      </c>
      <c r="C803" s="2" t="s">
        <v>166</v>
      </c>
      <c r="D803" s="3" t="str">
        <f aca="false">INDEX(Vendedores!$C$2:$C$101,MATCH(C803,Vendedores!$A$2:$A$101,0))</f>
        <v>L06</v>
      </c>
      <c r="E803" s="3" t="str">
        <f aca="false">INDEX(Lojas!$E$2:$E$11,MATCH(D803,Lojas!$A$2:$A$11,0))</f>
        <v>Sul</v>
      </c>
      <c r="F803" s="2" t="s">
        <v>262</v>
      </c>
      <c r="G803" s="3" t="str">
        <f aca="false">INDEX(Produtos!$B$2:$B$11,MATCH(F803,Produtos!$A$2:$A$11,0))&amp;" "&amp;INDEX(Produtos!$C$2:$C$11,MATCH(F803,Produtos!$A$2:$A$11,0))</f>
        <v>Fone de Ouvido De Celular</v>
      </c>
      <c r="H803" s="2" t="n">
        <v>2</v>
      </c>
      <c r="I803" s="5" t="n">
        <f aca="false">INDEX(Produtos!$D$2:$D$11,MATCH(F803,Produtos!$A$2:$A$11,0))</f>
        <v>59.9</v>
      </c>
      <c r="J803" s="5" t="n">
        <f aca="false">H803*I803</f>
        <v>119.8</v>
      </c>
      <c r="K803" s="5" t="n">
        <f aca="false">INDEX(Produtos!$E$2:$E$11,MATCH(F803,Produtos!$A$2:$A$11,0))</f>
        <v>28</v>
      </c>
      <c r="L803" s="5" t="n">
        <f aca="false">H803*K803</f>
        <v>56</v>
      </c>
    </row>
    <row r="804" customFormat="false" ht="15" hidden="false" customHeight="false" outlineLevel="0" collapsed="false">
      <c r="A804" s="2" t="s">
        <v>1086</v>
      </c>
      <c r="B804" s="8" t="n">
        <v>46091</v>
      </c>
      <c r="C804" s="2" t="s">
        <v>64</v>
      </c>
      <c r="D804" s="3" t="str">
        <f aca="false">INDEX(Vendedores!$C$2:$C$101,MATCH(C804,Vendedores!$A$2:$A$101,0))</f>
        <v>L01</v>
      </c>
      <c r="E804" s="3" t="str">
        <f aca="false">INDEX(Lojas!$E$2:$E$11,MATCH(D804,Lojas!$A$2:$A$11,0))</f>
        <v>Sudeste</v>
      </c>
      <c r="F804" s="2" t="s">
        <v>260</v>
      </c>
      <c r="G804" s="3" t="str">
        <f aca="false">INDEX(Produtos!$B$2:$B$11,MATCH(F804,Produtos!$A$2:$A$11,0))&amp;" "&amp;INDEX(Produtos!$C$2:$C$11,MATCH(F804,Produtos!$A$2:$A$11,0))</f>
        <v>Celular Motorola</v>
      </c>
      <c r="H804" s="2" t="n">
        <v>2</v>
      </c>
      <c r="I804" s="5" t="n">
        <f aca="false">INDEX(Produtos!$D$2:$D$11,MATCH(F804,Produtos!$A$2:$A$11,0))</f>
        <v>1799</v>
      </c>
      <c r="J804" s="5" t="n">
        <f aca="false">H804*I804</f>
        <v>3598</v>
      </c>
      <c r="K804" s="5" t="n">
        <f aca="false">INDEX(Produtos!$E$2:$E$11,MATCH(F804,Produtos!$A$2:$A$11,0))</f>
        <v>1250</v>
      </c>
      <c r="L804" s="5" t="n">
        <f aca="false">H804*K804</f>
        <v>2500</v>
      </c>
    </row>
    <row r="805" customFormat="false" ht="15" hidden="false" customHeight="false" outlineLevel="0" collapsed="false">
      <c r="A805" s="2" t="s">
        <v>1087</v>
      </c>
      <c r="B805" s="8" t="n">
        <v>46091</v>
      </c>
      <c r="C805" s="2" t="s">
        <v>98</v>
      </c>
      <c r="D805" s="3" t="str">
        <f aca="false">INDEX(Vendedores!$C$2:$C$101,MATCH(C805,Vendedores!$A$2:$A$101,0))</f>
        <v>L03</v>
      </c>
      <c r="E805" s="3" t="str">
        <f aca="false">INDEX(Lojas!$E$2:$E$11,MATCH(D805,Lojas!$A$2:$A$11,0))</f>
        <v>Sudeste</v>
      </c>
      <c r="F805" s="2" t="s">
        <v>270</v>
      </c>
      <c r="G805" s="3" t="str">
        <f aca="false">INDEX(Produtos!$B$2:$B$11,MATCH(F805,Produtos!$A$2:$A$11,0))&amp;" "&amp;INDEX(Produtos!$C$2:$C$11,MATCH(F805,Produtos!$A$2:$A$11,0))</f>
        <v>Controle de Videogame Xbox</v>
      </c>
      <c r="H805" s="2" t="n">
        <v>1</v>
      </c>
      <c r="I805" s="5" t="n">
        <f aca="false">INDEX(Produtos!$D$2:$D$11,MATCH(F805,Produtos!$A$2:$A$11,0))</f>
        <v>349.9</v>
      </c>
      <c r="J805" s="5" t="n">
        <f aca="false">H805*I805</f>
        <v>349.9</v>
      </c>
      <c r="K805" s="5" t="n">
        <f aca="false">INDEX(Produtos!$E$2:$E$11,MATCH(F805,Produtos!$A$2:$A$11,0))</f>
        <v>215</v>
      </c>
      <c r="L805" s="5" t="n">
        <f aca="false">H805*K805</f>
        <v>215</v>
      </c>
    </row>
    <row r="806" customFormat="false" ht="15" hidden="false" customHeight="false" outlineLevel="0" collapsed="false">
      <c r="A806" s="2" t="s">
        <v>1088</v>
      </c>
      <c r="B806" s="8" t="n">
        <v>46091</v>
      </c>
      <c r="C806" s="2" t="s">
        <v>110</v>
      </c>
      <c r="D806" s="3" t="str">
        <f aca="false">INDEX(Vendedores!$C$2:$C$101,MATCH(C806,Vendedores!$A$2:$A$101,0))</f>
        <v>L04</v>
      </c>
      <c r="E806" s="3" t="str">
        <f aca="false">INDEX(Lojas!$E$2:$E$11,MATCH(D806,Lojas!$A$2:$A$11,0))</f>
        <v>Sudeste</v>
      </c>
      <c r="F806" s="2" t="s">
        <v>262</v>
      </c>
      <c r="G806" s="3" t="str">
        <f aca="false">INDEX(Produtos!$B$2:$B$11,MATCH(F806,Produtos!$A$2:$A$11,0))&amp;" "&amp;INDEX(Produtos!$C$2:$C$11,MATCH(F806,Produtos!$A$2:$A$11,0))</f>
        <v>Fone de Ouvido De Celular</v>
      </c>
      <c r="H806" s="2" t="n">
        <v>2</v>
      </c>
      <c r="I806" s="5" t="n">
        <f aca="false">INDEX(Produtos!$D$2:$D$11,MATCH(F806,Produtos!$A$2:$A$11,0))</f>
        <v>59.9</v>
      </c>
      <c r="J806" s="5" t="n">
        <f aca="false">H806*I806</f>
        <v>119.8</v>
      </c>
      <c r="K806" s="5" t="n">
        <f aca="false">INDEX(Produtos!$E$2:$E$11,MATCH(F806,Produtos!$A$2:$A$11,0))</f>
        <v>28</v>
      </c>
      <c r="L806" s="5" t="n">
        <f aca="false">H806*K806</f>
        <v>56</v>
      </c>
    </row>
    <row r="807" customFormat="false" ht="15" hidden="false" customHeight="false" outlineLevel="0" collapsed="false">
      <c r="A807" s="2" t="s">
        <v>1089</v>
      </c>
      <c r="B807" s="8" t="n">
        <v>46091</v>
      </c>
      <c r="C807" s="2" t="s">
        <v>221</v>
      </c>
      <c r="D807" s="3" t="str">
        <f aca="false">INDEX(Vendedores!$C$2:$C$101,MATCH(C807,Vendedores!$A$2:$A$101,0))</f>
        <v>L09</v>
      </c>
      <c r="E807" s="3" t="str">
        <f aca="false">INDEX(Lojas!$E$2:$E$11,MATCH(D807,Lojas!$A$2:$A$11,0))</f>
        <v>Nordeste</v>
      </c>
      <c r="F807" s="2" t="s">
        <v>252</v>
      </c>
      <c r="G807" s="3" t="str">
        <f aca="false">INDEX(Produtos!$B$2:$B$11,MATCH(F807,Produtos!$A$2:$A$11,0))&amp;" "&amp;INDEX(Produtos!$C$2:$C$11,MATCH(F807,Produtos!$A$2:$A$11,0))</f>
        <v>Notebook Lenovo</v>
      </c>
      <c r="H807" s="2" t="n">
        <v>1</v>
      </c>
      <c r="I807" s="5" t="n">
        <f aca="false">INDEX(Produtos!$D$2:$D$11,MATCH(F807,Produtos!$A$2:$A$11,0))</f>
        <v>3199</v>
      </c>
      <c r="J807" s="5" t="n">
        <f aca="false">H807*I807</f>
        <v>3199</v>
      </c>
      <c r="K807" s="5" t="n">
        <f aca="false">INDEX(Produtos!$E$2:$E$11,MATCH(F807,Produtos!$A$2:$A$11,0))</f>
        <v>2350</v>
      </c>
      <c r="L807" s="5" t="n">
        <f aca="false">H807*K807</f>
        <v>2350</v>
      </c>
    </row>
    <row r="808" customFormat="false" ht="15" hidden="false" customHeight="false" outlineLevel="0" collapsed="false">
      <c r="A808" s="2" t="s">
        <v>1090</v>
      </c>
      <c r="B808" s="8" t="n">
        <v>46091</v>
      </c>
      <c r="C808" s="2" t="s">
        <v>140</v>
      </c>
      <c r="D808" s="3" t="str">
        <f aca="false">INDEX(Vendedores!$C$2:$C$101,MATCH(C808,Vendedores!$A$2:$A$101,0))</f>
        <v>L05</v>
      </c>
      <c r="E808" s="3" t="str">
        <f aca="false">INDEX(Lojas!$E$2:$E$11,MATCH(D808,Lojas!$A$2:$A$11,0))</f>
        <v>Sul</v>
      </c>
      <c r="F808" s="2" t="s">
        <v>265</v>
      </c>
      <c r="G808" s="3" t="str">
        <f aca="false">INDEX(Produtos!$B$2:$B$11,MATCH(F808,Produtos!$A$2:$A$11,0))&amp;" "&amp;INDEX(Produtos!$C$2:$C$11,MATCH(F808,Produtos!$A$2:$A$11,0))</f>
        <v>Fone de Ouvido Headset</v>
      </c>
      <c r="H808" s="2" t="n">
        <v>2</v>
      </c>
      <c r="I808" s="5" t="n">
        <f aca="false">INDEX(Produtos!$D$2:$D$11,MATCH(F808,Produtos!$A$2:$A$11,0))</f>
        <v>249.9</v>
      </c>
      <c r="J808" s="5" t="n">
        <f aca="false">H808*I808</f>
        <v>499.8</v>
      </c>
      <c r="K808" s="5" t="n">
        <f aca="false">INDEX(Produtos!$E$2:$E$11,MATCH(F808,Produtos!$A$2:$A$11,0))</f>
        <v>145</v>
      </c>
      <c r="L808" s="5" t="n">
        <f aca="false">H808*K808</f>
        <v>290</v>
      </c>
    </row>
    <row r="809" customFormat="false" ht="15" hidden="false" customHeight="false" outlineLevel="0" collapsed="false">
      <c r="A809" s="2" t="s">
        <v>1091</v>
      </c>
      <c r="B809" s="8" t="n">
        <v>46091</v>
      </c>
      <c r="C809" s="2" t="s">
        <v>187</v>
      </c>
      <c r="D809" s="3" t="str">
        <f aca="false">INDEX(Vendedores!$C$2:$C$101,MATCH(C809,Vendedores!$A$2:$A$101,0))</f>
        <v>L08</v>
      </c>
      <c r="E809" s="3" t="str">
        <f aca="false">INDEX(Lojas!$E$2:$E$11,MATCH(D809,Lojas!$A$2:$A$11,0))</f>
        <v>Nordeste</v>
      </c>
      <c r="F809" s="2" t="s">
        <v>267</v>
      </c>
      <c r="G809" s="3" t="str">
        <f aca="false">INDEX(Produtos!$B$2:$B$11,MATCH(F809,Produtos!$A$2:$A$11,0))&amp;" "&amp;INDEX(Produtos!$C$2:$C$11,MATCH(F809,Produtos!$A$2:$A$11,0))</f>
        <v>Carregador de Celular Tipo C</v>
      </c>
      <c r="H809" s="2" t="n">
        <v>2</v>
      </c>
      <c r="I809" s="5" t="n">
        <f aca="false">INDEX(Produtos!$D$2:$D$11,MATCH(F809,Produtos!$A$2:$A$11,0))</f>
        <v>44.9</v>
      </c>
      <c r="J809" s="5" t="n">
        <f aca="false">H809*I809</f>
        <v>89.8</v>
      </c>
      <c r="K809" s="5" t="n">
        <f aca="false">INDEX(Produtos!$E$2:$E$11,MATCH(F809,Produtos!$A$2:$A$11,0))</f>
        <v>18</v>
      </c>
      <c r="L809" s="5" t="n">
        <f aca="false">H809*K809</f>
        <v>36</v>
      </c>
    </row>
    <row r="810" customFormat="false" ht="15" hidden="false" customHeight="false" outlineLevel="0" collapsed="false">
      <c r="A810" s="2" t="s">
        <v>1092</v>
      </c>
      <c r="B810" s="8" t="n">
        <v>46091</v>
      </c>
      <c r="C810" s="2" t="s">
        <v>203</v>
      </c>
      <c r="D810" s="3" t="str">
        <f aca="false">INDEX(Vendedores!$C$2:$C$101,MATCH(C810,Vendedores!$A$2:$A$101,0))</f>
        <v>L08</v>
      </c>
      <c r="E810" s="3" t="str">
        <f aca="false">INDEX(Lojas!$E$2:$E$11,MATCH(D810,Lojas!$A$2:$A$11,0))</f>
        <v>Nordeste</v>
      </c>
      <c r="F810" s="2" t="s">
        <v>267</v>
      </c>
      <c r="G810" s="3" t="str">
        <f aca="false">INDEX(Produtos!$B$2:$B$11,MATCH(F810,Produtos!$A$2:$A$11,0))&amp;" "&amp;INDEX(Produtos!$C$2:$C$11,MATCH(F810,Produtos!$A$2:$A$11,0))</f>
        <v>Carregador de Celular Tipo C</v>
      </c>
      <c r="H810" s="2" t="n">
        <v>1</v>
      </c>
      <c r="I810" s="5" t="n">
        <f aca="false">INDEX(Produtos!$D$2:$D$11,MATCH(F810,Produtos!$A$2:$A$11,0))</f>
        <v>44.9</v>
      </c>
      <c r="J810" s="5" t="n">
        <f aca="false">H810*I810</f>
        <v>44.9</v>
      </c>
      <c r="K810" s="5" t="n">
        <f aca="false">INDEX(Produtos!$E$2:$E$11,MATCH(F810,Produtos!$A$2:$A$11,0))</f>
        <v>18</v>
      </c>
      <c r="L810" s="5" t="n">
        <f aca="false">H810*K810</f>
        <v>18</v>
      </c>
    </row>
    <row r="811" customFormat="false" ht="15" hidden="false" customHeight="false" outlineLevel="0" collapsed="false">
      <c r="A811" s="2" t="s">
        <v>1093</v>
      </c>
      <c r="B811" s="8" t="n">
        <v>46091</v>
      </c>
      <c r="C811" s="2" t="s">
        <v>102</v>
      </c>
      <c r="D811" s="3" t="str">
        <f aca="false">INDEX(Vendedores!$C$2:$C$101,MATCH(C811,Vendedores!$A$2:$A$101,0))</f>
        <v>L03</v>
      </c>
      <c r="E811" s="3" t="str">
        <f aca="false">INDEX(Lojas!$E$2:$E$11,MATCH(D811,Lojas!$A$2:$A$11,0))</f>
        <v>Sudeste</v>
      </c>
      <c r="F811" s="2" t="s">
        <v>273</v>
      </c>
      <c r="G811" s="3" t="str">
        <f aca="false">INDEX(Produtos!$B$2:$B$11,MATCH(F811,Produtos!$A$2:$A$11,0))&amp;" "&amp;INDEX(Produtos!$C$2:$C$11,MATCH(F811,Produtos!$A$2:$A$11,0))</f>
        <v>Controle de Videogame PS4</v>
      </c>
      <c r="H811" s="2" t="n">
        <v>1</v>
      </c>
      <c r="I811" s="5" t="n">
        <f aca="false">INDEX(Produtos!$D$2:$D$11,MATCH(F811,Produtos!$A$2:$A$11,0))</f>
        <v>299.9</v>
      </c>
      <c r="J811" s="5" t="n">
        <f aca="false">H811*I811</f>
        <v>299.9</v>
      </c>
      <c r="K811" s="5" t="n">
        <f aca="false">INDEX(Produtos!$E$2:$E$11,MATCH(F811,Produtos!$A$2:$A$11,0))</f>
        <v>175</v>
      </c>
      <c r="L811" s="5" t="n">
        <f aca="false">H811*K811</f>
        <v>175</v>
      </c>
    </row>
    <row r="812" customFormat="false" ht="15" hidden="false" customHeight="false" outlineLevel="0" collapsed="false">
      <c r="A812" s="2" t="s">
        <v>1094</v>
      </c>
      <c r="B812" s="8" t="n">
        <v>46091</v>
      </c>
      <c r="C812" s="2" t="s">
        <v>164</v>
      </c>
      <c r="D812" s="3" t="str">
        <f aca="false">INDEX(Vendedores!$C$2:$C$101,MATCH(C812,Vendedores!$A$2:$A$101,0))</f>
        <v>L06</v>
      </c>
      <c r="E812" s="3" t="str">
        <f aca="false">INDEX(Lojas!$E$2:$E$11,MATCH(D812,Lojas!$A$2:$A$11,0))</f>
        <v>Sul</v>
      </c>
      <c r="F812" s="2" t="s">
        <v>260</v>
      </c>
      <c r="G812" s="3" t="str">
        <f aca="false">INDEX(Produtos!$B$2:$B$11,MATCH(F812,Produtos!$A$2:$A$11,0))&amp;" "&amp;INDEX(Produtos!$C$2:$C$11,MATCH(F812,Produtos!$A$2:$A$11,0))</f>
        <v>Celular Motorola</v>
      </c>
      <c r="H812" s="2" t="n">
        <v>3</v>
      </c>
      <c r="I812" s="5" t="n">
        <f aca="false">INDEX(Produtos!$D$2:$D$11,MATCH(F812,Produtos!$A$2:$A$11,0))</f>
        <v>1799</v>
      </c>
      <c r="J812" s="5" t="n">
        <f aca="false">H812*I812</f>
        <v>5397</v>
      </c>
      <c r="K812" s="5" t="n">
        <f aca="false">INDEX(Produtos!$E$2:$E$11,MATCH(F812,Produtos!$A$2:$A$11,0))</f>
        <v>1250</v>
      </c>
      <c r="L812" s="5" t="n">
        <f aca="false">H812*K812</f>
        <v>3750</v>
      </c>
    </row>
    <row r="813" customFormat="false" ht="15" hidden="false" customHeight="false" outlineLevel="0" collapsed="false">
      <c r="A813" s="2" t="s">
        <v>1095</v>
      </c>
      <c r="B813" s="8" t="n">
        <v>46092</v>
      </c>
      <c r="C813" s="2" t="s">
        <v>185</v>
      </c>
      <c r="D813" s="3" t="str">
        <f aca="false">INDEX(Vendedores!$C$2:$C$101,MATCH(C813,Vendedores!$A$2:$A$101,0))</f>
        <v>L08</v>
      </c>
      <c r="E813" s="3" t="str">
        <f aca="false">INDEX(Lojas!$E$2:$E$11,MATCH(D813,Lojas!$A$2:$A$11,0))</f>
        <v>Nordeste</v>
      </c>
      <c r="F813" s="2" t="s">
        <v>267</v>
      </c>
      <c r="G813" s="3" t="str">
        <f aca="false">INDEX(Produtos!$B$2:$B$11,MATCH(F813,Produtos!$A$2:$A$11,0))&amp;" "&amp;INDEX(Produtos!$C$2:$C$11,MATCH(F813,Produtos!$A$2:$A$11,0))</f>
        <v>Carregador de Celular Tipo C</v>
      </c>
      <c r="H813" s="2" t="n">
        <v>3</v>
      </c>
      <c r="I813" s="5" t="n">
        <f aca="false">INDEX(Produtos!$D$2:$D$11,MATCH(F813,Produtos!$A$2:$A$11,0))</f>
        <v>44.9</v>
      </c>
      <c r="J813" s="5" t="n">
        <f aca="false">H813*I813</f>
        <v>134.7</v>
      </c>
      <c r="K813" s="5" t="n">
        <f aca="false">INDEX(Produtos!$E$2:$E$11,MATCH(F813,Produtos!$A$2:$A$11,0))</f>
        <v>18</v>
      </c>
      <c r="L813" s="5" t="n">
        <f aca="false">H813*K813</f>
        <v>54</v>
      </c>
    </row>
    <row r="814" customFormat="false" ht="15" hidden="false" customHeight="false" outlineLevel="0" collapsed="false">
      <c r="A814" s="2" t="s">
        <v>1096</v>
      </c>
      <c r="B814" s="8" t="n">
        <v>46092</v>
      </c>
      <c r="C814" s="2" t="s">
        <v>156</v>
      </c>
      <c r="D814" s="3" t="str">
        <f aca="false">INDEX(Vendedores!$C$2:$C$101,MATCH(C814,Vendedores!$A$2:$A$101,0))</f>
        <v>L06</v>
      </c>
      <c r="E814" s="3" t="str">
        <f aca="false">INDEX(Lojas!$E$2:$E$11,MATCH(D814,Lojas!$A$2:$A$11,0))</f>
        <v>Sul</v>
      </c>
      <c r="F814" s="2" t="s">
        <v>262</v>
      </c>
      <c r="G814" s="3" t="str">
        <f aca="false">INDEX(Produtos!$B$2:$B$11,MATCH(F814,Produtos!$A$2:$A$11,0))&amp;" "&amp;INDEX(Produtos!$C$2:$C$11,MATCH(F814,Produtos!$A$2:$A$11,0))</f>
        <v>Fone de Ouvido De Celular</v>
      </c>
      <c r="H814" s="2" t="n">
        <v>2</v>
      </c>
      <c r="I814" s="5" t="n">
        <f aca="false">INDEX(Produtos!$D$2:$D$11,MATCH(F814,Produtos!$A$2:$A$11,0))</f>
        <v>59.9</v>
      </c>
      <c r="J814" s="5" t="n">
        <f aca="false">H814*I814</f>
        <v>119.8</v>
      </c>
      <c r="K814" s="5" t="n">
        <f aca="false">INDEX(Produtos!$E$2:$E$11,MATCH(F814,Produtos!$A$2:$A$11,0))</f>
        <v>28</v>
      </c>
      <c r="L814" s="5" t="n">
        <f aca="false">H814*K814</f>
        <v>56</v>
      </c>
    </row>
    <row r="815" customFormat="false" ht="15" hidden="false" customHeight="false" outlineLevel="0" collapsed="false">
      <c r="A815" s="2" t="s">
        <v>1097</v>
      </c>
      <c r="B815" s="8" t="n">
        <v>46092</v>
      </c>
      <c r="C815" s="2" t="s">
        <v>160</v>
      </c>
      <c r="D815" s="3" t="str">
        <f aca="false">INDEX(Vendedores!$C$2:$C$101,MATCH(C815,Vendedores!$A$2:$A$101,0))</f>
        <v>L06</v>
      </c>
      <c r="E815" s="3" t="str">
        <f aca="false">INDEX(Lojas!$E$2:$E$11,MATCH(D815,Lojas!$A$2:$A$11,0))</f>
        <v>Sul</v>
      </c>
      <c r="F815" s="2" t="s">
        <v>255</v>
      </c>
      <c r="G815" s="3" t="str">
        <f aca="false">INDEX(Produtos!$B$2:$B$11,MATCH(F815,Produtos!$A$2:$A$11,0))&amp;" "&amp;INDEX(Produtos!$C$2:$C$11,MATCH(F815,Produtos!$A$2:$A$11,0))</f>
        <v>Notebook Positivo</v>
      </c>
      <c r="H815" s="2" t="n">
        <v>2</v>
      </c>
      <c r="I815" s="5" t="n">
        <f aca="false">INDEX(Produtos!$D$2:$D$11,MATCH(F815,Produtos!$A$2:$A$11,0))</f>
        <v>2199</v>
      </c>
      <c r="J815" s="5" t="n">
        <f aca="false">H815*I815</f>
        <v>4398</v>
      </c>
      <c r="K815" s="5" t="n">
        <f aca="false">INDEX(Produtos!$E$2:$E$11,MATCH(F815,Produtos!$A$2:$A$11,0))</f>
        <v>1550</v>
      </c>
      <c r="L815" s="5" t="n">
        <f aca="false">H815*K815</f>
        <v>3100</v>
      </c>
    </row>
    <row r="816" customFormat="false" ht="15" hidden="false" customHeight="false" outlineLevel="0" collapsed="false">
      <c r="A816" s="2" t="s">
        <v>1098</v>
      </c>
      <c r="B816" s="8" t="n">
        <v>46092</v>
      </c>
      <c r="C816" s="2" t="s">
        <v>168</v>
      </c>
      <c r="D816" s="3" t="str">
        <f aca="false">INDEX(Vendedores!$C$2:$C$101,MATCH(C816,Vendedores!$A$2:$A$101,0))</f>
        <v>L07</v>
      </c>
      <c r="E816" s="3" t="str">
        <f aca="false">INDEX(Lojas!$E$2:$E$11,MATCH(D816,Lojas!$A$2:$A$11,0))</f>
        <v>Sul</v>
      </c>
      <c r="F816" s="2" t="s">
        <v>260</v>
      </c>
      <c r="G816" s="3" t="str">
        <f aca="false">INDEX(Produtos!$B$2:$B$11,MATCH(F816,Produtos!$A$2:$A$11,0))&amp;" "&amp;INDEX(Produtos!$C$2:$C$11,MATCH(F816,Produtos!$A$2:$A$11,0))</f>
        <v>Celular Motorola</v>
      </c>
      <c r="H816" s="2" t="n">
        <v>2</v>
      </c>
      <c r="I816" s="5" t="n">
        <f aca="false">INDEX(Produtos!$D$2:$D$11,MATCH(F816,Produtos!$A$2:$A$11,0))</f>
        <v>1799</v>
      </c>
      <c r="J816" s="5" t="n">
        <f aca="false">H816*I816</f>
        <v>3598</v>
      </c>
      <c r="K816" s="5" t="n">
        <f aca="false">INDEX(Produtos!$E$2:$E$11,MATCH(F816,Produtos!$A$2:$A$11,0))</f>
        <v>1250</v>
      </c>
      <c r="L816" s="5" t="n">
        <f aca="false">H816*K816</f>
        <v>2500</v>
      </c>
    </row>
    <row r="817" customFormat="false" ht="15" hidden="false" customHeight="false" outlineLevel="0" collapsed="false">
      <c r="A817" s="2" t="s">
        <v>1099</v>
      </c>
      <c r="B817" s="8" t="n">
        <v>46092</v>
      </c>
      <c r="C817" s="2" t="s">
        <v>231</v>
      </c>
      <c r="D817" s="3" t="str">
        <f aca="false">INDEX(Vendedores!$C$2:$C$101,MATCH(C817,Vendedores!$A$2:$A$101,0))</f>
        <v>L10</v>
      </c>
      <c r="E817" s="3" t="str">
        <f aca="false">INDEX(Lojas!$E$2:$E$11,MATCH(D817,Lojas!$A$2:$A$11,0))</f>
        <v>Nordeste</v>
      </c>
      <c r="F817" s="2" t="s">
        <v>267</v>
      </c>
      <c r="G817" s="3" t="str">
        <f aca="false">INDEX(Produtos!$B$2:$B$11,MATCH(F817,Produtos!$A$2:$A$11,0))&amp;" "&amp;INDEX(Produtos!$C$2:$C$11,MATCH(F817,Produtos!$A$2:$A$11,0))</f>
        <v>Carregador de Celular Tipo C</v>
      </c>
      <c r="H817" s="2" t="n">
        <v>2</v>
      </c>
      <c r="I817" s="5" t="n">
        <f aca="false">INDEX(Produtos!$D$2:$D$11,MATCH(F817,Produtos!$A$2:$A$11,0))</f>
        <v>44.9</v>
      </c>
      <c r="J817" s="5" t="n">
        <f aca="false">H817*I817</f>
        <v>89.8</v>
      </c>
      <c r="K817" s="5" t="n">
        <f aca="false">INDEX(Produtos!$E$2:$E$11,MATCH(F817,Produtos!$A$2:$A$11,0))</f>
        <v>18</v>
      </c>
      <c r="L817" s="5" t="n">
        <f aca="false">H817*K817</f>
        <v>36</v>
      </c>
    </row>
    <row r="818" customFormat="false" ht="15" hidden="false" customHeight="false" outlineLevel="0" collapsed="false">
      <c r="A818" s="2" t="s">
        <v>1100</v>
      </c>
      <c r="B818" s="8" t="n">
        <v>46092</v>
      </c>
      <c r="C818" s="2" t="s">
        <v>179</v>
      </c>
      <c r="D818" s="3" t="str">
        <f aca="false">INDEX(Vendedores!$C$2:$C$101,MATCH(C818,Vendedores!$A$2:$A$101,0))</f>
        <v>L07</v>
      </c>
      <c r="E818" s="3" t="str">
        <f aca="false">INDEX(Lojas!$E$2:$E$11,MATCH(D818,Lojas!$A$2:$A$11,0))</f>
        <v>Sul</v>
      </c>
      <c r="F818" s="2" t="s">
        <v>275</v>
      </c>
      <c r="G818" s="3" t="str">
        <f aca="false">INDEX(Produtos!$B$2:$B$11,MATCH(F818,Produtos!$A$2:$A$11,0))&amp;" "&amp;INDEX(Produtos!$C$2:$C$11,MATCH(F818,Produtos!$A$2:$A$11,0))</f>
        <v>Controle de Videogame PS5</v>
      </c>
      <c r="H818" s="2" t="n">
        <v>1</v>
      </c>
      <c r="I818" s="5" t="n">
        <f aca="false">INDEX(Produtos!$D$2:$D$11,MATCH(F818,Produtos!$A$2:$A$11,0))</f>
        <v>379.9</v>
      </c>
      <c r="J818" s="5" t="n">
        <f aca="false">H818*I818</f>
        <v>379.9</v>
      </c>
      <c r="K818" s="5" t="n">
        <f aca="false">INDEX(Produtos!$E$2:$E$11,MATCH(F818,Produtos!$A$2:$A$11,0))</f>
        <v>235</v>
      </c>
      <c r="L818" s="5" t="n">
        <f aca="false">H818*K818</f>
        <v>235</v>
      </c>
    </row>
    <row r="819" customFormat="false" ht="15" hidden="false" customHeight="false" outlineLevel="0" collapsed="false">
      <c r="A819" s="2" t="s">
        <v>1101</v>
      </c>
      <c r="B819" s="8" t="n">
        <v>46092</v>
      </c>
      <c r="C819" s="2" t="s">
        <v>137</v>
      </c>
      <c r="D819" s="3" t="str">
        <f aca="false">INDEX(Vendedores!$C$2:$C$101,MATCH(C819,Vendedores!$A$2:$A$101,0))</f>
        <v>L05</v>
      </c>
      <c r="E819" s="3" t="str">
        <f aca="false">INDEX(Lojas!$E$2:$E$11,MATCH(D819,Lojas!$A$2:$A$11,0))</f>
        <v>Sul</v>
      </c>
      <c r="F819" s="2" t="s">
        <v>252</v>
      </c>
      <c r="G819" s="3" t="str">
        <f aca="false">INDEX(Produtos!$B$2:$B$11,MATCH(F819,Produtos!$A$2:$A$11,0))&amp;" "&amp;INDEX(Produtos!$C$2:$C$11,MATCH(F819,Produtos!$A$2:$A$11,0))</f>
        <v>Notebook Lenovo</v>
      </c>
      <c r="H819" s="2" t="n">
        <v>1</v>
      </c>
      <c r="I819" s="5" t="n">
        <f aca="false">INDEX(Produtos!$D$2:$D$11,MATCH(F819,Produtos!$A$2:$A$11,0))</f>
        <v>3199</v>
      </c>
      <c r="J819" s="5" t="n">
        <f aca="false">H819*I819</f>
        <v>3199</v>
      </c>
      <c r="K819" s="5" t="n">
        <f aca="false">INDEX(Produtos!$E$2:$E$11,MATCH(F819,Produtos!$A$2:$A$11,0))</f>
        <v>2350</v>
      </c>
      <c r="L819" s="5" t="n">
        <f aca="false">H819*K819</f>
        <v>2350</v>
      </c>
    </row>
    <row r="820" customFormat="false" ht="15" hidden="false" customHeight="false" outlineLevel="0" collapsed="false">
      <c r="A820" s="2" t="s">
        <v>1102</v>
      </c>
      <c r="B820" s="8" t="n">
        <v>46092</v>
      </c>
      <c r="C820" s="2" t="s">
        <v>191</v>
      </c>
      <c r="D820" s="3" t="str">
        <f aca="false">INDEX(Vendedores!$C$2:$C$101,MATCH(C820,Vendedores!$A$2:$A$101,0))</f>
        <v>L08</v>
      </c>
      <c r="E820" s="3" t="str">
        <f aca="false">INDEX(Lojas!$E$2:$E$11,MATCH(D820,Lojas!$A$2:$A$11,0))</f>
        <v>Nordeste</v>
      </c>
      <c r="F820" s="2" t="s">
        <v>267</v>
      </c>
      <c r="G820" s="3" t="str">
        <f aca="false">INDEX(Produtos!$B$2:$B$11,MATCH(F820,Produtos!$A$2:$A$11,0))&amp;" "&amp;INDEX(Produtos!$C$2:$C$11,MATCH(F820,Produtos!$A$2:$A$11,0))</f>
        <v>Carregador de Celular Tipo C</v>
      </c>
      <c r="H820" s="2" t="n">
        <v>1</v>
      </c>
      <c r="I820" s="5" t="n">
        <f aca="false">INDEX(Produtos!$D$2:$D$11,MATCH(F820,Produtos!$A$2:$A$11,0))</f>
        <v>44.9</v>
      </c>
      <c r="J820" s="5" t="n">
        <f aca="false">H820*I820</f>
        <v>44.9</v>
      </c>
      <c r="K820" s="5" t="n">
        <f aca="false">INDEX(Produtos!$E$2:$E$11,MATCH(F820,Produtos!$A$2:$A$11,0))</f>
        <v>18</v>
      </c>
      <c r="L820" s="5" t="n">
        <f aca="false">H820*K820</f>
        <v>18</v>
      </c>
    </row>
    <row r="821" customFormat="false" ht="15" hidden="false" customHeight="false" outlineLevel="0" collapsed="false">
      <c r="A821" s="2" t="s">
        <v>1103</v>
      </c>
      <c r="B821" s="8" t="n">
        <v>46092</v>
      </c>
      <c r="C821" s="2" t="s">
        <v>104</v>
      </c>
      <c r="D821" s="3" t="str">
        <f aca="false">INDEX(Vendedores!$C$2:$C$101,MATCH(C821,Vendedores!$A$2:$A$101,0))</f>
        <v>L03</v>
      </c>
      <c r="E821" s="3" t="str">
        <f aca="false">INDEX(Lojas!$E$2:$E$11,MATCH(D821,Lojas!$A$2:$A$11,0))</f>
        <v>Sudeste</v>
      </c>
      <c r="F821" s="2" t="s">
        <v>262</v>
      </c>
      <c r="G821" s="3" t="str">
        <f aca="false">INDEX(Produtos!$B$2:$B$11,MATCH(F821,Produtos!$A$2:$A$11,0))&amp;" "&amp;INDEX(Produtos!$C$2:$C$11,MATCH(F821,Produtos!$A$2:$A$11,0))</f>
        <v>Fone de Ouvido De Celular</v>
      </c>
      <c r="H821" s="2" t="n">
        <v>1</v>
      </c>
      <c r="I821" s="5" t="n">
        <f aca="false">INDEX(Produtos!$D$2:$D$11,MATCH(F821,Produtos!$A$2:$A$11,0))</f>
        <v>59.9</v>
      </c>
      <c r="J821" s="5" t="n">
        <f aca="false">H821*I821</f>
        <v>59.9</v>
      </c>
      <c r="K821" s="5" t="n">
        <f aca="false">INDEX(Produtos!$E$2:$E$11,MATCH(F821,Produtos!$A$2:$A$11,0))</f>
        <v>28</v>
      </c>
      <c r="L821" s="5" t="n">
        <f aca="false">H821*K821</f>
        <v>28</v>
      </c>
    </row>
    <row r="822" customFormat="false" ht="15" hidden="false" customHeight="false" outlineLevel="0" collapsed="false">
      <c r="A822" s="2" t="s">
        <v>1104</v>
      </c>
      <c r="B822" s="8" t="n">
        <v>46092</v>
      </c>
      <c r="C822" s="2" t="s">
        <v>172</v>
      </c>
      <c r="D822" s="3" t="str">
        <f aca="false">INDEX(Vendedores!$C$2:$C$101,MATCH(C822,Vendedores!$A$2:$A$101,0))</f>
        <v>L07</v>
      </c>
      <c r="E822" s="3" t="str">
        <f aca="false">INDEX(Lojas!$E$2:$E$11,MATCH(D822,Lojas!$A$2:$A$11,0))</f>
        <v>Sul</v>
      </c>
      <c r="F822" s="2" t="s">
        <v>255</v>
      </c>
      <c r="G822" s="3" t="str">
        <f aca="false">INDEX(Produtos!$B$2:$B$11,MATCH(F822,Produtos!$A$2:$A$11,0))&amp;" "&amp;INDEX(Produtos!$C$2:$C$11,MATCH(F822,Produtos!$A$2:$A$11,0))</f>
        <v>Notebook Positivo</v>
      </c>
      <c r="H822" s="2" t="n">
        <v>1</v>
      </c>
      <c r="I822" s="5" t="n">
        <f aca="false">INDEX(Produtos!$D$2:$D$11,MATCH(F822,Produtos!$A$2:$A$11,0))</f>
        <v>2199</v>
      </c>
      <c r="J822" s="5" t="n">
        <f aca="false">H822*I822</f>
        <v>2199</v>
      </c>
      <c r="K822" s="5" t="n">
        <f aca="false">INDEX(Produtos!$E$2:$E$11,MATCH(F822,Produtos!$A$2:$A$11,0))</f>
        <v>1550</v>
      </c>
      <c r="L822" s="5" t="n">
        <f aca="false">H822*K822</f>
        <v>1550</v>
      </c>
    </row>
    <row r="823" customFormat="false" ht="15" hidden="false" customHeight="false" outlineLevel="0" collapsed="false">
      <c r="A823" s="2" t="s">
        <v>1105</v>
      </c>
      <c r="B823" s="8" t="n">
        <v>46093</v>
      </c>
      <c r="C823" s="2" t="s">
        <v>180</v>
      </c>
      <c r="D823" s="3" t="str">
        <f aca="false">INDEX(Vendedores!$C$2:$C$101,MATCH(C823,Vendedores!$A$2:$A$101,0))</f>
        <v>L07</v>
      </c>
      <c r="E823" s="3" t="str">
        <f aca="false">INDEX(Lojas!$E$2:$E$11,MATCH(D823,Lojas!$A$2:$A$11,0))</f>
        <v>Sul</v>
      </c>
      <c r="F823" s="2" t="s">
        <v>260</v>
      </c>
      <c r="G823" s="3" t="str">
        <f aca="false">INDEX(Produtos!$B$2:$B$11,MATCH(F823,Produtos!$A$2:$A$11,0))&amp;" "&amp;INDEX(Produtos!$C$2:$C$11,MATCH(F823,Produtos!$A$2:$A$11,0))</f>
        <v>Celular Motorola</v>
      </c>
      <c r="H823" s="2" t="n">
        <v>1</v>
      </c>
      <c r="I823" s="5" t="n">
        <f aca="false">INDEX(Produtos!$D$2:$D$11,MATCH(F823,Produtos!$A$2:$A$11,0))</f>
        <v>1799</v>
      </c>
      <c r="J823" s="5" t="n">
        <f aca="false">H823*I823</f>
        <v>1799</v>
      </c>
      <c r="K823" s="5" t="n">
        <f aca="false">INDEX(Produtos!$E$2:$E$11,MATCH(F823,Produtos!$A$2:$A$11,0))</f>
        <v>1250</v>
      </c>
      <c r="L823" s="5" t="n">
        <f aca="false">H823*K823</f>
        <v>1250</v>
      </c>
    </row>
    <row r="824" customFormat="false" ht="15" hidden="false" customHeight="false" outlineLevel="0" collapsed="false">
      <c r="A824" s="2" t="s">
        <v>1106</v>
      </c>
      <c r="B824" s="8" t="n">
        <v>46093</v>
      </c>
      <c r="C824" s="2" t="s">
        <v>148</v>
      </c>
      <c r="D824" s="3" t="str">
        <f aca="false">INDEX(Vendedores!$C$2:$C$101,MATCH(C824,Vendedores!$A$2:$A$101,0))</f>
        <v>L06</v>
      </c>
      <c r="E824" s="3" t="str">
        <f aca="false">INDEX(Lojas!$E$2:$E$11,MATCH(D824,Lojas!$A$2:$A$11,0))</f>
        <v>Sul</v>
      </c>
      <c r="F824" s="2" t="s">
        <v>262</v>
      </c>
      <c r="G824" s="3" t="str">
        <f aca="false">INDEX(Produtos!$B$2:$B$11,MATCH(F824,Produtos!$A$2:$A$11,0))&amp;" "&amp;INDEX(Produtos!$C$2:$C$11,MATCH(F824,Produtos!$A$2:$A$11,0))</f>
        <v>Fone de Ouvido De Celular</v>
      </c>
      <c r="H824" s="2" t="n">
        <v>1</v>
      </c>
      <c r="I824" s="5" t="n">
        <f aca="false">INDEX(Produtos!$D$2:$D$11,MATCH(F824,Produtos!$A$2:$A$11,0))</f>
        <v>59.9</v>
      </c>
      <c r="J824" s="5" t="n">
        <f aca="false">H824*I824</f>
        <v>59.9</v>
      </c>
      <c r="K824" s="5" t="n">
        <f aca="false">INDEX(Produtos!$E$2:$E$11,MATCH(F824,Produtos!$A$2:$A$11,0))</f>
        <v>28</v>
      </c>
      <c r="L824" s="5" t="n">
        <f aca="false">H824*K824</f>
        <v>28</v>
      </c>
    </row>
    <row r="825" customFormat="false" ht="15" hidden="false" customHeight="false" outlineLevel="0" collapsed="false">
      <c r="A825" s="2" t="s">
        <v>1107</v>
      </c>
      <c r="B825" s="8" t="n">
        <v>46093</v>
      </c>
      <c r="C825" s="2" t="s">
        <v>217</v>
      </c>
      <c r="D825" s="3" t="str">
        <f aca="false">INDEX(Vendedores!$C$2:$C$101,MATCH(C825,Vendedores!$A$2:$A$101,0))</f>
        <v>L09</v>
      </c>
      <c r="E825" s="3" t="str">
        <f aca="false">INDEX(Lojas!$E$2:$E$11,MATCH(D825,Lojas!$A$2:$A$11,0))</f>
        <v>Nordeste</v>
      </c>
      <c r="F825" s="2" t="s">
        <v>267</v>
      </c>
      <c r="G825" s="3" t="str">
        <f aca="false">INDEX(Produtos!$B$2:$B$11,MATCH(F825,Produtos!$A$2:$A$11,0))&amp;" "&amp;INDEX(Produtos!$C$2:$C$11,MATCH(F825,Produtos!$A$2:$A$11,0))</f>
        <v>Carregador de Celular Tipo C</v>
      </c>
      <c r="H825" s="2" t="n">
        <v>2</v>
      </c>
      <c r="I825" s="5" t="n">
        <f aca="false">INDEX(Produtos!$D$2:$D$11,MATCH(F825,Produtos!$A$2:$A$11,0))</f>
        <v>44.9</v>
      </c>
      <c r="J825" s="5" t="n">
        <f aca="false">H825*I825</f>
        <v>89.8</v>
      </c>
      <c r="K825" s="5" t="n">
        <f aca="false">INDEX(Produtos!$E$2:$E$11,MATCH(F825,Produtos!$A$2:$A$11,0))</f>
        <v>18</v>
      </c>
      <c r="L825" s="5" t="n">
        <f aca="false">H825*K825</f>
        <v>36</v>
      </c>
    </row>
    <row r="826" customFormat="false" ht="15" hidden="false" customHeight="false" outlineLevel="0" collapsed="false">
      <c r="A826" s="2" t="s">
        <v>1108</v>
      </c>
      <c r="B826" s="8" t="n">
        <v>46093</v>
      </c>
      <c r="C826" s="2" t="s">
        <v>120</v>
      </c>
      <c r="D826" s="3" t="str">
        <f aca="false">INDEX(Vendedores!$C$2:$C$101,MATCH(C826,Vendedores!$A$2:$A$101,0))</f>
        <v>L04</v>
      </c>
      <c r="E826" s="3" t="str">
        <f aca="false">INDEX(Lojas!$E$2:$E$11,MATCH(D826,Lojas!$A$2:$A$11,0))</f>
        <v>Sudeste</v>
      </c>
      <c r="F826" s="2" t="s">
        <v>257</v>
      </c>
      <c r="G826" s="3" t="str">
        <f aca="false">INDEX(Produtos!$B$2:$B$11,MATCH(F826,Produtos!$A$2:$A$11,0))&amp;" "&amp;INDEX(Produtos!$C$2:$C$11,MATCH(F826,Produtos!$A$2:$A$11,0))</f>
        <v>Celular Samsung</v>
      </c>
      <c r="H826" s="2" t="n">
        <v>1</v>
      </c>
      <c r="I826" s="5" t="n">
        <f aca="false">INDEX(Produtos!$D$2:$D$11,MATCH(F826,Produtos!$A$2:$A$11,0))</f>
        <v>2499</v>
      </c>
      <c r="J826" s="5" t="n">
        <f aca="false">H826*I826</f>
        <v>2499</v>
      </c>
      <c r="K826" s="5" t="n">
        <f aca="false">INDEX(Produtos!$E$2:$E$11,MATCH(F826,Produtos!$A$2:$A$11,0))</f>
        <v>1800</v>
      </c>
      <c r="L826" s="5" t="n">
        <f aca="false">H826*K826</f>
        <v>1800</v>
      </c>
    </row>
    <row r="827" customFormat="false" ht="15" hidden="false" customHeight="false" outlineLevel="0" collapsed="false">
      <c r="A827" s="2" t="s">
        <v>1109</v>
      </c>
      <c r="B827" s="8" t="n">
        <v>46093</v>
      </c>
      <c r="C827" s="2" t="s">
        <v>231</v>
      </c>
      <c r="D827" s="3" t="str">
        <f aca="false">INDEX(Vendedores!$C$2:$C$101,MATCH(C827,Vendedores!$A$2:$A$101,0))</f>
        <v>L10</v>
      </c>
      <c r="E827" s="3" t="str">
        <f aca="false">INDEX(Lojas!$E$2:$E$11,MATCH(D827,Lojas!$A$2:$A$11,0))</f>
        <v>Nordeste</v>
      </c>
      <c r="F827" s="2" t="s">
        <v>275</v>
      </c>
      <c r="G827" s="3" t="str">
        <f aca="false">INDEX(Produtos!$B$2:$B$11,MATCH(F827,Produtos!$A$2:$A$11,0))&amp;" "&amp;INDEX(Produtos!$C$2:$C$11,MATCH(F827,Produtos!$A$2:$A$11,0))</f>
        <v>Controle de Videogame PS5</v>
      </c>
      <c r="H827" s="2" t="n">
        <v>1</v>
      </c>
      <c r="I827" s="5" t="n">
        <f aca="false">INDEX(Produtos!$D$2:$D$11,MATCH(F827,Produtos!$A$2:$A$11,0))</f>
        <v>379.9</v>
      </c>
      <c r="J827" s="5" t="n">
        <f aca="false">H827*I827</f>
        <v>379.9</v>
      </c>
      <c r="K827" s="5" t="n">
        <f aca="false">INDEX(Produtos!$E$2:$E$11,MATCH(F827,Produtos!$A$2:$A$11,0))</f>
        <v>235</v>
      </c>
      <c r="L827" s="5" t="n">
        <f aca="false">H827*K827</f>
        <v>235</v>
      </c>
    </row>
    <row r="828" customFormat="false" ht="15" hidden="false" customHeight="false" outlineLevel="0" collapsed="false">
      <c r="A828" s="2" t="s">
        <v>1110</v>
      </c>
      <c r="B828" s="8" t="n">
        <v>46093</v>
      </c>
      <c r="C828" s="2" t="s">
        <v>229</v>
      </c>
      <c r="D828" s="3" t="str">
        <f aca="false">INDEX(Vendedores!$C$2:$C$101,MATCH(C828,Vendedores!$A$2:$A$101,0))</f>
        <v>L10</v>
      </c>
      <c r="E828" s="3" t="str">
        <f aca="false">INDEX(Lojas!$E$2:$E$11,MATCH(D828,Lojas!$A$2:$A$11,0))</f>
        <v>Nordeste</v>
      </c>
      <c r="F828" s="2" t="s">
        <v>267</v>
      </c>
      <c r="G828" s="3" t="str">
        <f aca="false">INDEX(Produtos!$B$2:$B$11,MATCH(F828,Produtos!$A$2:$A$11,0))&amp;" "&amp;INDEX(Produtos!$C$2:$C$11,MATCH(F828,Produtos!$A$2:$A$11,0))</f>
        <v>Carregador de Celular Tipo C</v>
      </c>
      <c r="H828" s="2" t="n">
        <v>2</v>
      </c>
      <c r="I828" s="5" t="n">
        <f aca="false">INDEX(Produtos!$D$2:$D$11,MATCH(F828,Produtos!$A$2:$A$11,0))</f>
        <v>44.9</v>
      </c>
      <c r="J828" s="5" t="n">
        <f aca="false">H828*I828</f>
        <v>89.8</v>
      </c>
      <c r="K828" s="5" t="n">
        <f aca="false">INDEX(Produtos!$E$2:$E$11,MATCH(F828,Produtos!$A$2:$A$11,0))</f>
        <v>18</v>
      </c>
      <c r="L828" s="5" t="n">
        <f aca="false">H828*K828</f>
        <v>36</v>
      </c>
    </row>
    <row r="829" customFormat="false" ht="15" hidden="false" customHeight="false" outlineLevel="0" collapsed="false">
      <c r="A829" s="2" t="s">
        <v>1111</v>
      </c>
      <c r="B829" s="8" t="n">
        <v>46093</v>
      </c>
      <c r="C829" s="2" t="s">
        <v>209</v>
      </c>
      <c r="D829" s="3" t="str">
        <f aca="false">INDEX(Vendedores!$C$2:$C$101,MATCH(C829,Vendedores!$A$2:$A$101,0))</f>
        <v>L09</v>
      </c>
      <c r="E829" s="3" t="str">
        <f aca="false">INDEX(Lojas!$E$2:$E$11,MATCH(D829,Lojas!$A$2:$A$11,0))</f>
        <v>Nordeste</v>
      </c>
      <c r="F829" s="2" t="s">
        <v>255</v>
      </c>
      <c r="G829" s="3" t="str">
        <f aca="false">INDEX(Produtos!$B$2:$B$11,MATCH(F829,Produtos!$A$2:$A$11,0))&amp;" "&amp;INDEX(Produtos!$C$2:$C$11,MATCH(F829,Produtos!$A$2:$A$11,0))</f>
        <v>Notebook Positivo</v>
      </c>
      <c r="H829" s="2" t="n">
        <v>1</v>
      </c>
      <c r="I829" s="5" t="n">
        <f aca="false">INDEX(Produtos!$D$2:$D$11,MATCH(F829,Produtos!$A$2:$A$11,0))</f>
        <v>2199</v>
      </c>
      <c r="J829" s="5" t="n">
        <f aca="false">H829*I829</f>
        <v>2199</v>
      </c>
      <c r="K829" s="5" t="n">
        <f aca="false">INDEX(Produtos!$E$2:$E$11,MATCH(F829,Produtos!$A$2:$A$11,0))</f>
        <v>1550</v>
      </c>
      <c r="L829" s="5" t="n">
        <f aca="false">H829*K829</f>
        <v>1550</v>
      </c>
    </row>
    <row r="830" customFormat="false" ht="15" hidden="false" customHeight="false" outlineLevel="0" collapsed="false">
      <c r="A830" s="2" t="s">
        <v>1112</v>
      </c>
      <c r="B830" s="8" t="n">
        <v>46094</v>
      </c>
      <c r="C830" s="2" t="s">
        <v>60</v>
      </c>
      <c r="D830" s="3" t="str">
        <f aca="false">INDEX(Vendedores!$C$2:$C$101,MATCH(C830,Vendedores!$A$2:$A$101,0))</f>
        <v>L01</v>
      </c>
      <c r="E830" s="3" t="str">
        <f aca="false">INDEX(Lojas!$E$2:$E$11,MATCH(D830,Lojas!$A$2:$A$11,0))</f>
        <v>Sudeste</v>
      </c>
      <c r="F830" s="2" t="s">
        <v>252</v>
      </c>
      <c r="G830" s="3" t="str">
        <f aca="false">INDEX(Produtos!$B$2:$B$11,MATCH(F830,Produtos!$A$2:$A$11,0))&amp;" "&amp;INDEX(Produtos!$C$2:$C$11,MATCH(F830,Produtos!$A$2:$A$11,0))</f>
        <v>Notebook Lenovo</v>
      </c>
      <c r="H830" s="2" t="n">
        <v>2</v>
      </c>
      <c r="I830" s="5" t="n">
        <f aca="false">INDEX(Produtos!$D$2:$D$11,MATCH(F830,Produtos!$A$2:$A$11,0))</f>
        <v>3199</v>
      </c>
      <c r="J830" s="5" t="n">
        <f aca="false">H830*I830</f>
        <v>6398</v>
      </c>
      <c r="K830" s="5" t="n">
        <f aca="false">INDEX(Produtos!$E$2:$E$11,MATCH(F830,Produtos!$A$2:$A$11,0))</f>
        <v>2350</v>
      </c>
      <c r="L830" s="5" t="n">
        <f aca="false">H830*K830</f>
        <v>4700</v>
      </c>
    </row>
    <row r="831" customFormat="false" ht="15" hidden="false" customHeight="false" outlineLevel="0" collapsed="false">
      <c r="A831" s="2" t="s">
        <v>1113</v>
      </c>
      <c r="B831" s="8" t="n">
        <v>46094</v>
      </c>
      <c r="C831" s="2" t="s">
        <v>120</v>
      </c>
      <c r="D831" s="3" t="str">
        <f aca="false">INDEX(Vendedores!$C$2:$C$101,MATCH(C831,Vendedores!$A$2:$A$101,0))</f>
        <v>L04</v>
      </c>
      <c r="E831" s="3" t="str">
        <f aca="false">INDEX(Lojas!$E$2:$E$11,MATCH(D831,Lojas!$A$2:$A$11,0))</f>
        <v>Sudeste</v>
      </c>
      <c r="F831" s="2" t="s">
        <v>267</v>
      </c>
      <c r="G831" s="3" t="str">
        <f aca="false">INDEX(Produtos!$B$2:$B$11,MATCH(F831,Produtos!$A$2:$A$11,0))&amp;" "&amp;INDEX(Produtos!$C$2:$C$11,MATCH(F831,Produtos!$A$2:$A$11,0))</f>
        <v>Carregador de Celular Tipo C</v>
      </c>
      <c r="H831" s="2" t="n">
        <v>1</v>
      </c>
      <c r="I831" s="5" t="n">
        <f aca="false">INDEX(Produtos!$D$2:$D$11,MATCH(F831,Produtos!$A$2:$A$11,0))</f>
        <v>44.9</v>
      </c>
      <c r="J831" s="5" t="n">
        <f aca="false">H831*I831</f>
        <v>44.9</v>
      </c>
      <c r="K831" s="5" t="n">
        <f aca="false">INDEX(Produtos!$E$2:$E$11,MATCH(F831,Produtos!$A$2:$A$11,0))</f>
        <v>18</v>
      </c>
      <c r="L831" s="5" t="n">
        <f aca="false">H831*K831</f>
        <v>18</v>
      </c>
    </row>
    <row r="832" customFormat="false" ht="15" hidden="false" customHeight="false" outlineLevel="0" collapsed="false">
      <c r="A832" s="2" t="s">
        <v>1114</v>
      </c>
      <c r="B832" s="8" t="n">
        <v>46094</v>
      </c>
      <c r="C832" s="2" t="s">
        <v>243</v>
      </c>
      <c r="D832" s="3" t="str">
        <f aca="false">INDEX(Vendedores!$C$2:$C$101,MATCH(C832,Vendedores!$A$2:$A$101,0))</f>
        <v>L10</v>
      </c>
      <c r="E832" s="3" t="str">
        <f aca="false">INDEX(Lojas!$E$2:$E$11,MATCH(D832,Lojas!$A$2:$A$11,0))</f>
        <v>Nordeste</v>
      </c>
      <c r="F832" s="2" t="s">
        <v>255</v>
      </c>
      <c r="G832" s="3" t="str">
        <f aca="false">INDEX(Produtos!$B$2:$B$11,MATCH(F832,Produtos!$A$2:$A$11,0))&amp;" "&amp;INDEX(Produtos!$C$2:$C$11,MATCH(F832,Produtos!$A$2:$A$11,0))</f>
        <v>Notebook Positivo</v>
      </c>
      <c r="H832" s="2" t="n">
        <v>1</v>
      </c>
      <c r="I832" s="5" t="n">
        <f aca="false">INDEX(Produtos!$D$2:$D$11,MATCH(F832,Produtos!$A$2:$A$11,0))</f>
        <v>2199</v>
      </c>
      <c r="J832" s="5" t="n">
        <f aca="false">H832*I832</f>
        <v>2199</v>
      </c>
      <c r="K832" s="5" t="n">
        <f aca="false">INDEX(Produtos!$E$2:$E$11,MATCH(F832,Produtos!$A$2:$A$11,0))</f>
        <v>1550</v>
      </c>
      <c r="L832" s="5" t="n">
        <f aca="false">H832*K832</f>
        <v>1550</v>
      </c>
    </row>
    <row r="833" customFormat="false" ht="15" hidden="false" customHeight="false" outlineLevel="0" collapsed="false">
      <c r="A833" s="2" t="s">
        <v>1115</v>
      </c>
      <c r="B833" s="8" t="n">
        <v>46094</v>
      </c>
      <c r="C833" s="2" t="s">
        <v>68</v>
      </c>
      <c r="D833" s="3" t="str">
        <f aca="false">INDEX(Vendedores!$C$2:$C$101,MATCH(C833,Vendedores!$A$2:$A$101,0))</f>
        <v>L01</v>
      </c>
      <c r="E833" s="3" t="str">
        <f aca="false">INDEX(Lojas!$E$2:$E$11,MATCH(D833,Lojas!$A$2:$A$11,0))</f>
        <v>Sudeste</v>
      </c>
      <c r="F833" s="2" t="s">
        <v>262</v>
      </c>
      <c r="G833" s="3" t="str">
        <f aca="false">INDEX(Produtos!$B$2:$B$11,MATCH(F833,Produtos!$A$2:$A$11,0))&amp;" "&amp;INDEX(Produtos!$C$2:$C$11,MATCH(F833,Produtos!$A$2:$A$11,0))</f>
        <v>Fone de Ouvido De Celular</v>
      </c>
      <c r="H833" s="2" t="n">
        <v>1</v>
      </c>
      <c r="I833" s="5" t="n">
        <f aca="false">INDEX(Produtos!$D$2:$D$11,MATCH(F833,Produtos!$A$2:$A$11,0))</f>
        <v>59.9</v>
      </c>
      <c r="J833" s="5" t="n">
        <f aca="false">H833*I833</f>
        <v>59.9</v>
      </c>
      <c r="K833" s="5" t="n">
        <f aca="false">INDEX(Produtos!$E$2:$E$11,MATCH(F833,Produtos!$A$2:$A$11,0))</f>
        <v>28</v>
      </c>
      <c r="L833" s="5" t="n">
        <f aca="false">H833*K833</f>
        <v>28</v>
      </c>
    </row>
    <row r="834" customFormat="false" ht="15" hidden="false" customHeight="false" outlineLevel="0" collapsed="false">
      <c r="A834" s="2" t="s">
        <v>1116</v>
      </c>
      <c r="B834" s="8" t="n">
        <v>46094</v>
      </c>
      <c r="C834" s="2" t="s">
        <v>231</v>
      </c>
      <c r="D834" s="3" t="str">
        <f aca="false">INDEX(Vendedores!$C$2:$C$101,MATCH(C834,Vendedores!$A$2:$A$101,0))</f>
        <v>L10</v>
      </c>
      <c r="E834" s="3" t="str">
        <f aca="false">INDEX(Lojas!$E$2:$E$11,MATCH(D834,Lojas!$A$2:$A$11,0))</f>
        <v>Nordeste</v>
      </c>
      <c r="F834" s="2" t="s">
        <v>275</v>
      </c>
      <c r="G834" s="3" t="str">
        <f aca="false">INDEX(Produtos!$B$2:$B$11,MATCH(F834,Produtos!$A$2:$A$11,0))&amp;" "&amp;INDEX(Produtos!$C$2:$C$11,MATCH(F834,Produtos!$A$2:$A$11,0))</f>
        <v>Controle de Videogame PS5</v>
      </c>
      <c r="H834" s="2" t="n">
        <v>1</v>
      </c>
      <c r="I834" s="5" t="n">
        <f aca="false">INDEX(Produtos!$D$2:$D$11,MATCH(F834,Produtos!$A$2:$A$11,0))</f>
        <v>379.9</v>
      </c>
      <c r="J834" s="5" t="n">
        <f aca="false">H834*I834</f>
        <v>379.9</v>
      </c>
      <c r="K834" s="5" t="n">
        <f aca="false">INDEX(Produtos!$E$2:$E$11,MATCH(F834,Produtos!$A$2:$A$11,0))</f>
        <v>235</v>
      </c>
      <c r="L834" s="5" t="n">
        <f aca="false">H834*K834</f>
        <v>235</v>
      </c>
    </row>
    <row r="835" customFormat="false" ht="15" hidden="false" customHeight="false" outlineLevel="0" collapsed="false">
      <c r="A835" s="2" t="s">
        <v>1117</v>
      </c>
      <c r="B835" s="8" t="n">
        <v>46094</v>
      </c>
      <c r="C835" s="2" t="s">
        <v>116</v>
      </c>
      <c r="D835" s="3" t="str">
        <f aca="false">INDEX(Vendedores!$C$2:$C$101,MATCH(C835,Vendedores!$A$2:$A$101,0))</f>
        <v>L04</v>
      </c>
      <c r="E835" s="3" t="str">
        <f aca="false">INDEX(Lojas!$E$2:$E$11,MATCH(D835,Lojas!$A$2:$A$11,0))</f>
        <v>Sudeste</v>
      </c>
      <c r="F835" s="2" t="s">
        <v>270</v>
      </c>
      <c r="G835" s="3" t="str">
        <f aca="false">INDEX(Produtos!$B$2:$B$11,MATCH(F835,Produtos!$A$2:$A$11,0))&amp;" "&amp;INDEX(Produtos!$C$2:$C$11,MATCH(F835,Produtos!$A$2:$A$11,0))</f>
        <v>Controle de Videogame Xbox</v>
      </c>
      <c r="H835" s="2" t="n">
        <v>1</v>
      </c>
      <c r="I835" s="5" t="n">
        <f aca="false">INDEX(Produtos!$D$2:$D$11,MATCH(F835,Produtos!$A$2:$A$11,0))</f>
        <v>349.9</v>
      </c>
      <c r="J835" s="5" t="n">
        <f aca="false">H835*I835</f>
        <v>349.9</v>
      </c>
      <c r="K835" s="5" t="n">
        <f aca="false">INDEX(Produtos!$E$2:$E$11,MATCH(F835,Produtos!$A$2:$A$11,0))</f>
        <v>215</v>
      </c>
      <c r="L835" s="5" t="n">
        <f aca="false">H835*K835</f>
        <v>215</v>
      </c>
    </row>
    <row r="836" customFormat="false" ht="15" hidden="false" customHeight="false" outlineLevel="0" collapsed="false">
      <c r="A836" s="2" t="s">
        <v>1118</v>
      </c>
      <c r="B836" s="8" t="n">
        <v>46094</v>
      </c>
      <c r="C836" s="2" t="s">
        <v>182</v>
      </c>
      <c r="D836" s="3" t="str">
        <f aca="false">INDEX(Vendedores!$C$2:$C$101,MATCH(C836,Vendedores!$A$2:$A$101,0))</f>
        <v>L07</v>
      </c>
      <c r="E836" s="3" t="str">
        <f aca="false">INDEX(Lojas!$E$2:$E$11,MATCH(D836,Lojas!$A$2:$A$11,0))</f>
        <v>Sul</v>
      </c>
      <c r="F836" s="2" t="s">
        <v>262</v>
      </c>
      <c r="G836" s="3" t="str">
        <f aca="false">INDEX(Produtos!$B$2:$B$11,MATCH(F836,Produtos!$A$2:$A$11,0))&amp;" "&amp;INDEX(Produtos!$C$2:$C$11,MATCH(F836,Produtos!$A$2:$A$11,0))</f>
        <v>Fone de Ouvido De Celular</v>
      </c>
      <c r="H836" s="2" t="n">
        <v>1</v>
      </c>
      <c r="I836" s="5" t="n">
        <f aca="false">INDEX(Produtos!$D$2:$D$11,MATCH(F836,Produtos!$A$2:$A$11,0))</f>
        <v>59.9</v>
      </c>
      <c r="J836" s="5" t="n">
        <f aca="false">H836*I836</f>
        <v>59.9</v>
      </c>
      <c r="K836" s="5" t="n">
        <f aca="false">INDEX(Produtos!$E$2:$E$11,MATCH(F836,Produtos!$A$2:$A$11,0))</f>
        <v>28</v>
      </c>
      <c r="L836" s="5" t="n">
        <f aca="false">H836*K836</f>
        <v>28</v>
      </c>
    </row>
    <row r="837" customFormat="false" ht="15" hidden="false" customHeight="false" outlineLevel="0" collapsed="false">
      <c r="A837" s="2" t="s">
        <v>1119</v>
      </c>
      <c r="B837" s="8" t="n">
        <v>46094</v>
      </c>
      <c r="C837" s="2" t="s">
        <v>176</v>
      </c>
      <c r="D837" s="3" t="str">
        <f aca="false">INDEX(Vendedores!$C$2:$C$101,MATCH(C837,Vendedores!$A$2:$A$101,0))</f>
        <v>L07</v>
      </c>
      <c r="E837" s="3" t="str">
        <f aca="false">INDEX(Lojas!$E$2:$E$11,MATCH(D837,Lojas!$A$2:$A$11,0))</f>
        <v>Sul</v>
      </c>
      <c r="F837" s="2" t="s">
        <v>273</v>
      </c>
      <c r="G837" s="3" t="str">
        <f aca="false">INDEX(Produtos!$B$2:$B$11,MATCH(F837,Produtos!$A$2:$A$11,0))&amp;" "&amp;INDEX(Produtos!$C$2:$C$11,MATCH(F837,Produtos!$A$2:$A$11,0))</f>
        <v>Controle de Videogame PS4</v>
      </c>
      <c r="H837" s="2" t="n">
        <v>1</v>
      </c>
      <c r="I837" s="5" t="n">
        <f aca="false">INDEX(Produtos!$D$2:$D$11,MATCH(F837,Produtos!$A$2:$A$11,0))</f>
        <v>299.9</v>
      </c>
      <c r="J837" s="5" t="n">
        <f aca="false">H837*I837</f>
        <v>299.9</v>
      </c>
      <c r="K837" s="5" t="n">
        <f aca="false">INDEX(Produtos!$E$2:$E$11,MATCH(F837,Produtos!$A$2:$A$11,0))</f>
        <v>175</v>
      </c>
      <c r="L837" s="5" t="n">
        <f aca="false">H837*K837</f>
        <v>175</v>
      </c>
    </row>
    <row r="838" customFormat="false" ht="15" hidden="false" customHeight="false" outlineLevel="0" collapsed="false">
      <c r="A838" s="2" t="s">
        <v>1120</v>
      </c>
      <c r="B838" s="8" t="n">
        <v>46094</v>
      </c>
      <c r="C838" s="2" t="s">
        <v>82</v>
      </c>
      <c r="D838" s="3" t="str">
        <f aca="false">INDEX(Vendedores!$C$2:$C$101,MATCH(C838,Vendedores!$A$2:$A$101,0))</f>
        <v>L02</v>
      </c>
      <c r="E838" s="3" t="str">
        <f aca="false">INDEX(Lojas!$E$2:$E$11,MATCH(D838,Lojas!$A$2:$A$11,0))</f>
        <v>Sudeste</v>
      </c>
      <c r="F838" s="2" t="s">
        <v>273</v>
      </c>
      <c r="G838" s="3" t="str">
        <f aca="false">INDEX(Produtos!$B$2:$B$11,MATCH(F838,Produtos!$A$2:$A$11,0))&amp;" "&amp;INDEX(Produtos!$C$2:$C$11,MATCH(F838,Produtos!$A$2:$A$11,0))</f>
        <v>Controle de Videogame PS4</v>
      </c>
      <c r="H838" s="2" t="n">
        <v>1</v>
      </c>
      <c r="I838" s="5" t="n">
        <f aca="false">INDEX(Produtos!$D$2:$D$11,MATCH(F838,Produtos!$A$2:$A$11,0))</f>
        <v>299.9</v>
      </c>
      <c r="J838" s="5" t="n">
        <f aca="false">H838*I838</f>
        <v>299.9</v>
      </c>
      <c r="K838" s="5" t="n">
        <f aca="false">INDEX(Produtos!$E$2:$E$11,MATCH(F838,Produtos!$A$2:$A$11,0))</f>
        <v>175</v>
      </c>
      <c r="L838" s="5" t="n">
        <f aca="false">H838*K838</f>
        <v>175</v>
      </c>
    </row>
    <row r="839" customFormat="false" ht="15" hidden="false" customHeight="false" outlineLevel="0" collapsed="false">
      <c r="A839" s="2" t="s">
        <v>1121</v>
      </c>
      <c r="B839" s="8" t="n">
        <v>46094</v>
      </c>
      <c r="C839" s="2" t="s">
        <v>133</v>
      </c>
      <c r="D839" s="3" t="str">
        <f aca="false">INDEX(Vendedores!$C$2:$C$101,MATCH(C839,Vendedores!$A$2:$A$101,0))</f>
        <v>L05</v>
      </c>
      <c r="E839" s="3" t="str">
        <f aca="false">INDEX(Lojas!$E$2:$E$11,MATCH(D839,Lojas!$A$2:$A$11,0))</f>
        <v>Sul</v>
      </c>
      <c r="F839" s="2" t="s">
        <v>262</v>
      </c>
      <c r="G839" s="3" t="str">
        <f aca="false">INDEX(Produtos!$B$2:$B$11,MATCH(F839,Produtos!$A$2:$A$11,0))&amp;" "&amp;INDEX(Produtos!$C$2:$C$11,MATCH(F839,Produtos!$A$2:$A$11,0))</f>
        <v>Fone de Ouvido De Celular</v>
      </c>
      <c r="H839" s="2" t="n">
        <v>1</v>
      </c>
      <c r="I839" s="5" t="n">
        <f aca="false">INDEX(Produtos!$D$2:$D$11,MATCH(F839,Produtos!$A$2:$A$11,0))</f>
        <v>59.9</v>
      </c>
      <c r="J839" s="5" t="n">
        <f aca="false">H839*I839</f>
        <v>59.9</v>
      </c>
      <c r="K839" s="5" t="n">
        <f aca="false">INDEX(Produtos!$E$2:$E$11,MATCH(F839,Produtos!$A$2:$A$11,0))</f>
        <v>28</v>
      </c>
      <c r="L839" s="5" t="n">
        <f aca="false">H839*K839</f>
        <v>28</v>
      </c>
    </row>
    <row r="840" customFormat="false" ht="15" hidden="false" customHeight="false" outlineLevel="0" collapsed="false">
      <c r="A840" s="2" t="s">
        <v>1122</v>
      </c>
      <c r="B840" s="8" t="n">
        <v>46094</v>
      </c>
      <c r="C840" s="2" t="s">
        <v>120</v>
      </c>
      <c r="D840" s="3" t="str">
        <f aca="false">INDEX(Vendedores!$C$2:$C$101,MATCH(C840,Vendedores!$A$2:$A$101,0))</f>
        <v>L04</v>
      </c>
      <c r="E840" s="3" t="str">
        <f aca="false">INDEX(Lojas!$E$2:$E$11,MATCH(D840,Lojas!$A$2:$A$11,0))</f>
        <v>Sudeste</v>
      </c>
      <c r="F840" s="2" t="s">
        <v>257</v>
      </c>
      <c r="G840" s="3" t="str">
        <f aca="false">INDEX(Produtos!$B$2:$B$11,MATCH(F840,Produtos!$A$2:$A$11,0))&amp;" "&amp;INDEX(Produtos!$C$2:$C$11,MATCH(F840,Produtos!$A$2:$A$11,0))</f>
        <v>Celular Samsung</v>
      </c>
      <c r="H840" s="2" t="n">
        <v>2</v>
      </c>
      <c r="I840" s="5" t="n">
        <f aca="false">INDEX(Produtos!$D$2:$D$11,MATCH(F840,Produtos!$A$2:$A$11,0))</f>
        <v>2499</v>
      </c>
      <c r="J840" s="5" t="n">
        <f aca="false">H840*I840</f>
        <v>4998</v>
      </c>
      <c r="K840" s="5" t="n">
        <f aca="false">INDEX(Produtos!$E$2:$E$11,MATCH(F840,Produtos!$A$2:$A$11,0))</f>
        <v>1800</v>
      </c>
      <c r="L840" s="5" t="n">
        <f aca="false">H840*K840</f>
        <v>3600</v>
      </c>
    </row>
    <row r="841" customFormat="false" ht="15" hidden="false" customHeight="false" outlineLevel="0" collapsed="false">
      <c r="A841" s="2" t="s">
        <v>1123</v>
      </c>
      <c r="B841" s="8" t="n">
        <v>46094</v>
      </c>
      <c r="C841" s="2" t="s">
        <v>201</v>
      </c>
      <c r="D841" s="3" t="str">
        <f aca="false">INDEX(Vendedores!$C$2:$C$101,MATCH(C841,Vendedores!$A$2:$A$101,0))</f>
        <v>L08</v>
      </c>
      <c r="E841" s="3" t="str">
        <f aca="false">INDEX(Lojas!$E$2:$E$11,MATCH(D841,Lojas!$A$2:$A$11,0))</f>
        <v>Nordeste</v>
      </c>
      <c r="F841" s="2" t="s">
        <v>262</v>
      </c>
      <c r="G841" s="3" t="str">
        <f aca="false">INDEX(Produtos!$B$2:$B$11,MATCH(F841,Produtos!$A$2:$A$11,0))&amp;" "&amp;INDEX(Produtos!$C$2:$C$11,MATCH(F841,Produtos!$A$2:$A$11,0))</f>
        <v>Fone de Ouvido De Celular</v>
      </c>
      <c r="H841" s="2" t="n">
        <v>1</v>
      </c>
      <c r="I841" s="5" t="n">
        <f aca="false">INDEX(Produtos!$D$2:$D$11,MATCH(F841,Produtos!$A$2:$A$11,0))</f>
        <v>59.9</v>
      </c>
      <c r="J841" s="5" t="n">
        <f aca="false">H841*I841</f>
        <v>59.9</v>
      </c>
      <c r="K841" s="5" t="n">
        <f aca="false">INDEX(Produtos!$E$2:$E$11,MATCH(F841,Produtos!$A$2:$A$11,0))</f>
        <v>28</v>
      </c>
      <c r="L841" s="5" t="n">
        <f aca="false">H841*K841</f>
        <v>28</v>
      </c>
    </row>
    <row r="842" customFormat="false" ht="15" hidden="false" customHeight="false" outlineLevel="0" collapsed="false">
      <c r="A842" s="2" t="s">
        <v>1124</v>
      </c>
      <c r="B842" s="8" t="n">
        <v>46094</v>
      </c>
      <c r="C842" s="2" t="s">
        <v>187</v>
      </c>
      <c r="D842" s="3" t="str">
        <f aca="false">INDEX(Vendedores!$C$2:$C$101,MATCH(C842,Vendedores!$A$2:$A$101,0))</f>
        <v>L08</v>
      </c>
      <c r="E842" s="3" t="str">
        <f aca="false">INDEX(Lojas!$E$2:$E$11,MATCH(D842,Lojas!$A$2:$A$11,0))</f>
        <v>Nordeste</v>
      </c>
      <c r="F842" s="2" t="s">
        <v>275</v>
      </c>
      <c r="G842" s="3" t="str">
        <f aca="false">INDEX(Produtos!$B$2:$B$11,MATCH(F842,Produtos!$A$2:$A$11,0))&amp;" "&amp;INDEX(Produtos!$C$2:$C$11,MATCH(F842,Produtos!$A$2:$A$11,0))</f>
        <v>Controle de Videogame PS5</v>
      </c>
      <c r="H842" s="2" t="n">
        <v>1</v>
      </c>
      <c r="I842" s="5" t="n">
        <f aca="false">INDEX(Produtos!$D$2:$D$11,MATCH(F842,Produtos!$A$2:$A$11,0))</f>
        <v>379.9</v>
      </c>
      <c r="J842" s="5" t="n">
        <f aca="false">H842*I842</f>
        <v>379.9</v>
      </c>
      <c r="K842" s="5" t="n">
        <f aca="false">INDEX(Produtos!$E$2:$E$11,MATCH(F842,Produtos!$A$2:$A$11,0))</f>
        <v>235</v>
      </c>
      <c r="L842" s="5" t="n">
        <f aca="false">H842*K842</f>
        <v>235</v>
      </c>
    </row>
    <row r="843" customFormat="false" ht="15" hidden="false" customHeight="false" outlineLevel="0" collapsed="false">
      <c r="A843" s="2" t="s">
        <v>1125</v>
      </c>
      <c r="B843" s="8" t="n">
        <v>46094</v>
      </c>
      <c r="C843" s="2" t="s">
        <v>98</v>
      </c>
      <c r="D843" s="3" t="str">
        <f aca="false">INDEX(Vendedores!$C$2:$C$101,MATCH(C843,Vendedores!$A$2:$A$101,0))</f>
        <v>L03</v>
      </c>
      <c r="E843" s="3" t="str">
        <f aca="false">INDEX(Lojas!$E$2:$E$11,MATCH(D843,Lojas!$A$2:$A$11,0))</f>
        <v>Sudeste</v>
      </c>
      <c r="F843" s="2" t="s">
        <v>252</v>
      </c>
      <c r="G843" s="3" t="str">
        <f aca="false">INDEX(Produtos!$B$2:$B$11,MATCH(F843,Produtos!$A$2:$A$11,0))&amp;" "&amp;INDEX(Produtos!$C$2:$C$11,MATCH(F843,Produtos!$A$2:$A$11,0))</f>
        <v>Notebook Lenovo</v>
      </c>
      <c r="H843" s="2" t="n">
        <v>2</v>
      </c>
      <c r="I843" s="5" t="n">
        <f aca="false">INDEX(Produtos!$D$2:$D$11,MATCH(F843,Produtos!$A$2:$A$11,0))</f>
        <v>3199</v>
      </c>
      <c r="J843" s="5" t="n">
        <f aca="false">H843*I843</f>
        <v>6398</v>
      </c>
      <c r="K843" s="5" t="n">
        <f aca="false">INDEX(Produtos!$E$2:$E$11,MATCH(F843,Produtos!$A$2:$A$11,0))</f>
        <v>2350</v>
      </c>
      <c r="L843" s="5" t="n">
        <f aca="false">H843*K843</f>
        <v>4700</v>
      </c>
    </row>
    <row r="844" customFormat="false" ht="15" hidden="false" customHeight="false" outlineLevel="0" collapsed="false">
      <c r="A844" s="2" t="s">
        <v>1126</v>
      </c>
      <c r="B844" s="8" t="n">
        <v>46095</v>
      </c>
      <c r="C844" s="2" t="s">
        <v>241</v>
      </c>
      <c r="D844" s="3" t="str">
        <f aca="false">INDEX(Vendedores!$C$2:$C$101,MATCH(C844,Vendedores!$A$2:$A$101,0))</f>
        <v>L10</v>
      </c>
      <c r="E844" s="3" t="str">
        <f aca="false">INDEX(Lojas!$E$2:$E$11,MATCH(D844,Lojas!$A$2:$A$11,0))</f>
        <v>Nordeste</v>
      </c>
      <c r="F844" s="2" t="s">
        <v>275</v>
      </c>
      <c r="G844" s="3" t="str">
        <f aca="false">INDEX(Produtos!$B$2:$B$11,MATCH(F844,Produtos!$A$2:$A$11,0))&amp;" "&amp;INDEX(Produtos!$C$2:$C$11,MATCH(F844,Produtos!$A$2:$A$11,0))</f>
        <v>Controle de Videogame PS5</v>
      </c>
      <c r="H844" s="2" t="n">
        <v>1</v>
      </c>
      <c r="I844" s="5" t="n">
        <f aca="false">INDEX(Produtos!$D$2:$D$11,MATCH(F844,Produtos!$A$2:$A$11,0))</f>
        <v>379.9</v>
      </c>
      <c r="J844" s="5" t="n">
        <f aca="false">H844*I844</f>
        <v>379.9</v>
      </c>
      <c r="K844" s="5" t="n">
        <f aca="false">INDEX(Produtos!$E$2:$E$11,MATCH(F844,Produtos!$A$2:$A$11,0))</f>
        <v>235</v>
      </c>
      <c r="L844" s="5" t="n">
        <f aca="false">H844*K844</f>
        <v>235</v>
      </c>
    </row>
    <row r="845" customFormat="false" ht="15" hidden="false" customHeight="false" outlineLevel="0" collapsed="false">
      <c r="A845" s="2" t="s">
        <v>1127</v>
      </c>
      <c r="B845" s="8" t="n">
        <v>46095</v>
      </c>
      <c r="C845" s="2" t="s">
        <v>223</v>
      </c>
      <c r="D845" s="3" t="str">
        <f aca="false">INDEX(Vendedores!$C$2:$C$101,MATCH(C845,Vendedores!$A$2:$A$101,0))</f>
        <v>L09</v>
      </c>
      <c r="E845" s="3" t="str">
        <f aca="false">INDEX(Lojas!$E$2:$E$11,MATCH(D845,Lojas!$A$2:$A$11,0))</f>
        <v>Nordeste</v>
      </c>
      <c r="F845" s="2" t="s">
        <v>255</v>
      </c>
      <c r="G845" s="3" t="str">
        <f aca="false">INDEX(Produtos!$B$2:$B$11,MATCH(F845,Produtos!$A$2:$A$11,0))&amp;" "&amp;INDEX(Produtos!$C$2:$C$11,MATCH(F845,Produtos!$A$2:$A$11,0))</f>
        <v>Notebook Positivo</v>
      </c>
      <c r="H845" s="2" t="n">
        <v>2</v>
      </c>
      <c r="I845" s="5" t="n">
        <f aca="false">INDEX(Produtos!$D$2:$D$11,MATCH(F845,Produtos!$A$2:$A$11,0))</f>
        <v>2199</v>
      </c>
      <c r="J845" s="5" t="n">
        <f aca="false">H845*I845</f>
        <v>4398</v>
      </c>
      <c r="K845" s="5" t="n">
        <f aca="false">INDEX(Produtos!$E$2:$E$11,MATCH(F845,Produtos!$A$2:$A$11,0))</f>
        <v>1550</v>
      </c>
      <c r="L845" s="5" t="n">
        <f aca="false">H845*K845</f>
        <v>3100</v>
      </c>
    </row>
    <row r="846" customFormat="false" ht="15" hidden="false" customHeight="false" outlineLevel="0" collapsed="false">
      <c r="A846" s="2" t="s">
        <v>1128</v>
      </c>
      <c r="B846" s="8" t="n">
        <v>46095</v>
      </c>
      <c r="C846" s="2" t="s">
        <v>195</v>
      </c>
      <c r="D846" s="3" t="str">
        <f aca="false">INDEX(Vendedores!$C$2:$C$101,MATCH(C846,Vendedores!$A$2:$A$101,0))</f>
        <v>L08</v>
      </c>
      <c r="E846" s="3" t="str">
        <f aca="false">INDEX(Lojas!$E$2:$E$11,MATCH(D846,Lojas!$A$2:$A$11,0))</f>
        <v>Nordeste</v>
      </c>
      <c r="F846" s="2" t="s">
        <v>267</v>
      </c>
      <c r="G846" s="3" t="str">
        <f aca="false">INDEX(Produtos!$B$2:$B$11,MATCH(F846,Produtos!$A$2:$A$11,0))&amp;" "&amp;INDEX(Produtos!$C$2:$C$11,MATCH(F846,Produtos!$A$2:$A$11,0))</f>
        <v>Carregador de Celular Tipo C</v>
      </c>
      <c r="H846" s="2" t="n">
        <v>2</v>
      </c>
      <c r="I846" s="5" t="n">
        <f aca="false">INDEX(Produtos!$D$2:$D$11,MATCH(F846,Produtos!$A$2:$A$11,0))</f>
        <v>44.9</v>
      </c>
      <c r="J846" s="5" t="n">
        <f aca="false">H846*I846</f>
        <v>89.8</v>
      </c>
      <c r="K846" s="5" t="n">
        <f aca="false">INDEX(Produtos!$E$2:$E$11,MATCH(F846,Produtos!$A$2:$A$11,0))</f>
        <v>18</v>
      </c>
      <c r="L846" s="5" t="n">
        <f aca="false">H846*K846</f>
        <v>36</v>
      </c>
    </row>
    <row r="847" customFormat="false" ht="15" hidden="false" customHeight="false" outlineLevel="0" collapsed="false">
      <c r="A847" s="2" t="s">
        <v>1129</v>
      </c>
      <c r="B847" s="8" t="n">
        <v>46095</v>
      </c>
      <c r="C847" s="2" t="s">
        <v>116</v>
      </c>
      <c r="D847" s="3" t="str">
        <f aca="false">INDEX(Vendedores!$C$2:$C$101,MATCH(C847,Vendedores!$A$2:$A$101,0))</f>
        <v>L04</v>
      </c>
      <c r="E847" s="3" t="str">
        <f aca="false">INDEX(Lojas!$E$2:$E$11,MATCH(D847,Lojas!$A$2:$A$11,0))</f>
        <v>Sudeste</v>
      </c>
      <c r="F847" s="2" t="s">
        <v>257</v>
      </c>
      <c r="G847" s="3" t="str">
        <f aca="false">INDEX(Produtos!$B$2:$B$11,MATCH(F847,Produtos!$A$2:$A$11,0))&amp;" "&amp;INDEX(Produtos!$C$2:$C$11,MATCH(F847,Produtos!$A$2:$A$11,0))</f>
        <v>Celular Samsung</v>
      </c>
      <c r="H847" s="2" t="n">
        <v>2</v>
      </c>
      <c r="I847" s="5" t="n">
        <f aca="false">INDEX(Produtos!$D$2:$D$11,MATCH(F847,Produtos!$A$2:$A$11,0))</f>
        <v>2499</v>
      </c>
      <c r="J847" s="5" t="n">
        <f aca="false">H847*I847</f>
        <v>4998</v>
      </c>
      <c r="K847" s="5" t="n">
        <f aca="false">INDEX(Produtos!$E$2:$E$11,MATCH(F847,Produtos!$A$2:$A$11,0))</f>
        <v>1800</v>
      </c>
      <c r="L847" s="5" t="n">
        <f aca="false">H847*K847</f>
        <v>3600</v>
      </c>
    </row>
    <row r="848" customFormat="false" ht="15" hidden="false" customHeight="false" outlineLevel="0" collapsed="false">
      <c r="A848" s="2" t="s">
        <v>1130</v>
      </c>
      <c r="B848" s="8" t="n">
        <v>46095</v>
      </c>
      <c r="C848" s="2" t="s">
        <v>74</v>
      </c>
      <c r="D848" s="3" t="str">
        <f aca="false">INDEX(Vendedores!$C$2:$C$101,MATCH(C848,Vendedores!$A$2:$A$101,0))</f>
        <v>L02</v>
      </c>
      <c r="E848" s="3" t="str">
        <f aca="false">INDEX(Lojas!$E$2:$E$11,MATCH(D848,Lojas!$A$2:$A$11,0))</f>
        <v>Sudeste</v>
      </c>
      <c r="F848" s="2" t="s">
        <v>273</v>
      </c>
      <c r="G848" s="3" t="str">
        <f aca="false">INDEX(Produtos!$B$2:$B$11,MATCH(F848,Produtos!$A$2:$A$11,0))&amp;" "&amp;INDEX(Produtos!$C$2:$C$11,MATCH(F848,Produtos!$A$2:$A$11,0))</f>
        <v>Controle de Videogame PS4</v>
      </c>
      <c r="H848" s="2" t="n">
        <v>1</v>
      </c>
      <c r="I848" s="5" t="n">
        <f aca="false">INDEX(Produtos!$D$2:$D$11,MATCH(F848,Produtos!$A$2:$A$11,0))</f>
        <v>299.9</v>
      </c>
      <c r="J848" s="5" t="n">
        <f aca="false">H848*I848</f>
        <v>299.9</v>
      </c>
      <c r="K848" s="5" t="n">
        <f aca="false">INDEX(Produtos!$E$2:$E$11,MATCH(F848,Produtos!$A$2:$A$11,0))</f>
        <v>175</v>
      </c>
      <c r="L848" s="5" t="n">
        <f aca="false">H848*K848</f>
        <v>175</v>
      </c>
    </row>
    <row r="849" customFormat="false" ht="15" hidden="false" customHeight="false" outlineLevel="0" collapsed="false">
      <c r="A849" s="2" t="s">
        <v>1131</v>
      </c>
      <c r="B849" s="8" t="n">
        <v>46095</v>
      </c>
      <c r="C849" s="2" t="s">
        <v>207</v>
      </c>
      <c r="D849" s="3" t="str">
        <f aca="false">INDEX(Vendedores!$C$2:$C$101,MATCH(C849,Vendedores!$A$2:$A$101,0))</f>
        <v>L09</v>
      </c>
      <c r="E849" s="3" t="str">
        <f aca="false">INDEX(Lojas!$E$2:$E$11,MATCH(D849,Lojas!$A$2:$A$11,0))</f>
        <v>Nordeste</v>
      </c>
      <c r="F849" s="2" t="s">
        <v>252</v>
      </c>
      <c r="G849" s="3" t="str">
        <f aca="false">INDEX(Produtos!$B$2:$B$11,MATCH(F849,Produtos!$A$2:$A$11,0))&amp;" "&amp;INDEX(Produtos!$C$2:$C$11,MATCH(F849,Produtos!$A$2:$A$11,0))</f>
        <v>Notebook Lenovo</v>
      </c>
      <c r="H849" s="2" t="n">
        <v>1</v>
      </c>
      <c r="I849" s="5" t="n">
        <f aca="false">INDEX(Produtos!$D$2:$D$11,MATCH(F849,Produtos!$A$2:$A$11,0))</f>
        <v>3199</v>
      </c>
      <c r="J849" s="5" t="n">
        <f aca="false">H849*I849</f>
        <v>3199</v>
      </c>
      <c r="K849" s="5" t="n">
        <f aca="false">INDEX(Produtos!$E$2:$E$11,MATCH(F849,Produtos!$A$2:$A$11,0))</f>
        <v>2350</v>
      </c>
      <c r="L849" s="5" t="n">
        <f aca="false">H849*K849</f>
        <v>2350</v>
      </c>
    </row>
    <row r="850" customFormat="false" ht="15" hidden="false" customHeight="false" outlineLevel="0" collapsed="false">
      <c r="A850" s="2" t="s">
        <v>1132</v>
      </c>
      <c r="B850" s="8" t="n">
        <v>46095</v>
      </c>
      <c r="C850" s="2" t="s">
        <v>96</v>
      </c>
      <c r="D850" s="3" t="str">
        <f aca="false">INDEX(Vendedores!$C$2:$C$101,MATCH(C850,Vendedores!$A$2:$A$101,0))</f>
        <v>L03</v>
      </c>
      <c r="E850" s="3" t="str">
        <f aca="false">INDEX(Lojas!$E$2:$E$11,MATCH(D850,Lojas!$A$2:$A$11,0))</f>
        <v>Sudeste</v>
      </c>
      <c r="F850" s="2" t="s">
        <v>255</v>
      </c>
      <c r="G850" s="3" t="str">
        <f aca="false">INDEX(Produtos!$B$2:$B$11,MATCH(F850,Produtos!$A$2:$A$11,0))&amp;" "&amp;INDEX(Produtos!$C$2:$C$11,MATCH(F850,Produtos!$A$2:$A$11,0))</f>
        <v>Notebook Positivo</v>
      </c>
      <c r="H850" s="2" t="n">
        <v>1</v>
      </c>
      <c r="I850" s="5" t="n">
        <f aca="false">INDEX(Produtos!$D$2:$D$11,MATCH(F850,Produtos!$A$2:$A$11,0))</f>
        <v>2199</v>
      </c>
      <c r="J850" s="5" t="n">
        <f aca="false">H850*I850</f>
        <v>2199</v>
      </c>
      <c r="K850" s="5" t="n">
        <f aca="false">INDEX(Produtos!$E$2:$E$11,MATCH(F850,Produtos!$A$2:$A$11,0))</f>
        <v>1550</v>
      </c>
      <c r="L850" s="5" t="n">
        <f aca="false">H850*K850</f>
        <v>1550</v>
      </c>
    </row>
    <row r="851" customFormat="false" ht="15" hidden="false" customHeight="false" outlineLevel="0" collapsed="false">
      <c r="A851" s="2" t="s">
        <v>1133</v>
      </c>
      <c r="B851" s="8" t="n">
        <v>46095</v>
      </c>
      <c r="C851" s="2" t="s">
        <v>170</v>
      </c>
      <c r="D851" s="3" t="str">
        <f aca="false">INDEX(Vendedores!$C$2:$C$101,MATCH(C851,Vendedores!$A$2:$A$101,0))</f>
        <v>L07</v>
      </c>
      <c r="E851" s="3" t="str">
        <f aca="false">INDEX(Lojas!$E$2:$E$11,MATCH(D851,Lojas!$A$2:$A$11,0))</f>
        <v>Sul</v>
      </c>
      <c r="F851" s="2" t="s">
        <v>265</v>
      </c>
      <c r="G851" s="3" t="str">
        <f aca="false">INDEX(Produtos!$B$2:$B$11,MATCH(F851,Produtos!$A$2:$A$11,0))&amp;" "&amp;INDEX(Produtos!$C$2:$C$11,MATCH(F851,Produtos!$A$2:$A$11,0))</f>
        <v>Fone de Ouvido Headset</v>
      </c>
      <c r="H851" s="2" t="n">
        <v>3</v>
      </c>
      <c r="I851" s="5" t="n">
        <f aca="false">INDEX(Produtos!$D$2:$D$11,MATCH(F851,Produtos!$A$2:$A$11,0))</f>
        <v>249.9</v>
      </c>
      <c r="J851" s="5" t="n">
        <f aca="false">H851*I851</f>
        <v>749.7</v>
      </c>
      <c r="K851" s="5" t="n">
        <f aca="false">INDEX(Produtos!$E$2:$E$11,MATCH(F851,Produtos!$A$2:$A$11,0))</f>
        <v>145</v>
      </c>
      <c r="L851" s="5" t="n">
        <f aca="false">H851*K851</f>
        <v>435</v>
      </c>
    </row>
    <row r="852" customFormat="false" ht="15" hidden="false" customHeight="false" outlineLevel="0" collapsed="false">
      <c r="A852" s="2" t="s">
        <v>1134</v>
      </c>
      <c r="B852" s="8" t="n">
        <v>46095</v>
      </c>
      <c r="C852" s="2" t="s">
        <v>172</v>
      </c>
      <c r="D852" s="3" t="str">
        <f aca="false">INDEX(Vendedores!$C$2:$C$101,MATCH(C852,Vendedores!$A$2:$A$101,0))</f>
        <v>L07</v>
      </c>
      <c r="E852" s="3" t="str">
        <f aca="false">INDEX(Lojas!$E$2:$E$11,MATCH(D852,Lojas!$A$2:$A$11,0))</f>
        <v>Sul</v>
      </c>
      <c r="F852" s="2" t="s">
        <v>267</v>
      </c>
      <c r="G852" s="3" t="str">
        <f aca="false">INDEX(Produtos!$B$2:$B$11,MATCH(F852,Produtos!$A$2:$A$11,0))&amp;" "&amp;INDEX(Produtos!$C$2:$C$11,MATCH(F852,Produtos!$A$2:$A$11,0))</f>
        <v>Carregador de Celular Tipo C</v>
      </c>
      <c r="H852" s="2" t="n">
        <v>1</v>
      </c>
      <c r="I852" s="5" t="n">
        <f aca="false">INDEX(Produtos!$D$2:$D$11,MATCH(F852,Produtos!$A$2:$A$11,0))</f>
        <v>44.9</v>
      </c>
      <c r="J852" s="5" t="n">
        <f aca="false">H852*I852</f>
        <v>44.9</v>
      </c>
      <c r="K852" s="5" t="n">
        <f aca="false">INDEX(Produtos!$E$2:$E$11,MATCH(F852,Produtos!$A$2:$A$11,0))</f>
        <v>18</v>
      </c>
      <c r="L852" s="5" t="n">
        <f aca="false">H852*K852</f>
        <v>18</v>
      </c>
    </row>
    <row r="853" customFormat="false" ht="15" hidden="false" customHeight="false" outlineLevel="0" collapsed="false">
      <c r="A853" s="2" t="s">
        <v>1135</v>
      </c>
      <c r="B853" s="8" t="n">
        <v>46095</v>
      </c>
      <c r="C853" s="2" t="s">
        <v>131</v>
      </c>
      <c r="D853" s="3" t="str">
        <f aca="false">INDEX(Vendedores!$C$2:$C$101,MATCH(C853,Vendedores!$A$2:$A$101,0))</f>
        <v>L05</v>
      </c>
      <c r="E853" s="3" t="str">
        <f aca="false">INDEX(Lojas!$E$2:$E$11,MATCH(D853,Lojas!$A$2:$A$11,0))</f>
        <v>Sul</v>
      </c>
      <c r="F853" s="2" t="s">
        <v>267</v>
      </c>
      <c r="G853" s="3" t="str">
        <f aca="false">INDEX(Produtos!$B$2:$B$11,MATCH(F853,Produtos!$A$2:$A$11,0))&amp;" "&amp;INDEX(Produtos!$C$2:$C$11,MATCH(F853,Produtos!$A$2:$A$11,0))</f>
        <v>Carregador de Celular Tipo C</v>
      </c>
      <c r="H853" s="2" t="n">
        <v>1</v>
      </c>
      <c r="I853" s="5" t="n">
        <f aca="false">INDEX(Produtos!$D$2:$D$11,MATCH(F853,Produtos!$A$2:$A$11,0))</f>
        <v>44.9</v>
      </c>
      <c r="J853" s="5" t="n">
        <f aca="false">H853*I853</f>
        <v>44.9</v>
      </c>
      <c r="K853" s="5" t="n">
        <f aca="false">INDEX(Produtos!$E$2:$E$11,MATCH(F853,Produtos!$A$2:$A$11,0))</f>
        <v>18</v>
      </c>
      <c r="L853" s="5" t="n">
        <f aca="false">H853*K853</f>
        <v>18</v>
      </c>
    </row>
    <row r="854" customFormat="false" ht="15" hidden="false" customHeight="false" outlineLevel="0" collapsed="false">
      <c r="A854" s="2" t="s">
        <v>1136</v>
      </c>
      <c r="B854" s="8" t="n">
        <v>46095</v>
      </c>
      <c r="C854" s="2" t="s">
        <v>189</v>
      </c>
      <c r="D854" s="3" t="str">
        <f aca="false">INDEX(Vendedores!$C$2:$C$101,MATCH(C854,Vendedores!$A$2:$A$101,0))</f>
        <v>L08</v>
      </c>
      <c r="E854" s="3" t="str">
        <f aca="false">INDEX(Lojas!$E$2:$E$11,MATCH(D854,Lojas!$A$2:$A$11,0))</f>
        <v>Nordeste</v>
      </c>
      <c r="F854" s="2" t="s">
        <v>265</v>
      </c>
      <c r="G854" s="3" t="str">
        <f aca="false">INDEX(Produtos!$B$2:$B$11,MATCH(F854,Produtos!$A$2:$A$11,0))&amp;" "&amp;INDEX(Produtos!$C$2:$C$11,MATCH(F854,Produtos!$A$2:$A$11,0))</f>
        <v>Fone de Ouvido Headset</v>
      </c>
      <c r="H854" s="2" t="n">
        <v>1</v>
      </c>
      <c r="I854" s="5" t="n">
        <f aca="false">INDEX(Produtos!$D$2:$D$11,MATCH(F854,Produtos!$A$2:$A$11,0))</f>
        <v>249.9</v>
      </c>
      <c r="J854" s="5" t="n">
        <f aca="false">H854*I854</f>
        <v>249.9</v>
      </c>
      <c r="K854" s="5" t="n">
        <f aca="false">INDEX(Produtos!$E$2:$E$11,MATCH(F854,Produtos!$A$2:$A$11,0))</f>
        <v>145</v>
      </c>
      <c r="L854" s="5" t="n">
        <f aca="false">H854*K854</f>
        <v>145</v>
      </c>
    </row>
    <row r="855" customFormat="false" ht="15" hidden="false" customHeight="false" outlineLevel="0" collapsed="false">
      <c r="A855" s="2" t="s">
        <v>1137</v>
      </c>
      <c r="B855" s="8" t="n">
        <v>46095</v>
      </c>
      <c r="C855" s="2" t="s">
        <v>90</v>
      </c>
      <c r="D855" s="3" t="str">
        <f aca="false">INDEX(Vendedores!$C$2:$C$101,MATCH(C855,Vendedores!$A$2:$A$101,0))</f>
        <v>L03</v>
      </c>
      <c r="E855" s="3" t="str">
        <f aca="false">INDEX(Lojas!$E$2:$E$11,MATCH(D855,Lojas!$A$2:$A$11,0))</f>
        <v>Sudeste</v>
      </c>
      <c r="F855" s="2" t="s">
        <v>273</v>
      </c>
      <c r="G855" s="3" t="str">
        <f aca="false">INDEX(Produtos!$B$2:$B$11,MATCH(F855,Produtos!$A$2:$A$11,0))&amp;" "&amp;INDEX(Produtos!$C$2:$C$11,MATCH(F855,Produtos!$A$2:$A$11,0))</f>
        <v>Controle de Videogame PS4</v>
      </c>
      <c r="H855" s="2" t="n">
        <v>1</v>
      </c>
      <c r="I855" s="5" t="n">
        <f aca="false">INDEX(Produtos!$D$2:$D$11,MATCH(F855,Produtos!$A$2:$A$11,0))</f>
        <v>299.9</v>
      </c>
      <c r="J855" s="5" t="n">
        <f aca="false">H855*I855</f>
        <v>299.9</v>
      </c>
      <c r="K855" s="5" t="n">
        <f aca="false">INDEX(Produtos!$E$2:$E$11,MATCH(F855,Produtos!$A$2:$A$11,0))</f>
        <v>175</v>
      </c>
      <c r="L855" s="5" t="n">
        <f aca="false">H855*K855</f>
        <v>175</v>
      </c>
    </row>
    <row r="856" customFormat="false" ht="15" hidden="false" customHeight="false" outlineLevel="0" collapsed="false">
      <c r="A856" s="2" t="s">
        <v>1138</v>
      </c>
      <c r="B856" s="8" t="n">
        <v>46095</v>
      </c>
      <c r="C856" s="2" t="s">
        <v>209</v>
      </c>
      <c r="D856" s="3" t="str">
        <f aca="false">INDEX(Vendedores!$C$2:$C$101,MATCH(C856,Vendedores!$A$2:$A$101,0))</f>
        <v>L09</v>
      </c>
      <c r="E856" s="3" t="str">
        <f aca="false">INDEX(Lojas!$E$2:$E$11,MATCH(D856,Lojas!$A$2:$A$11,0))</f>
        <v>Nordeste</v>
      </c>
      <c r="F856" s="2" t="s">
        <v>255</v>
      </c>
      <c r="G856" s="3" t="str">
        <f aca="false">INDEX(Produtos!$B$2:$B$11,MATCH(F856,Produtos!$A$2:$A$11,0))&amp;" "&amp;INDEX(Produtos!$C$2:$C$11,MATCH(F856,Produtos!$A$2:$A$11,0))</f>
        <v>Notebook Positivo</v>
      </c>
      <c r="H856" s="2" t="n">
        <v>1</v>
      </c>
      <c r="I856" s="5" t="n">
        <f aca="false">INDEX(Produtos!$D$2:$D$11,MATCH(F856,Produtos!$A$2:$A$11,0))</f>
        <v>2199</v>
      </c>
      <c r="J856" s="5" t="n">
        <f aca="false">H856*I856</f>
        <v>2199</v>
      </c>
      <c r="K856" s="5" t="n">
        <f aca="false">INDEX(Produtos!$E$2:$E$11,MATCH(F856,Produtos!$A$2:$A$11,0))</f>
        <v>1550</v>
      </c>
      <c r="L856" s="5" t="n">
        <f aca="false">H856*K856</f>
        <v>1550</v>
      </c>
    </row>
    <row r="857" customFormat="false" ht="15" hidden="false" customHeight="false" outlineLevel="0" collapsed="false">
      <c r="A857" s="2" t="s">
        <v>1139</v>
      </c>
      <c r="B857" s="8" t="n">
        <v>46096</v>
      </c>
      <c r="C857" s="2" t="s">
        <v>120</v>
      </c>
      <c r="D857" s="3" t="str">
        <f aca="false">INDEX(Vendedores!$C$2:$C$101,MATCH(C857,Vendedores!$A$2:$A$101,0))</f>
        <v>L04</v>
      </c>
      <c r="E857" s="3" t="str">
        <f aca="false">INDEX(Lojas!$E$2:$E$11,MATCH(D857,Lojas!$A$2:$A$11,0))</f>
        <v>Sudeste</v>
      </c>
      <c r="F857" s="2" t="s">
        <v>257</v>
      </c>
      <c r="G857" s="3" t="str">
        <f aca="false">INDEX(Produtos!$B$2:$B$11,MATCH(F857,Produtos!$A$2:$A$11,0))&amp;" "&amp;INDEX(Produtos!$C$2:$C$11,MATCH(F857,Produtos!$A$2:$A$11,0))</f>
        <v>Celular Samsung</v>
      </c>
      <c r="H857" s="2" t="n">
        <v>1</v>
      </c>
      <c r="I857" s="5" t="n">
        <f aca="false">INDEX(Produtos!$D$2:$D$11,MATCH(F857,Produtos!$A$2:$A$11,0))</f>
        <v>2499</v>
      </c>
      <c r="J857" s="5" t="n">
        <f aca="false">H857*I857</f>
        <v>2499</v>
      </c>
      <c r="K857" s="5" t="n">
        <f aca="false">INDEX(Produtos!$E$2:$E$11,MATCH(F857,Produtos!$A$2:$A$11,0))</f>
        <v>1800</v>
      </c>
      <c r="L857" s="5" t="n">
        <f aca="false">H857*K857</f>
        <v>1800</v>
      </c>
    </row>
    <row r="858" customFormat="false" ht="15" hidden="false" customHeight="false" outlineLevel="0" collapsed="false">
      <c r="A858" s="2" t="s">
        <v>1140</v>
      </c>
      <c r="B858" s="8" t="n">
        <v>46096</v>
      </c>
      <c r="C858" s="2" t="s">
        <v>213</v>
      </c>
      <c r="D858" s="3" t="str">
        <f aca="false">INDEX(Vendedores!$C$2:$C$101,MATCH(C858,Vendedores!$A$2:$A$101,0))</f>
        <v>L09</v>
      </c>
      <c r="E858" s="3" t="str">
        <f aca="false">INDEX(Lojas!$E$2:$E$11,MATCH(D858,Lojas!$A$2:$A$11,0))</f>
        <v>Nordeste</v>
      </c>
      <c r="F858" s="2" t="s">
        <v>255</v>
      </c>
      <c r="G858" s="3" t="str">
        <f aca="false">INDEX(Produtos!$B$2:$B$11,MATCH(F858,Produtos!$A$2:$A$11,0))&amp;" "&amp;INDEX(Produtos!$C$2:$C$11,MATCH(F858,Produtos!$A$2:$A$11,0))</f>
        <v>Notebook Positivo</v>
      </c>
      <c r="H858" s="2" t="n">
        <v>1</v>
      </c>
      <c r="I858" s="5" t="n">
        <f aca="false">INDEX(Produtos!$D$2:$D$11,MATCH(F858,Produtos!$A$2:$A$11,0))</f>
        <v>2199</v>
      </c>
      <c r="J858" s="5" t="n">
        <f aca="false">H858*I858</f>
        <v>2199</v>
      </c>
      <c r="K858" s="5" t="n">
        <f aca="false">INDEX(Produtos!$E$2:$E$11,MATCH(F858,Produtos!$A$2:$A$11,0))</f>
        <v>1550</v>
      </c>
      <c r="L858" s="5" t="n">
        <f aca="false">H858*K858</f>
        <v>1550</v>
      </c>
    </row>
    <row r="859" customFormat="false" ht="15" hidden="false" customHeight="false" outlineLevel="0" collapsed="false">
      <c r="A859" s="2" t="s">
        <v>1141</v>
      </c>
      <c r="B859" s="8" t="n">
        <v>46096</v>
      </c>
      <c r="C859" s="2" t="s">
        <v>205</v>
      </c>
      <c r="D859" s="3" t="str">
        <f aca="false">INDEX(Vendedores!$C$2:$C$101,MATCH(C859,Vendedores!$A$2:$A$101,0))</f>
        <v>L09</v>
      </c>
      <c r="E859" s="3" t="str">
        <f aca="false">INDEX(Lojas!$E$2:$E$11,MATCH(D859,Lojas!$A$2:$A$11,0))</f>
        <v>Nordeste</v>
      </c>
      <c r="F859" s="2" t="s">
        <v>275</v>
      </c>
      <c r="G859" s="3" t="str">
        <f aca="false">INDEX(Produtos!$B$2:$B$11,MATCH(F859,Produtos!$A$2:$A$11,0))&amp;" "&amp;INDEX(Produtos!$C$2:$C$11,MATCH(F859,Produtos!$A$2:$A$11,0))</f>
        <v>Controle de Videogame PS5</v>
      </c>
      <c r="H859" s="2" t="n">
        <v>1</v>
      </c>
      <c r="I859" s="5" t="n">
        <f aca="false">INDEX(Produtos!$D$2:$D$11,MATCH(F859,Produtos!$A$2:$A$11,0))</f>
        <v>379.9</v>
      </c>
      <c r="J859" s="5" t="n">
        <f aca="false">H859*I859</f>
        <v>379.9</v>
      </c>
      <c r="K859" s="5" t="n">
        <f aca="false">INDEX(Produtos!$E$2:$E$11,MATCH(F859,Produtos!$A$2:$A$11,0))</f>
        <v>235</v>
      </c>
      <c r="L859" s="5" t="n">
        <f aca="false">H859*K859</f>
        <v>235</v>
      </c>
    </row>
    <row r="860" customFormat="false" ht="15" hidden="false" customHeight="false" outlineLevel="0" collapsed="false">
      <c r="A860" s="2" t="s">
        <v>1142</v>
      </c>
      <c r="B860" s="8" t="n">
        <v>46096</v>
      </c>
      <c r="C860" s="2" t="s">
        <v>243</v>
      </c>
      <c r="D860" s="3" t="str">
        <f aca="false">INDEX(Vendedores!$C$2:$C$101,MATCH(C860,Vendedores!$A$2:$A$101,0))</f>
        <v>L10</v>
      </c>
      <c r="E860" s="3" t="str">
        <f aca="false">INDEX(Lojas!$E$2:$E$11,MATCH(D860,Lojas!$A$2:$A$11,0))</f>
        <v>Nordeste</v>
      </c>
      <c r="F860" s="2" t="s">
        <v>252</v>
      </c>
      <c r="G860" s="3" t="str">
        <f aca="false">INDEX(Produtos!$B$2:$B$11,MATCH(F860,Produtos!$A$2:$A$11,0))&amp;" "&amp;INDEX(Produtos!$C$2:$C$11,MATCH(F860,Produtos!$A$2:$A$11,0))</f>
        <v>Notebook Lenovo</v>
      </c>
      <c r="H860" s="2" t="n">
        <v>1</v>
      </c>
      <c r="I860" s="5" t="n">
        <f aca="false">INDEX(Produtos!$D$2:$D$11,MATCH(F860,Produtos!$A$2:$A$11,0))</f>
        <v>3199</v>
      </c>
      <c r="J860" s="5" t="n">
        <f aca="false">H860*I860</f>
        <v>3199</v>
      </c>
      <c r="K860" s="5" t="n">
        <f aca="false">INDEX(Produtos!$E$2:$E$11,MATCH(F860,Produtos!$A$2:$A$11,0))</f>
        <v>2350</v>
      </c>
      <c r="L860" s="5" t="n">
        <f aca="false">H860*K860</f>
        <v>2350</v>
      </c>
    </row>
    <row r="861" customFormat="false" ht="15" hidden="false" customHeight="false" outlineLevel="0" collapsed="false">
      <c r="A861" s="2" t="s">
        <v>1143</v>
      </c>
      <c r="B861" s="8" t="n">
        <v>46096</v>
      </c>
      <c r="C861" s="2" t="s">
        <v>54</v>
      </c>
      <c r="D861" s="3" t="str">
        <f aca="false">INDEX(Vendedores!$C$2:$C$101,MATCH(C861,Vendedores!$A$2:$A$101,0))</f>
        <v>L01</v>
      </c>
      <c r="E861" s="3" t="str">
        <f aca="false">INDEX(Lojas!$E$2:$E$11,MATCH(D861,Lojas!$A$2:$A$11,0))</f>
        <v>Sudeste</v>
      </c>
      <c r="F861" s="2" t="s">
        <v>257</v>
      </c>
      <c r="G861" s="3" t="str">
        <f aca="false">INDEX(Produtos!$B$2:$B$11,MATCH(F861,Produtos!$A$2:$A$11,0))&amp;" "&amp;INDEX(Produtos!$C$2:$C$11,MATCH(F861,Produtos!$A$2:$A$11,0))</f>
        <v>Celular Samsung</v>
      </c>
      <c r="H861" s="2" t="n">
        <v>2</v>
      </c>
      <c r="I861" s="5" t="n">
        <f aca="false">INDEX(Produtos!$D$2:$D$11,MATCH(F861,Produtos!$A$2:$A$11,0))</f>
        <v>2499</v>
      </c>
      <c r="J861" s="5" t="n">
        <f aca="false">H861*I861</f>
        <v>4998</v>
      </c>
      <c r="K861" s="5" t="n">
        <f aca="false">INDEX(Produtos!$E$2:$E$11,MATCH(F861,Produtos!$A$2:$A$11,0))</f>
        <v>1800</v>
      </c>
      <c r="L861" s="5" t="n">
        <f aca="false">H861*K861</f>
        <v>3600</v>
      </c>
    </row>
    <row r="862" customFormat="false" ht="15" hidden="false" customHeight="false" outlineLevel="0" collapsed="false">
      <c r="A862" s="2" t="s">
        <v>1144</v>
      </c>
      <c r="B862" s="8" t="n">
        <v>46096</v>
      </c>
      <c r="C862" s="2" t="s">
        <v>74</v>
      </c>
      <c r="D862" s="3" t="str">
        <f aca="false">INDEX(Vendedores!$C$2:$C$101,MATCH(C862,Vendedores!$A$2:$A$101,0))</f>
        <v>L02</v>
      </c>
      <c r="E862" s="3" t="str">
        <f aca="false">INDEX(Lojas!$E$2:$E$11,MATCH(D862,Lojas!$A$2:$A$11,0))</f>
        <v>Sudeste</v>
      </c>
      <c r="F862" s="2" t="s">
        <v>257</v>
      </c>
      <c r="G862" s="3" t="str">
        <f aca="false">INDEX(Produtos!$B$2:$B$11,MATCH(F862,Produtos!$A$2:$A$11,0))&amp;" "&amp;INDEX(Produtos!$C$2:$C$11,MATCH(F862,Produtos!$A$2:$A$11,0))</f>
        <v>Celular Samsung</v>
      </c>
      <c r="H862" s="2" t="n">
        <v>1</v>
      </c>
      <c r="I862" s="5" t="n">
        <f aca="false">INDEX(Produtos!$D$2:$D$11,MATCH(F862,Produtos!$A$2:$A$11,0))</f>
        <v>2499</v>
      </c>
      <c r="J862" s="5" t="n">
        <f aca="false">H862*I862</f>
        <v>2499</v>
      </c>
      <c r="K862" s="5" t="n">
        <f aca="false">INDEX(Produtos!$E$2:$E$11,MATCH(F862,Produtos!$A$2:$A$11,0))</f>
        <v>1800</v>
      </c>
      <c r="L862" s="5" t="n">
        <f aca="false">H862*K862</f>
        <v>1800</v>
      </c>
    </row>
    <row r="863" customFormat="false" ht="15" hidden="false" customHeight="false" outlineLevel="0" collapsed="false">
      <c r="A863" s="2" t="s">
        <v>1145</v>
      </c>
      <c r="B863" s="8" t="n">
        <v>46096</v>
      </c>
      <c r="C863" s="2" t="s">
        <v>146</v>
      </c>
      <c r="D863" s="3" t="str">
        <f aca="false">INDEX(Vendedores!$C$2:$C$101,MATCH(C863,Vendedores!$A$2:$A$101,0))</f>
        <v>L05</v>
      </c>
      <c r="E863" s="3" t="str">
        <f aca="false">INDEX(Lojas!$E$2:$E$11,MATCH(D863,Lojas!$A$2:$A$11,0))</f>
        <v>Sul</v>
      </c>
      <c r="F863" s="2" t="s">
        <v>267</v>
      </c>
      <c r="G863" s="3" t="str">
        <f aca="false">INDEX(Produtos!$B$2:$B$11,MATCH(F863,Produtos!$A$2:$A$11,0))&amp;" "&amp;INDEX(Produtos!$C$2:$C$11,MATCH(F863,Produtos!$A$2:$A$11,0))</f>
        <v>Carregador de Celular Tipo C</v>
      </c>
      <c r="H863" s="2" t="n">
        <v>1</v>
      </c>
      <c r="I863" s="5" t="n">
        <f aca="false">INDEX(Produtos!$D$2:$D$11,MATCH(F863,Produtos!$A$2:$A$11,0))</f>
        <v>44.9</v>
      </c>
      <c r="J863" s="5" t="n">
        <f aca="false">H863*I863</f>
        <v>44.9</v>
      </c>
      <c r="K863" s="5" t="n">
        <f aca="false">INDEX(Produtos!$E$2:$E$11,MATCH(F863,Produtos!$A$2:$A$11,0))</f>
        <v>18</v>
      </c>
      <c r="L863" s="5" t="n">
        <f aca="false">H863*K863</f>
        <v>18</v>
      </c>
    </row>
    <row r="864" customFormat="false" ht="15" hidden="false" customHeight="false" outlineLevel="0" collapsed="false">
      <c r="A864" s="2" t="s">
        <v>1146</v>
      </c>
      <c r="B864" s="8" t="n">
        <v>46096</v>
      </c>
      <c r="C864" s="2" t="s">
        <v>203</v>
      </c>
      <c r="D864" s="3" t="str">
        <f aca="false">INDEX(Vendedores!$C$2:$C$101,MATCH(C864,Vendedores!$A$2:$A$101,0))</f>
        <v>L08</v>
      </c>
      <c r="E864" s="3" t="str">
        <f aca="false">INDEX(Lojas!$E$2:$E$11,MATCH(D864,Lojas!$A$2:$A$11,0))</f>
        <v>Nordeste</v>
      </c>
      <c r="F864" s="2" t="s">
        <v>257</v>
      </c>
      <c r="G864" s="3" t="str">
        <f aca="false">INDEX(Produtos!$B$2:$B$11,MATCH(F864,Produtos!$A$2:$A$11,0))&amp;" "&amp;INDEX(Produtos!$C$2:$C$11,MATCH(F864,Produtos!$A$2:$A$11,0))</f>
        <v>Celular Samsung</v>
      </c>
      <c r="H864" s="2" t="n">
        <v>1</v>
      </c>
      <c r="I864" s="5" t="n">
        <f aca="false">INDEX(Produtos!$D$2:$D$11,MATCH(F864,Produtos!$A$2:$A$11,0))</f>
        <v>2499</v>
      </c>
      <c r="J864" s="5" t="n">
        <f aca="false">H864*I864</f>
        <v>2499</v>
      </c>
      <c r="K864" s="5" t="n">
        <f aca="false">INDEX(Produtos!$E$2:$E$11,MATCH(F864,Produtos!$A$2:$A$11,0))</f>
        <v>1800</v>
      </c>
      <c r="L864" s="5" t="n">
        <f aca="false">H864*K864</f>
        <v>1800</v>
      </c>
    </row>
    <row r="865" customFormat="false" ht="15" hidden="false" customHeight="false" outlineLevel="0" collapsed="false">
      <c r="A865" s="2" t="s">
        <v>1147</v>
      </c>
      <c r="B865" s="8" t="n">
        <v>46096</v>
      </c>
      <c r="C865" s="2" t="s">
        <v>237</v>
      </c>
      <c r="D865" s="3" t="str">
        <f aca="false">INDEX(Vendedores!$C$2:$C$101,MATCH(C865,Vendedores!$A$2:$A$101,0))</f>
        <v>L10</v>
      </c>
      <c r="E865" s="3" t="str">
        <f aca="false">INDEX(Lojas!$E$2:$E$11,MATCH(D865,Lojas!$A$2:$A$11,0))</f>
        <v>Nordeste</v>
      </c>
      <c r="F865" s="2" t="s">
        <v>255</v>
      </c>
      <c r="G865" s="3" t="str">
        <f aca="false">INDEX(Produtos!$B$2:$B$11,MATCH(F865,Produtos!$A$2:$A$11,0))&amp;" "&amp;INDEX(Produtos!$C$2:$C$11,MATCH(F865,Produtos!$A$2:$A$11,0))</f>
        <v>Notebook Positivo</v>
      </c>
      <c r="H865" s="2" t="n">
        <v>2</v>
      </c>
      <c r="I865" s="5" t="n">
        <f aca="false">INDEX(Produtos!$D$2:$D$11,MATCH(F865,Produtos!$A$2:$A$11,0))</f>
        <v>2199</v>
      </c>
      <c r="J865" s="5" t="n">
        <f aca="false">H865*I865</f>
        <v>4398</v>
      </c>
      <c r="K865" s="5" t="n">
        <f aca="false">INDEX(Produtos!$E$2:$E$11,MATCH(F865,Produtos!$A$2:$A$11,0))</f>
        <v>1550</v>
      </c>
      <c r="L865" s="5" t="n">
        <f aca="false">H865*K865</f>
        <v>3100</v>
      </c>
    </row>
    <row r="866" customFormat="false" ht="15" hidden="false" customHeight="false" outlineLevel="0" collapsed="false">
      <c r="A866" s="2" t="s">
        <v>1148</v>
      </c>
      <c r="B866" s="8" t="n">
        <v>46096</v>
      </c>
      <c r="C866" s="2" t="s">
        <v>116</v>
      </c>
      <c r="D866" s="3" t="str">
        <f aca="false">INDEX(Vendedores!$C$2:$C$101,MATCH(C866,Vendedores!$A$2:$A$101,0))</f>
        <v>L04</v>
      </c>
      <c r="E866" s="3" t="str">
        <f aca="false">INDEX(Lojas!$E$2:$E$11,MATCH(D866,Lojas!$A$2:$A$11,0))</f>
        <v>Sudeste</v>
      </c>
      <c r="F866" s="2" t="s">
        <v>265</v>
      </c>
      <c r="G866" s="3" t="str">
        <f aca="false">INDEX(Produtos!$B$2:$B$11,MATCH(F866,Produtos!$A$2:$A$11,0))&amp;" "&amp;INDEX(Produtos!$C$2:$C$11,MATCH(F866,Produtos!$A$2:$A$11,0))</f>
        <v>Fone de Ouvido Headset</v>
      </c>
      <c r="H866" s="2" t="n">
        <v>1</v>
      </c>
      <c r="I866" s="5" t="n">
        <f aca="false">INDEX(Produtos!$D$2:$D$11,MATCH(F866,Produtos!$A$2:$A$11,0))</f>
        <v>249.9</v>
      </c>
      <c r="J866" s="5" t="n">
        <f aca="false">H866*I866</f>
        <v>249.9</v>
      </c>
      <c r="K866" s="5" t="n">
        <f aca="false">INDEX(Produtos!$E$2:$E$11,MATCH(F866,Produtos!$A$2:$A$11,0))</f>
        <v>145</v>
      </c>
      <c r="L866" s="5" t="n">
        <f aca="false">H866*K866</f>
        <v>145</v>
      </c>
    </row>
    <row r="867" customFormat="false" ht="15" hidden="false" customHeight="false" outlineLevel="0" collapsed="false">
      <c r="A867" s="2" t="s">
        <v>1149</v>
      </c>
      <c r="B867" s="8" t="n">
        <v>46096</v>
      </c>
      <c r="C867" s="2" t="s">
        <v>84</v>
      </c>
      <c r="D867" s="3" t="str">
        <f aca="false">INDEX(Vendedores!$C$2:$C$101,MATCH(C867,Vendedores!$A$2:$A$101,0))</f>
        <v>L02</v>
      </c>
      <c r="E867" s="3" t="str">
        <f aca="false">INDEX(Lojas!$E$2:$E$11,MATCH(D867,Lojas!$A$2:$A$11,0))</f>
        <v>Sudeste</v>
      </c>
      <c r="F867" s="2" t="s">
        <v>257</v>
      </c>
      <c r="G867" s="3" t="str">
        <f aca="false">INDEX(Produtos!$B$2:$B$11,MATCH(F867,Produtos!$A$2:$A$11,0))&amp;" "&amp;INDEX(Produtos!$C$2:$C$11,MATCH(F867,Produtos!$A$2:$A$11,0))</f>
        <v>Celular Samsung</v>
      </c>
      <c r="H867" s="2" t="n">
        <v>1</v>
      </c>
      <c r="I867" s="5" t="n">
        <f aca="false">INDEX(Produtos!$D$2:$D$11,MATCH(F867,Produtos!$A$2:$A$11,0))</f>
        <v>2499</v>
      </c>
      <c r="J867" s="5" t="n">
        <f aca="false">H867*I867</f>
        <v>2499</v>
      </c>
      <c r="K867" s="5" t="n">
        <f aca="false">INDEX(Produtos!$E$2:$E$11,MATCH(F867,Produtos!$A$2:$A$11,0))</f>
        <v>1800</v>
      </c>
      <c r="L867" s="5" t="n">
        <f aca="false">H867*K867</f>
        <v>1800</v>
      </c>
    </row>
    <row r="868" customFormat="false" ht="15" hidden="false" customHeight="false" outlineLevel="0" collapsed="false">
      <c r="A868" s="2" t="s">
        <v>1150</v>
      </c>
      <c r="B868" s="8" t="n">
        <v>46096</v>
      </c>
      <c r="C868" s="2" t="s">
        <v>201</v>
      </c>
      <c r="D868" s="3" t="str">
        <f aca="false">INDEX(Vendedores!$C$2:$C$101,MATCH(C868,Vendedores!$A$2:$A$101,0))</f>
        <v>L08</v>
      </c>
      <c r="E868" s="3" t="str">
        <f aca="false">INDEX(Lojas!$E$2:$E$11,MATCH(D868,Lojas!$A$2:$A$11,0))</f>
        <v>Nordeste</v>
      </c>
      <c r="F868" s="2" t="s">
        <v>273</v>
      </c>
      <c r="G868" s="3" t="str">
        <f aca="false">INDEX(Produtos!$B$2:$B$11,MATCH(F868,Produtos!$A$2:$A$11,0))&amp;" "&amp;INDEX(Produtos!$C$2:$C$11,MATCH(F868,Produtos!$A$2:$A$11,0))</f>
        <v>Controle de Videogame PS4</v>
      </c>
      <c r="H868" s="2" t="n">
        <v>1</v>
      </c>
      <c r="I868" s="5" t="n">
        <f aca="false">INDEX(Produtos!$D$2:$D$11,MATCH(F868,Produtos!$A$2:$A$11,0))</f>
        <v>299.9</v>
      </c>
      <c r="J868" s="5" t="n">
        <f aca="false">H868*I868</f>
        <v>299.9</v>
      </c>
      <c r="K868" s="5" t="n">
        <f aca="false">INDEX(Produtos!$E$2:$E$11,MATCH(F868,Produtos!$A$2:$A$11,0))</f>
        <v>175</v>
      </c>
      <c r="L868" s="5" t="n">
        <f aca="false">H868*K868</f>
        <v>175</v>
      </c>
    </row>
    <row r="869" customFormat="false" ht="15" hidden="false" customHeight="false" outlineLevel="0" collapsed="false">
      <c r="A869" s="2" t="s">
        <v>1151</v>
      </c>
      <c r="B869" s="8" t="n">
        <v>46096</v>
      </c>
      <c r="C869" s="2" t="s">
        <v>213</v>
      </c>
      <c r="D869" s="3" t="str">
        <f aca="false">INDEX(Vendedores!$C$2:$C$101,MATCH(C869,Vendedores!$A$2:$A$101,0))</f>
        <v>L09</v>
      </c>
      <c r="E869" s="3" t="str">
        <f aca="false">INDEX(Lojas!$E$2:$E$11,MATCH(D869,Lojas!$A$2:$A$11,0))</f>
        <v>Nordeste</v>
      </c>
      <c r="F869" s="2" t="s">
        <v>267</v>
      </c>
      <c r="G869" s="3" t="str">
        <f aca="false">INDEX(Produtos!$B$2:$B$11,MATCH(F869,Produtos!$A$2:$A$11,0))&amp;" "&amp;INDEX(Produtos!$C$2:$C$11,MATCH(F869,Produtos!$A$2:$A$11,0))</f>
        <v>Carregador de Celular Tipo C</v>
      </c>
      <c r="H869" s="2" t="n">
        <v>1</v>
      </c>
      <c r="I869" s="5" t="n">
        <f aca="false">INDEX(Produtos!$D$2:$D$11,MATCH(F869,Produtos!$A$2:$A$11,0))</f>
        <v>44.9</v>
      </c>
      <c r="J869" s="5" t="n">
        <f aca="false">H869*I869</f>
        <v>44.9</v>
      </c>
      <c r="K869" s="5" t="n">
        <f aca="false">INDEX(Produtos!$E$2:$E$11,MATCH(F869,Produtos!$A$2:$A$11,0))</f>
        <v>18</v>
      </c>
      <c r="L869" s="5" t="n">
        <f aca="false">H869*K869</f>
        <v>18</v>
      </c>
    </row>
    <row r="870" customFormat="false" ht="15" hidden="false" customHeight="false" outlineLevel="0" collapsed="false">
      <c r="A870" s="2" t="s">
        <v>1152</v>
      </c>
      <c r="B870" s="8" t="n">
        <v>46096</v>
      </c>
      <c r="C870" s="2" t="s">
        <v>138</v>
      </c>
      <c r="D870" s="3" t="str">
        <f aca="false">INDEX(Vendedores!$C$2:$C$101,MATCH(C870,Vendedores!$A$2:$A$101,0))</f>
        <v>L05</v>
      </c>
      <c r="E870" s="3" t="str">
        <f aca="false">INDEX(Lojas!$E$2:$E$11,MATCH(D870,Lojas!$A$2:$A$11,0))</f>
        <v>Sul</v>
      </c>
      <c r="F870" s="2" t="s">
        <v>275</v>
      </c>
      <c r="G870" s="3" t="str">
        <f aca="false">INDEX(Produtos!$B$2:$B$11,MATCH(F870,Produtos!$A$2:$A$11,0))&amp;" "&amp;INDEX(Produtos!$C$2:$C$11,MATCH(F870,Produtos!$A$2:$A$11,0))</f>
        <v>Controle de Videogame PS5</v>
      </c>
      <c r="H870" s="2" t="n">
        <v>2</v>
      </c>
      <c r="I870" s="5" t="n">
        <f aca="false">INDEX(Produtos!$D$2:$D$11,MATCH(F870,Produtos!$A$2:$A$11,0))</f>
        <v>379.9</v>
      </c>
      <c r="J870" s="5" t="n">
        <f aca="false">H870*I870</f>
        <v>759.8</v>
      </c>
      <c r="K870" s="5" t="n">
        <f aca="false">INDEX(Produtos!$E$2:$E$11,MATCH(F870,Produtos!$A$2:$A$11,0))</f>
        <v>235</v>
      </c>
      <c r="L870" s="5" t="n">
        <f aca="false">H870*K870</f>
        <v>470</v>
      </c>
    </row>
    <row r="871" customFormat="false" ht="15" hidden="false" customHeight="false" outlineLevel="0" collapsed="false">
      <c r="A871" s="2" t="s">
        <v>1153</v>
      </c>
      <c r="B871" s="8" t="n">
        <v>46096</v>
      </c>
      <c r="C871" s="2" t="s">
        <v>201</v>
      </c>
      <c r="D871" s="3" t="str">
        <f aca="false">INDEX(Vendedores!$C$2:$C$101,MATCH(C871,Vendedores!$A$2:$A$101,0))</f>
        <v>L08</v>
      </c>
      <c r="E871" s="3" t="str">
        <f aca="false">INDEX(Lojas!$E$2:$E$11,MATCH(D871,Lojas!$A$2:$A$11,0))</f>
        <v>Nordeste</v>
      </c>
      <c r="F871" s="2" t="s">
        <v>273</v>
      </c>
      <c r="G871" s="3" t="str">
        <f aca="false">INDEX(Produtos!$B$2:$B$11,MATCH(F871,Produtos!$A$2:$A$11,0))&amp;" "&amp;INDEX(Produtos!$C$2:$C$11,MATCH(F871,Produtos!$A$2:$A$11,0))</f>
        <v>Controle de Videogame PS4</v>
      </c>
      <c r="H871" s="2" t="n">
        <v>2</v>
      </c>
      <c r="I871" s="5" t="n">
        <f aca="false">INDEX(Produtos!$D$2:$D$11,MATCH(F871,Produtos!$A$2:$A$11,0))</f>
        <v>299.9</v>
      </c>
      <c r="J871" s="5" t="n">
        <f aca="false">H871*I871</f>
        <v>599.8</v>
      </c>
      <c r="K871" s="5" t="n">
        <f aca="false">INDEX(Produtos!$E$2:$E$11,MATCH(F871,Produtos!$A$2:$A$11,0))</f>
        <v>175</v>
      </c>
      <c r="L871" s="5" t="n">
        <f aca="false">H871*K871</f>
        <v>350</v>
      </c>
    </row>
    <row r="872" customFormat="false" ht="15" hidden="false" customHeight="false" outlineLevel="0" collapsed="false">
      <c r="A872" s="2" t="s">
        <v>1154</v>
      </c>
      <c r="B872" s="8" t="n">
        <v>46097</v>
      </c>
      <c r="C872" s="2" t="s">
        <v>162</v>
      </c>
      <c r="D872" s="3" t="str">
        <f aca="false">INDEX(Vendedores!$C$2:$C$101,MATCH(C872,Vendedores!$A$2:$A$101,0))</f>
        <v>L06</v>
      </c>
      <c r="E872" s="3" t="str">
        <f aca="false">INDEX(Lojas!$E$2:$E$11,MATCH(D872,Lojas!$A$2:$A$11,0))</f>
        <v>Sul</v>
      </c>
      <c r="F872" s="2" t="s">
        <v>270</v>
      </c>
      <c r="G872" s="3" t="str">
        <f aca="false">INDEX(Produtos!$B$2:$B$11,MATCH(F872,Produtos!$A$2:$A$11,0))&amp;" "&amp;INDEX(Produtos!$C$2:$C$11,MATCH(F872,Produtos!$A$2:$A$11,0))</f>
        <v>Controle de Videogame Xbox</v>
      </c>
      <c r="H872" s="2" t="n">
        <v>1</v>
      </c>
      <c r="I872" s="5" t="n">
        <f aca="false">INDEX(Produtos!$D$2:$D$11,MATCH(F872,Produtos!$A$2:$A$11,0))</f>
        <v>349.9</v>
      </c>
      <c r="J872" s="5" t="n">
        <f aca="false">H872*I872</f>
        <v>349.9</v>
      </c>
      <c r="K872" s="5" t="n">
        <f aca="false">INDEX(Produtos!$E$2:$E$11,MATCH(F872,Produtos!$A$2:$A$11,0))</f>
        <v>215</v>
      </c>
      <c r="L872" s="5" t="n">
        <f aca="false">H872*K872</f>
        <v>215</v>
      </c>
    </row>
    <row r="873" customFormat="false" ht="15" hidden="false" customHeight="false" outlineLevel="0" collapsed="false">
      <c r="A873" s="2" t="s">
        <v>1155</v>
      </c>
      <c r="B873" s="8" t="n">
        <v>46097</v>
      </c>
      <c r="C873" s="2" t="s">
        <v>243</v>
      </c>
      <c r="D873" s="3" t="str">
        <f aca="false">INDEX(Vendedores!$C$2:$C$101,MATCH(C873,Vendedores!$A$2:$A$101,0))</f>
        <v>L10</v>
      </c>
      <c r="E873" s="3" t="str">
        <f aca="false">INDEX(Lojas!$E$2:$E$11,MATCH(D873,Lojas!$A$2:$A$11,0))</f>
        <v>Nordeste</v>
      </c>
      <c r="F873" s="2" t="s">
        <v>257</v>
      </c>
      <c r="G873" s="3" t="str">
        <f aca="false">INDEX(Produtos!$B$2:$B$11,MATCH(F873,Produtos!$A$2:$A$11,0))&amp;" "&amp;INDEX(Produtos!$C$2:$C$11,MATCH(F873,Produtos!$A$2:$A$11,0))</f>
        <v>Celular Samsung</v>
      </c>
      <c r="H873" s="2" t="n">
        <v>2</v>
      </c>
      <c r="I873" s="5" t="n">
        <f aca="false">INDEX(Produtos!$D$2:$D$11,MATCH(F873,Produtos!$A$2:$A$11,0))</f>
        <v>2499</v>
      </c>
      <c r="J873" s="5" t="n">
        <f aca="false">H873*I873</f>
        <v>4998</v>
      </c>
      <c r="K873" s="5" t="n">
        <f aca="false">INDEX(Produtos!$E$2:$E$11,MATCH(F873,Produtos!$A$2:$A$11,0))</f>
        <v>1800</v>
      </c>
      <c r="L873" s="5" t="n">
        <f aca="false">H873*K873</f>
        <v>3600</v>
      </c>
    </row>
    <row r="874" customFormat="false" ht="15" hidden="false" customHeight="false" outlineLevel="0" collapsed="false">
      <c r="A874" s="2" t="s">
        <v>1156</v>
      </c>
      <c r="B874" s="8" t="n">
        <v>46097</v>
      </c>
      <c r="C874" s="2" t="s">
        <v>86</v>
      </c>
      <c r="D874" s="3" t="str">
        <f aca="false">INDEX(Vendedores!$C$2:$C$101,MATCH(C874,Vendedores!$A$2:$A$101,0))</f>
        <v>L02</v>
      </c>
      <c r="E874" s="3" t="str">
        <f aca="false">INDEX(Lojas!$E$2:$E$11,MATCH(D874,Lojas!$A$2:$A$11,0))</f>
        <v>Sudeste</v>
      </c>
      <c r="F874" s="2" t="s">
        <v>273</v>
      </c>
      <c r="G874" s="3" t="str">
        <f aca="false">INDEX(Produtos!$B$2:$B$11,MATCH(F874,Produtos!$A$2:$A$11,0))&amp;" "&amp;INDEX(Produtos!$C$2:$C$11,MATCH(F874,Produtos!$A$2:$A$11,0))</f>
        <v>Controle de Videogame PS4</v>
      </c>
      <c r="H874" s="2" t="n">
        <v>1</v>
      </c>
      <c r="I874" s="5" t="n">
        <f aca="false">INDEX(Produtos!$D$2:$D$11,MATCH(F874,Produtos!$A$2:$A$11,0))</f>
        <v>299.9</v>
      </c>
      <c r="J874" s="5" t="n">
        <f aca="false">H874*I874</f>
        <v>299.9</v>
      </c>
      <c r="K874" s="5" t="n">
        <f aca="false">INDEX(Produtos!$E$2:$E$11,MATCH(F874,Produtos!$A$2:$A$11,0))</f>
        <v>175</v>
      </c>
      <c r="L874" s="5" t="n">
        <f aca="false">H874*K874</f>
        <v>175</v>
      </c>
    </row>
    <row r="875" customFormat="false" ht="15" hidden="false" customHeight="false" outlineLevel="0" collapsed="false">
      <c r="A875" s="2" t="s">
        <v>1157</v>
      </c>
      <c r="B875" s="8" t="n">
        <v>46097</v>
      </c>
      <c r="C875" s="2" t="s">
        <v>158</v>
      </c>
      <c r="D875" s="3" t="str">
        <f aca="false">INDEX(Vendedores!$C$2:$C$101,MATCH(C875,Vendedores!$A$2:$A$101,0))</f>
        <v>L06</v>
      </c>
      <c r="E875" s="3" t="str">
        <f aca="false">INDEX(Lojas!$E$2:$E$11,MATCH(D875,Lojas!$A$2:$A$11,0))</f>
        <v>Sul</v>
      </c>
      <c r="F875" s="2" t="s">
        <v>252</v>
      </c>
      <c r="G875" s="3" t="str">
        <f aca="false">INDEX(Produtos!$B$2:$B$11,MATCH(F875,Produtos!$A$2:$A$11,0))&amp;" "&amp;INDEX(Produtos!$C$2:$C$11,MATCH(F875,Produtos!$A$2:$A$11,0))</f>
        <v>Notebook Lenovo</v>
      </c>
      <c r="H875" s="2" t="n">
        <v>1</v>
      </c>
      <c r="I875" s="5" t="n">
        <f aca="false">INDEX(Produtos!$D$2:$D$11,MATCH(F875,Produtos!$A$2:$A$11,0))</f>
        <v>3199</v>
      </c>
      <c r="J875" s="5" t="n">
        <f aca="false">H875*I875</f>
        <v>3199</v>
      </c>
      <c r="K875" s="5" t="n">
        <f aca="false">INDEX(Produtos!$E$2:$E$11,MATCH(F875,Produtos!$A$2:$A$11,0))</f>
        <v>2350</v>
      </c>
      <c r="L875" s="5" t="n">
        <f aca="false">H875*K875</f>
        <v>2350</v>
      </c>
    </row>
    <row r="876" customFormat="false" ht="15" hidden="false" customHeight="false" outlineLevel="0" collapsed="false">
      <c r="A876" s="2" t="s">
        <v>1158</v>
      </c>
      <c r="B876" s="8" t="n">
        <v>46097</v>
      </c>
      <c r="C876" s="2" t="s">
        <v>118</v>
      </c>
      <c r="D876" s="3" t="str">
        <f aca="false">INDEX(Vendedores!$C$2:$C$101,MATCH(C876,Vendedores!$A$2:$A$101,0))</f>
        <v>L04</v>
      </c>
      <c r="E876" s="3" t="str">
        <f aca="false">INDEX(Lojas!$E$2:$E$11,MATCH(D876,Lojas!$A$2:$A$11,0))</f>
        <v>Sudeste</v>
      </c>
      <c r="F876" s="2" t="s">
        <v>257</v>
      </c>
      <c r="G876" s="3" t="str">
        <f aca="false">INDEX(Produtos!$B$2:$B$11,MATCH(F876,Produtos!$A$2:$A$11,0))&amp;" "&amp;INDEX(Produtos!$C$2:$C$11,MATCH(F876,Produtos!$A$2:$A$11,0))</f>
        <v>Celular Samsung</v>
      </c>
      <c r="H876" s="2" t="n">
        <v>1</v>
      </c>
      <c r="I876" s="5" t="n">
        <f aca="false">INDEX(Produtos!$D$2:$D$11,MATCH(F876,Produtos!$A$2:$A$11,0))</f>
        <v>2499</v>
      </c>
      <c r="J876" s="5" t="n">
        <f aca="false">H876*I876</f>
        <v>2499</v>
      </c>
      <c r="K876" s="5" t="n">
        <f aca="false">INDEX(Produtos!$E$2:$E$11,MATCH(F876,Produtos!$A$2:$A$11,0))</f>
        <v>1800</v>
      </c>
      <c r="L876" s="5" t="n">
        <f aca="false">H876*K876</f>
        <v>1800</v>
      </c>
    </row>
    <row r="877" customFormat="false" ht="15" hidden="false" customHeight="false" outlineLevel="0" collapsed="false">
      <c r="A877" s="2" t="s">
        <v>1159</v>
      </c>
      <c r="B877" s="8" t="n">
        <v>46097</v>
      </c>
      <c r="C877" s="2" t="s">
        <v>199</v>
      </c>
      <c r="D877" s="3" t="str">
        <f aca="false">INDEX(Vendedores!$C$2:$C$101,MATCH(C877,Vendedores!$A$2:$A$101,0))</f>
        <v>L08</v>
      </c>
      <c r="E877" s="3" t="str">
        <f aca="false">INDEX(Lojas!$E$2:$E$11,MATCH(D877,Lojas!$A$2:$A$11,0))</f>
        <v>Nordeste</v>
      </c>
      <c r="F877" s="2" t="s">
        <v>260</v>
      </c>
      <c r="G877" s="3" t="str">
        <f aca="false">INDEX(Produtos!$B$2:$B$11,MATCH(F877,Produtos!$A$2:$A$11,0))&amp;" "&amp;INDEX(Produtos!$C$2:$C$11,MATCH(F877,Produtos!$A$2:$A$11,0))</f>
        <v>Celular Motorola</v>
      </c>
      <c r="H877" s="2" t="n">
        <v>1</v>
      </c>
      <c r="I877" s="5" t="n">
        <f aca="false">INDEX(Produtos!$D$2:$D$11,MATCH(F877,Produtos!$A$2:$A$11,0))</f>
        <v>1799</v>
      </c>
      <c r="J877" s="5" t="n">
        <f aca="false">H877*I877</f>
        <v>1799</v>
      </c>
      <c r="K877" s="5" t="n">
        <f aca="false">INDEX(Produtos!$E$2:$E$11,MATCH(F877,Produtos!$A$2:$A$11,0))</f>
        <v>1250</v>
      </c>
      <c r="L877" s="5" t="n">
        <f aca="false">H877*K877</f>
        <v>1250</v>
      </c>
    </row>
    <row r="878" customFormat="false" ht="15" hidden="false" customHeight="false" outlineLevel="0" collapsed="false">
      <c r="A878" s="2" t="s">
        <v>1160</v>
      </c>
      <c r="B878" s="8" t="n">
        <v>46098</v>
      </c>
      <c r="C878" s="2" t="s">
        <v>92</v>
      </c>
      <c r="D878" s="3" t="str">
        <f aca="false">INDEX(Vendedores!$C$2:$C$101,MATCH(C878,Vendedores!$A$2:$A$101,0))</f>
        <v>L03</v>
      </c>
      <c r="E878" s="3" t="str">
        <f aca="false">INDEX(Lojas!$E$2:$E$11,MATCH(D878,Lojas!$A$2:$A$11,0))</f>
        <v>Sudeste</v>
      </c>
      <c r="F878" s="2" t="s">
        <v>265</v>
      </c>
      <c r="G878" s="3" t="str">
        <f aca="false">INDEX(Produtos!$B$2:$B$11,MATCH(F878,Produtos!$A$2:$A$11,0))&amp;" "&amp;INDEX(Produtos!$C$2:$C$11,MATCH(F878,Produtos!$A$2:$A$11,0))</f>
        <v>Fone de Ouvido Headset</v>
      </c>
      <c r="H878" s="2" t="n">
        <v>1</v>
      </c>
      <c r="I878" s="5" t="n">
        <f aca="false">INDEX(Produtos!$D$2:$D$11,MATCH(F878,Produtos!$A$2:$A$11,0))</f>
        <v>249.9</v>
      </c>
      <c r="J878" s="5" t="n">
        <f aca="false">H878*I878</f>
        <v>249.9</v>
      </c>
      <c r="K878" s="5" t="n">
        <f aca="false">INDEX(Produtos!$E$2:$E$11,MATCH(F878,Produtos!$A$2:$A$11,0))</f>
        <v>145</v>
      </c>
      <c r="L878" s="5" t="n">
        <f aca="false">H878*K878</f>
        <v>145</v>
      </c>
    </row>
    <row r="879" customFormat="false" ht="15" hidden="false" customHeight="false" outlineLevel="0" collapsed="false">
      <c r="A879" s="2" t="s">
        <v>1161</v>
      </c>
      <c r="B879" s="8" t="n">
        <v>46098</v>
      </c>
      <c r="C879" s="2" t="s">
        <v>92</v>
      </c>
      <c r="D879" s="3" t="str">
        <f aca="false">INDEX(Vendedores!$C$2:$C$101,MATCH(C879,Vendedores!$A$2:$A$101,0))</f>
        <v>L03</v>
      </c>
      <c r="E879" s="3" t="str">
        <f aca="false">INDEX(Lojas!$E$2:$E$11,MATCH(D879,Lojas!$A$2:$A$11,0))</f>
        <v>Sudeste</v>
      </c>
      <c r="F879" s="2" t="s">
        <v>257</v>
      </c>
      <c r="G879" s="3" t="str">
        <f aca="false">INDEX(Produtos!$B$2:$B$11,MATCH(F879,Produtos!$A$2:$A$11,0))&amp;" "&amp;INDEX(Produtos!$C$2:$C$11,MATCH(F879,Produtos!$A$2:$A$11,0))</f>
        <v>Celular Samsung</v>
      </c>
      <c r="H879" s="2" t="n">
        <v>1</v>
      </c>
      <c r="I879" s="5" t="n">
        <f aca="false">INDEX(Produtos!$D$2:$D$11,MATCH(F879,Produtos!$A$2:$A$11,0))</f>
        <v>2499</v>
      </c>
      <c r="J879" s="5" t="n">
        <f aca="false">H879*I879</f>
        <v>2499</v>
      </c>
      <c r="K879" s="5" t="n">
        <f aca="false">INDEX(Produtos!$E$2:$E$11,MATCH(F879,Produtos!$A$2:$A$11,0))</f>
        <v>1800</v>
      </c>
      <c r="L879" s="5" t="n">
        <f aca="false">H879*K879</f>
        <v>1800</v>
      </c>
    </row>
    <row r="880" customFormat="false" ht="15" hidden="false" customHeight="false" outlineLevel="0" collapsed="false">
      <c r="A880" s="2" t="s">
        <v>1162</v>
      </c>
      <c r="B880" s="8" t="n">
        <v>46098</v>
      </c>
      <c r="C880" s="2" t="s">
        <v>154</v>
      </c>
      <c r="D880" s="3" t="str">
        <f aca="false">INDEX(Vendedores!$C$2:$C$101,MATCH(C880,Vendedores!$A$2:$A$101,0))</f>
        <v>L06</v>
      </c>
      <c r="E880" s="3" t="str">
        <f aca="false">INDEX(Lojas!$E$2:$E$11,MATCH(D880,Lojas!$A$2:$A$11,0))</f>
        <v>Sul</v>
      </c>
      <c r="F880" s="2" t="s">
        <v>262</v>
      </c>
      <c r="G880" s="3" t="str">
        <f aca="false">INDEX(Produtos!$B$2:$B$11,MATCH(F880,Produtos!$A$2:$A$11,0))&amp;" "&amp;INDEX(Produtos!$C$2:$C$11,MATCH(F880,Produtos!$A$2:$A$11,0))</f>
        <v>Fone de Ouvido De Celular</v>
      </c>
      <c r="H880" s="2" t="n">
        <v>1</v>
      </c>
      <c r="I880" s="5" t="n">
        <f aca="false">INDEX(Produtos!$D$2:$D$11,MATCH(F880,Produtos!$A$2:$A$11,0))</f>
        <v>59.9</v>
      </c>
      <c r="J880" s="5" t="n">
        <f aca="false">H880*I880</f>
        <v>59.9</v>
      </c>
      <c r="K880" s="5" t="n">
        <f aca="false">INDEX(Produtos!$E$2:$E$11,MATCH(F880,Produtos!$A$2:$A$11,0))</f>
        <v>28</v>
      </c>
      <c r="L880" s="5" t="n">
        <f aca="false">H880*K880</f>
        <v>28</v>
      </c>
    </row>
    <row r="881" customFormat="false" ht="15" hidden="false" customHeight="false" outlineLevel="0" collapsed="false">
      <c r="A881" s="2" t="s">
        <v>1163</v>
      </c>
      <c r="B881" s="8" t="n">
        <v>46098</v>
      </c>
      <c r="C881" s="2" t="s">
        <v>150</v>
      </c>
      <c r="D881" s="3" t="str">
        <f aca="false">INDEX(Vendedores!$C$2:$C$101,MATCH(C881,Vendedores!$A$2:$A$101,0))</f>
        <v>L06</v>
      </c>
      <c r="E881" s="3" t="str">
        <f aca="false">INDEX(Lojas!$E$2:$E$11,MATCH(D881,Lojas!$A$2:$A$11,0))</f>
        <v>Sul</v>
      </c>
      <c r="F881" s="2" t="s">
        <v>270</v>
      </c>
      <c r="G881" s="3" t="str">
        <f aca="false">INDEX(Produtos!$B$2:$B$11,MATCH(F881,Produtos!$A$2:$A$11,0))&amp;" "&amp;INDEX(Produtos!$C$2:$C$11,MATCH(F881,Produtos!$A$2:$A$11,0))</f>
        <v>Controle de Videogame Xbox</v>
      </c>
      <c r="H881" s="2" t="n">
        <v>1</v>
      </c>
      <c r="I881" s="5" t="n">
        <f aca="false">INDEX(Produtos!$D$2:$D$11,MATCH(F881,Produtos!$A$2:$A$11,0))</f>
        <v>349.9</v>
      </c>
      <c r="J881" s="5" t="n">
        <f aca="false">H881*I881</f>
        <v>349.9</v>
      </c>
      <c r="K881" s="5" t="n">
        <f aca="false">INDEX(Produtos!$E$2:$E$11,MATCH(F881,Produtos!$A$2:$A$11,0))</f>
        <v>215</v>
      </c>
      <c r="L881" s="5" t="n">
        <f aca="false">H881*K881</f>
        <v>215</v>
      </c>
    </row>
    <row r="882" customFormat="false" ht="15" hidden="false" customHeight="false" outlineLevel="0" collapsed="false">
      <c r="A882" s="2" t="s">
        <v>1164</v>
      </c>
      <c r="B882" s="8" t="n">
        <v>46098</v>
      </c>
      <c r="C882" s="2" t="s">
        <v>229</v>
      </c>
      <c r="D882" s="3" t="str">
        <f aca="false">INDEX(Vendedores!$C$2:$C$101,MATCH(C882,Vendedores!$A$2:$A$101,0))</f>
        <v>L10</v>
      </c>
      <c r="E882" s="3" t="str">
        <f aca="false">INDEX(Lojas!$E$2:$E$11,MATCH(D882,Lojas!$A$2:$A$11,0))</f>
        <v>Nordeste</v>
      </c>
      <c r="F882" s="2" t="s">
        <v>265</v>
      </c>
      <c r="G882" s="3" t="str">
        <f aca="false">INDEX(Produtos!$B$2:$B$11,MATCH(F882,Produtos!$A$2:$A$11,0))&amp;" "&amp;INDEX(Produtos!$C$2:$C$11,MATCH(F882,Produtos!$A$2:$A$11,0))</f>
        <v>Fone de Ouvido Headset</v>
      </c>
      <c r="H882" s="2" t="n">
        <v>1</v>
      </c>
      <c r="I882" s="5" t="n">
        <f aca="false">INDEX(Produtos!$D$2:$D$11,MATCH(F882,Produtos!$A$2:$A$11,0))</f>
        <v>249.9</v>
      </c>
      <c r="J882" s="5" t="n">
        <f aca="false">H882*I882</f>
        <v>249.9</v>
      </c>
      <c r="K882" s="5" t="n">
        <f aca="false">INDEX(Produtos!$E$2:$E$11,MATCH(F882,Produtos!$A$2:$A$11,0))</f>
        <v>145</v>
      </c>
      <c r="L882" s="5" t="n">
        <f aca="false">H882*K882</f>
        <v>145</v>
      </c>
    </row>
    <row r="883" customFormat="false" ht="15" hidden="false" customHeight="false" outlineLevel="0" collapsed="false">
      <c r="A883" s="2" t="s">
        <v>1165</v>
      </c>
      <c r="B883" s="8" t="n">
        <v>46098</v>
      </c>
      <c r="C883" s="2" t="s">
        <v>144</v>
      </c>
      <c r="D883" s="3" t="str">
        <f aca="false">INDEX(Vendedores!$C$2:$C$101,MATCH(C883,Vendedores!$A$2:$A$101,0))</f>
        <v>L05</v>
      </c>
      <c r="E883" s="3" t="str">
        <f aca="false">INDEX(Lojas!$E$2:$E$11,MATCH(D883,Lojas!$A$2:$A$11,0))</f>
        <v>Sul</v>
      </c>
      <c r="F883" s="2" t="s">
        <v>270</v>
      </c>
      <c r="G883" s="3" t="str">
        <f aca="false">INDEX(Produtos!$B$2:$B$11,MATCH(F883,Produtos!$A$2:$A$11,0))&amp;" "&amp;INDEX(Produtos!$C$2:$C$11,MATCH(F883,Produtos!$A$2:$A$11,0))</f>
        <v>Controle de Videogame Xbox</v>
      </c>
      <c r="H883" s="2" t="n">
        <v>1</v>
      </c>
      <c r="I883" s="5" t="n">
        <f aca="false">INDEX(Produtos!$D$2:$D$11,MATCH(F883,Produtos!$A$2:$A$11,0))</f>
        <v>349.9</v>
      </c>
      <c r="J883" s="5" t="n">
        <f aca="false">H883*I883</f>
        <v>349.9</v>
      </c>
      <c r="K883" s="5" t="n">
        <f aca="false">INDEX(Produtos!$E$2:$E$11,MATCH(F883,Produtos!$A$2:$A$11,0))</f>
        <v>215</v>
      </c>
      <c r="L883" s="5" t="n">
        <f aca="false">H883*K883</f>
        <v>215</v>
      </c>
    </row>
    <row r="884" customFormat="false" ht="15" hidden="false" customHeight="false" outlineLevel="0" collapsed="false">
      <c r="A884" s="2" t="s">
        <v>1166</v>
      </c>
      <c r="B884" s="8" t="n">
        <v>46098</v>
      </c>
      <c r="C884" s="2" t="s">
        <v>172</v>
      </c>
      <c r="D884" s="3" t="str">
        <f aca="false">INDEX(Vendedores!$C$2:$C$101,MATCH(C884,Vendedores!$A$2:$A$101,0))</f>
        <v>L07</v>
      </c>
      <c r="E884" s="3" t="str">
        <f aca="false">INDEX(Lojas!$E$2:$E$11,MATCH(D884,Lojas!$A$2:$A$11,0))</f>
        <v>Sul</v>
      </c>
      <c r="F884" s="2" t="s">
        <v>255</v>
      </c>
      <c r="G884" s="3" t="str">
        <f aca="false">INDEX(Produtos!$B$2:$B$11,MATCH(F884,Produtos!$A$2:$A$11,0))&amp;" "&amp;INDEX(Produtos!$C$2:$C$11,MATCH(F884,Produtos!$A$2:$A$11,0))</f>
        <v>Notebook Positivo</v>
      </c>
      <c r="H884" s="2" t="n">
        <v>1</v>
      </c>
      <c r="I884" s="5" t="n">
        <f aca="false">INDEX(Produtos!$D$2:$D$11,MATCH(F884,Produtos!$A$2:$A$11,0))</f>
        <v>2199</v>
      </c>
      <c r="J884" s="5" t="n">
        <f aca="false">H884*I884</f>
        <v>2199</v>
      </c>
      <c r="K884" s="5" t="n">
        <f aca="false">INDEX(Produtos!$E$2:$E$11,MATCH(F884,Produtos!$A$2:$A$11,0))</f>
        <v>1550</v>
      </c>
      <c r="L884" s="5" t="n">
        <f aca="false">H884*K884</f>
        <v>1550</v>
      </c>
    </row>
    <row r="885" customFormat="false" ht="15" hidden="false" customHeight="false" outlineLevel="0" collapsed="false">
      <c r="A885" s="2" t="s">
        <v>1167</v>
      </c>
      <c r="B885" s="8" t="n">
        <v>46098</v>
      </c>
      <c r="C885" s="2" t="s">
        <v>213</v>
      </c>
      <c r="D885" s="3" t="str">
        <f aca="false">INDEX(Vendedores!$C$2:$C$101,MATCH(C885,Vendedores!$A$2:$A$101,0))</f>
        <v>L09</v>
      </c>
      <c r="E885" s="3" t="str">
        <f aca="false">INDEX(Lojas!$E$2:$E$11,MATCH(D885,Lojas!$A$2:$A$11,0))</f>
        <v>Nordeste</v>
      </c>
      <c r="F885" s="2" t="s">
        <v>267</v>
      </c>
      <c r="G885" s="3" t="str">
        <f aca="false">INDEX(Produtos!$B$2:$B$11,MATCH(F885,Produtos!$A$2:$A$11,0))&amp;" "&amp;INDEX(Produtos!$C$2:$C$11,MATCH(F885,Produtos!$A$2:$A$11,0))</f>
        <v>Carregador de Celular Tipo C</v>
      </c>
      <c r="H885" s="2" t="n">
        <v>2</v>
      </c>
      <c r="I885" s="5" t="n">
        <f aca="false">INDEX(Produtos!$D$2:$D$11,MATCH(F885,Produtos!$A$2:$A$11,0))</f>
        <v>44.9</v>
      </c>
      <c r="J885" s="5" t="n">
        <f aca="false">H885*I885</f>
        <v>89.8</v>
      </c>
      <c r="K885" s="5" t="n">
        <f aca="false">INDEX(Produtos!$E$2:$E$11,MATCH(F885,Produtos!$A$2:$A$11,0))</f>
        <v>18</v>
      </c>
      <c r="L885" s="5" t="n">
        <f aca="false">H885*K885</f>
        <v>36</v>
      </c>
    </row>
    <row r="886" customFormat="false" ht="15" hidden="false" customHeight="false" outlineLevel="0" collapsed="false">
      <c r="A886" s="2" t="s">
        <v>1168</v>
      </c>
      <c r="B886" s="8" t="n">
        <v>46098</v>
      </c>
      <c r="C886" s="2" t="s">
        <v>74</v>
      </c>
      <c r="D886" s="3" t="str">
        <f aca="false">INDEX(Vendedores!$C$2:$C$101,MATCH(C886,Vendedores!$A$2:$A$101,0))</f>
        <v>L02</v>
      </c>
      <c r="E886" s="3" t="str">
        <f aca="false">INDEX(Lojas!$E$2:$E$11,MATCH(D886,Lojas!$A$2:$A$11,0))</f>
        <v>Sudeste</v>
      </c>
      <c r="F886" s="2" t="s">
        <v>252</v>
      </c>
      <c r="G886" s="3" t="str">
        <f aca="false">INDEX(Produtos!$B$2:$B$11,MATCH(F886,Produtos!$A$2:$A$11,0))&amp;" "&amp;INDEX(Produtos!$C$2:$C$11,MATCH(F886,Produtos!$A$2:$A$11,0))</f>
        <v>Notebook Lenovo</v>
      </c>
      <c r="H886" s="2" t="n">
        <v>1</v>
      </c>
      <c r="I886" s="5" t="n">
        <f aca="false">INDEX(Produtos!$D$2:$D$11,MATCH(F886,Produtos!$A$2:$A$11,0))</f>
        <v>3199</v>
      </c>
      <c r="J886" s="5" t="n">
        <f aca="false">H886*I886</f>
        <v>3199</v>
      </c>
      <c r="K886" s="5" t="n">
        <f aca="false">INDEX(Produtos!$E$2:$E$11,MATCH(F886,Produtos!$A$2:$A$11,0))</f>
        <v>2350</v>
      </c>
      <c r="L886" s="5" t="n">
        <f aca="false">H886*K886</f>
        <v>2350</v>
      </c>
    </row>
    <row r="887" customFormat="false" ht="15" hidden="false" customHeight="false" outlineLevel="0" collapsed="false">
      <c r="A887" s="2" t="s">
        <v>1169</v>
      </c>
      <c r="B887" s="8" t="n">
        <v>46099</v>
      </c>
      <c r="C887" s="2" t="s">
        <v>120</v>
      </c>
      <c r="D887" s="3" t="str">
        <f aca="false">INDEX(Vendedores!$C$2:$C$101,MATCH(C887,Vendedores!$A$2:$A$101,0))</f>
        <v>L04</v>
      </c>
      <c r="E887" s="3" t="str">
        <f aca="false">INDEX(Lojas!$E$2:$E$11,MATCH(D887,Lojas!$A$2:$A$11,0))</f>
        <v>Sudeste</v>
      </c>
      <c r="F887" s="2" t="s">
        <v>257</v>
      </c>
      <c r="G887" s="3" t="str">
        <f aca="false">INDEX(Produtos!$B$2:$B$11,MATCH(F887,Produtos!$A$2:$A$11,0))&amp;" "&amp;INDEX(Produtos!$C$2:$C$11,MATCH(F887,Produtos!$A$2:$A$11,0))</f>
        <v>Celular Samsung</v>
      </c>
      <c r="H887" s="2" t="n">
        <v>1</v>
      </c>
      <c r="I887" s="5" t="n">
        <f aca="false">INDEX(Produtos!$D$2:$D$11,MATCH(F887,Produtos!$A$2:$A$11,0))</f>
        <v>2499</v>
      </c>
      <c r="J887" s="5" t="n">
        <f aca="false">H887*I887</f>
        <v>2499</v>
      </c>
      <c r="K887" s="5" t="n">
        <f aca="false">INDEX(Produtos!$E$2:$E$11,MATCH(F887,Produtos!$A$2:$A$11,0))</f>
        <v>1800</v>
      </c>
      <c r="L887" s="5" t="n">
        <f aca="false">H887*K887</f>
        <v>1800</v>
      </c>
    </row>
    <row r="888" customFormat="false" ht="15" hidden="false" customHeight="false" outlineLevel="0" collapsed="false">
      <c r="A888" s="2" t="s">
        <v>1170</v>
      </c>
      <c r="B888" s="8" t="n">
        <v>46099</v>
      </c>
      <c r="C888" s="2" t="s">
        <v>86</v>
      </c>
      <c r="D888" s="3" t="str">
        <f aca="false">INDEX(Vendedores!$C$2:$C$101,MATCH(C888,Vendedores!$A$2:$A$101,0))</f>
        <v>L02</v>
      </c>
      <c r="E888" s="3" t="str">
        <f aca="false">INDEX(Lojas!$E$2:$E$11,MATCH(D888,Lojas!$A$2:$A$11,0))</f>
        <v>Sudeste</v>
      </c>
      <c r="F888" s="2" t="s">
        <v>257</v>
      </c>
      <c r="G888" s="3" t="str">
        <f aca="false">INDEX(Produtos!$B$2:$B$11,MATCH(F888,Produtos!$A$2:$A$11,0))&amp;" "&amp;INDEX(Produtos!$C$2:$C$11,MATCH(F888,Produtos!$A$2:$A$11,0))</f>
        <v>Celular Samsung</v>
      </c>
      <c r="H888" s="2" t="n">
        <v>2</v>
      </c>
      <c r="I888" s="5" t="n">
        <f aca="false">INDEX(Produtos!$D$2:$D$11,MATCH(F888,Produtos!$A$2:$A$11,0))</f>
        <v>2499</v>
      </c>
      <c r="J888" s="5" t="n">
        <f aca="false">H888*I888</f>
        <v>4998</v>
      </c>
      <c r="K888" s="5" t="n">
        <f aca="false">INDEX(Produtos!$E$2:$E$11,MATCH(F888,Produtos!$A$2:$A$11,0))</f>
        <v>1800</v>
      </c>
      <c r="L888" s="5" t="n">
        <f aca="false">H888*K888</f>
        <v>3600</v>
      </c>
    </row>
    <row r="889" customFormat="false" ht="15" hidden="false" customHeight="false" outlineLevel="0" collapsed="false">
      <c r="A889" s="2" t="s">
        <v>1171</v>
      </c>
      <c r="B889" s="8" t="n">
        <v>46099</v>
      </c>
      <c r="C889" s="2" t="s">
        <v>133</v>
      </c>
      <c r="D889" s="3" t="str">
        <f aca="false">INDEX(Vendedores!$C$2:$C$101,MATCH(C889,Vendedores!$A$2:$A$101,0))</f>
        <v>L05</v>
      </c>
      <c r="E889" s="3" t="str">
        <f aca="false">INDEX(Lojas!$E$2:$E$11,MATCH(D889,Lojas!$A$2:$A$11,0))</f>
        <v>Sul</v>
      </c>
      <c r="F889" s="2" t="s">
        <v>275</v>
      </c>
      <c r="G889" s="3" t="str">
        <f aca="false">INDEX(Produtos!$B$2:$B$11,MATCH(F889,Produtos!$A$2:$A$11,0))&amp;" "&amp;INDEX(Produtos!$C$2:$C$11,MATCH(F889,Produtos!$A$2:$A$11,0))</f>
        <v>Controle de Videogame PS5</v>
      </c>
      <c r="H889" s="2" t="n">
        <v>1</v>
      </c>
      <c r="I889" s="5" t="n">
        <f aca="false">INDEX(Produtos!$D$2:$D$11,MATCH(F889,Produtos!$A$2:$A$11,0))</f>
        <v>379.9</v>
      </c>
      <c r="J889" s="5" t="n">
        <f aca="false">H889*I889</f>
        <v>379.9</v>
      </c>
      <c r="K889" s="5" t="n">
        <f aca="false">INDEX(Produtos!$E$2:$E$11,MATCH(F889,Produtos!$A$2:$A$11,0))</f>
        <v>235</v>
      </c>
      <c r="L889" s="5" t="n">
        <f aca="false">H889*K889</f>
        <v>235</v>
      </c>
    </row>
    <row r="890" customFormat="false" ht="15" hidden="false" customHeight="false" outlineLevel="0" collapsed="false">
      <c r="A890" s="2" t="s">
        <v>1172</v>
      </c>
      <c r="B890" s="8" t="n">
        <v>46099</v>
      </c>
      <c r="C890" s="2" t="s">
        <v>146</v>
      </c>
      <c r="D890" s="3" t="str">
        <f aca="false">INDEX(Vendedores!$C$2:$C$101,MATCH(C890,Vendedores!$A$2:$A$101,0))</f>
        <v>L05</v>
      </c>
      <c r="E890" s="3" t="str">
        <f aca="false">INDEX(Lojas!$E$2:$E$11,MATCH(D890,Lojas!$A$2:$A$11,0))</f>
        <v>Sul</v>
      </c>
      <c r="F890" s="2" t="s">
        <v>262</v>
      </c>
      <c r="G890" s="3" t="str">
        <f aca="false">INDEX(Produtos!$B$2:$B$11,MATCH(F890,Produtos!$A$2:$A$11,0))&amp;" "&amp;INDEX(Produtos!$C$2:$C$11,MATCH(F890,Produtos!$A$2:$A$11,0))</f>
        <v>Fone de Ouvido De Celular</v>
      </c>
      <c r="H890" s="2" t="n">
        <v>1</v>
      </c>
      <c r="I890" s="5" t="n">
        <f aca="false">INDEX(Produtos!$D$2:$D$11,MATCH(F890,Produtos!$A$2:$A$11,0))</f>
        <v>59.9</v>
      </c>
      <c r="J890" s="5" t="n">
        <f aca="false">H890*I890</f>
        <v>59.9</v>
      </c>
      <c r="K890" s="5" t="n">
        <f aca="false">INDEX(Produtos!$E$2:$E$11,MATCH(F890,Produtos!$A$2:$A$11,0))</f>
        <v>28</v>
      </c>
      <c r="L890" s="5" t="n">
        <f aca="false">H890*K890</f>
        <v>28</v>
      </c>
    </row>
    <row r="891" customFormat="false" ht="15" hidden="false" customHeight="false" outlineLevel="0" collapsed="false">
      <c r="A891" s="2" t="s">
        <v>1173</v>
      </c>
      <c r="B891" s="8" t="n">
        <v>46099</v>
      </c>
      <c r="C891" s="2" t="s">
        <v>193</v>
      </c>
      <c r="D891" s="3" t="str">
        <f aca="false">INDEX(Vendedores!$C$2:$C$101,MATCH(C891,Vendedores!$A$2:$A$101,0))</f>
        <v>L08</v>
      </c>
      <c r="E891" s="3" t="str">
        <f aca="false">INDEX(Lojas!$E$2:$E$11,MATCH(D891,Lojas!$A$2:$A$11,0))</f>
        <v>Nordeste</v>
      </c>
      <c r="F891" s="2" t="s">
        <v>262</v>
      </c>
      <c r="G891" s="3" t="str">
        <f aca="false">INDEX(Produtos!$B$2:$B$11,MATCH(F891,Produtos!$A$2:$A$11,0))&amp;" "&amp;INDEX(Produtos!$C$2:$C$11,MATCH(F891,Produtos!$A$2:$A$11,0))</f>
        <v>Fone de Ouvido De Celular</v>
      </c>
      <c r="H891" s="2" t="n">
        <v>3</v>
      </c>
      <c r="I891" s="5" t="n">
        <f aca="false">INDEX(Produtos!$D$2:$D$11,MATCH(F891,Produtos!$A$2:$A$11,0))</f>
        <v>59.9</v>
      </c>
      <c r="J891" s="5" t="n">
        <f aca="false">H891*I891</f>
        <v>179.7</v>
      </c>
      <c r="K891" s="5" t="n">
        <f aca="false">INDEX(Produtos!$E$2:$E$11,MATCH(F891,Produtos!$A$2:$A$11,0))</f>
        <v>28</v>
      </c>
      <c r="L891" s="5" t="n">
        <f aca="false">H891*K891</f>
        <v>84</v>
      </c>
    </row>
    <row r="892" customFormat="false" ht="15" hidden="false" customHeight="false" outlineLevel="0" collapsed="false">
      <c r="A892" s="2" t="s">
        <v>1174</v>
      </c>
      <c r="B892" s="8" t="n">
        <v>46099</v>
      </c>
      <c r="C892" s="2" t="s">
        <v>215</v>
      </c>
      <c r="D892" s="3" t="str">
        <f aca="false">INDEX(Vendedores!$C$2:$C$101,MATCH(C892,Vendedores!$A$2:$A$101,0))</f>
        <v>L09</v>
      </c>
      <c r="E892" s="3" t="str">
        <f aca="false">INDEX(Lojas!$E$2:$E$11,MATCH(D892,Lojas!$A$2:$A$11,0))</f>
        <v>Nordeste</v>
      </c>
      <c r="F892" s="2" t="s">
        <v>267</v>
      </c>
      <c r="G892" s="3" t="str">
        <f aca="false">INDEX(Produtos!$B$2:$B$11,MATCH(F892,Produtos!$A$2:$A$11,0))&amp;" "&amp;INDEX(Produtos!$C$2:$C$11,MATCH(F892,Produtos!$A$2:$A$11,0))</f>
        <v>Carregador de Celular Tipo C</v>
      </c>
      <c r="H892" s="2" t="n">
        <v>1</v>
      </c>
      <c r="I892" s="5" t="n">
        <f aca="false">INDEX(Produtos!$D$2:$D$11,MATCH(F892,Produtos!$A$2:$A$11,0))</f>
        <v>44.9</v>
      </c>
      <c r="J892" s="5" t="n">
        <f aca="false">H892*I892</f>
        <v>44.9</v>
      </c>
      <c r="K892" s="5" t="n">
        <f aca="false">INDEX(Produtos!$E$2:$E$11,MATCH(F892,Produtos!$A$2:$A$11,0))</f>
        <v>18</v>
      </c>
      <c r="L892" s="5" t="n">
        <f aca="false">H892*K892</f>
        <v>18</v>
      </c>
    </row>
    <row r="893" customFormat="false" ht="15" hidden="false" customHeight="false" outlineLevel="0" collapsed="false">
      <c r="A893" s="2" t="s">
        <v>1175</v>
      </c>
      <c r="B893" s="8" t="n">
        <v>46099</v>
      </c>
      <c r="C893" s="2" t="s">
        <v>235</v>
      </c>
      <c r="D893" s="3" t="str">
        <f aca="false">INDEX(Vendedores!$C$2:$C$101,MATCH(C893,Vendedores!$A$2:$A$101,0))</f>
        <v>L10</v>
      </c>
      <c r="E893" s="3" t="str">
        <f aca="false">INDEX(Lojas!$E$2:$E$11,MATCH(D893,Lojas!$A$2:$A$11,0))</f>
        <v>Nordeste</v>
      </c>
      <c r="F893" s="2" t="s">
        <v>260</v>
      </c>
      <c r="G893" s="3" t="str">
        <f aca="false">INDEX(Produtos!$B$2:$B$11,MATCH(F893,Produtos!$A$2:$A$11,0))&amp;" "&amp;INDEX(Produtos!$C$2:$C$11,MATCH(F893,Produtos!$A$2:$A$11,0))</f>
        <v>Celular Motorola</v>
      </c>
      <c r="H893" s="2" t="n">
        <v>2</v>
      </c>
      <c r="I893" s="5" t="n">
        <f aca="false">INDEX(Produtos!$D$2:$D$11,MATCH(F893,Produtos!$A$2:$A$11,0))</f>
        <v>1799</v>
      </c>
      <c r="J893" s="5" t="n">
        <f aca="false">H893*I893</f>
        <v>3598</v>
      </c>
      <c r="K893" s="5" t="n">
        <f aca="false">INDEX(Produtos!$E$2:$E$11,MATCH(F893,Produtos!$A$2:$A$11,0))</f>
        <v>1250</v>
      </c>
      <c r="L893" s="5" t="n">
        <f aca="false">H893*K893</f>
        <v>2500</v>
      </c>
    </row>
    <row r="894" customFormat="false" ht="15" hidden="false" customHeight="false" outlineLevel="0" collapsed="false">
      <c r="A894" s="2" t="s">
        <v>1176</v>
      </c>
      <c r="B894" s="8" t="n">
        <v>46099</v>
      </c>
      <c r="C894" s="2" t="s">
        <v>231</v>
      </c>
      <c r="D894" s="3" t="str">
        <f aca="false">INDEX(Vendedores!$C$2:$C$101,MATCH(C894,Vendedores!$A$2:$A$101,0))</f>
        <v>L10</v>
      </c>
      <c r="E894" s="3" t="str">
        <f aca="false">INDEX(Lojas!$E$2:$E$11,MATCH(D894,Lojas!$A$2:$A$11,0))</f>
        <v>Nordeste</v>
      </c>
      <c r="F894" s="2" t="s">
        <v>252</v>
      </c>
      <c r="G894" s="3" t="str">
        <f aca="false">INDEX(Produtos!$B$2:$B$11,MATCH(F894,Produtos!$A$2:$A$11,0))&amp;" "&amp;INDEX(Produtos!$C$2:$C$11,MATCH(F894,Produtos!$A$2:$A$11,0))</f>
        <v>Notebook Lenovo</v>
      </c>
      <c r="H894" s="2" t="n">
        <v>1</v>
      </c>
      <c r="I894" s="5" t="n">
        <f aca="false">INDEX(Produtos!$D$2:$D$11,MATCH(F894,Produtos!$A$2:$A$11,0))</f>
        <v>3199</v>
      </c>
      <c r="J894" s="5" t="n">
        <f aca="false">H894*I894</f>
        <v>3199</v>
      </c>
      <c r="K894" s="5" t="n">
        <f aca="false">INDEX(Produtos!$E$2:$E$11,MATCH(F894,Produtos!$A$2:$A$11,0))</f>
        <v>2350</v>
      </c>
      <c r="L894" s="5" t="n">
        <f aca="false">H894*K894</f>
        <v>2350</v>
      </c>
    </row>
    <row r="895" customFormat="false" ht="15" hidden="false" customHeight="false" outlineLevel="0" collapsed="false">
      <c r="A895" s="2" t="s">
        <v>1177</v>
      </c>
      <c r="B895" s="8" t="n">
        <v>46099</v>
      </c>
      <c r="C895" s="2" t="s">
        <v>116</v>
      </c>
      <c r="D895" s="3" t="str">
        <f aca="false">INDEX(Vendedores!$C$2:$C$101,MATCH(C895,Vendedores!$A$2:$A$101,0))</f>
        <v>L04</v>
      </c>
      <c r="E895" s="3" t="str">
        <f aca="false">INDEX(Lojas!$E$2:$E$11,MATCH(D895,Lojas!$A$2:$A$11,0))</f>
        <v>Sudeste</v>
      </c>
      <c r="F895" s="2" t="s">
        <v>267</v>
      </c>
      <c r="G895" s="3" t="str">
        <f aca="false">INDEX(Produtos!$B$2:$B$11,MATCH(F895,Produtos!$A$2:$A$11,0))&amp;" "&amp;INDEX(Produtos!$C$2:$C$11,MATCH(F895,Produtos!$A$2:$A$11,0))</f>
        <v>Carregador de Celular Tipo C</v>
      </c>
      <c r="H895" s="2" t="n">
        <v>1</v>
      </c>
      <c r="I895" s="5" t="n">
        <f aca="false">INDEX(Produtos!$D$2:$D$11,MATCH(F895,Produtos!$A$2:$A$11,0))</f>
        <v>44.9</v>
      </c>
      <c r="J895" s="5" t="n">
        <f aca="false">H895*I895</f>
        <v>44.9</v>
      </c>
      <c r="K895" s="5" t="n">
        <f aca="false">INDEX(Produtos!$E$2:$E$11,MATCH(F895,Produtos!$A$2:$A$11,0))</f>
        <v>18</v>
      </c>
      <c r="L895" s="5" t="n">
        <f aca="false">H895*K895</f>
        <v>18</v>
      </c>
    </row>
    <row r="896" customFormat="false" ht="15" hidden="false" customHeight="false" outlineLevel="0" collapsed="false">
      <c r="A896" s="2" t="s">
        <v>1178</v>
      </c>
      <c r="B896" s="8" t="n">
        <v>46099</v>
      </c>
      <c r="C896" s="2" t="s">
        <v>158</v>
      </c>
      <c r="D896" s="3" t="str">
        <f aca="false">INDEX(Vendedores!$C$2:$C$101,MATCH(C896,Vendedores!$A$2:$A$101,0))</f>
        <v>L06</v>
      </c>
      <c r="E896" s="3" t="str">
        <f aca="false">INDEX(Lojas!$E$2:$E$11,MATCH(D896,Lojas!$A$2:$A$11,0))</f>
        <v>Sul</v>
      </c>
      <c r="F896" s="2" t="s">
        <v>267</v>
      </c>
      <c r="G896" s="3" t="str">
        <f aca="false">INDEX(Produtos!$B$2:$B$11,MATCH(F896,Produtos!$A$2:$A$11,0))&amp;" "&amp;INDEX(Produtos!$C$2:$C$11,MATCH(F896,Produtos!$A$2:$A$11,0))</f>
        <v>Carregador de Celular Tipo C</v>
      </c>
      <c r="H896" s="2" t="n">
        <v>1</v>
      </c>
      <c r="I896" s="5" t="n">
        <f aca="false">INDEX(Produtos!$D$2:$D$11,MATCH(F896,Produtos!$A$2:$A$11,0))</f>
        <v>44.9</v>
      </c>
      <c r="J896" s="5" t="n">
        <f aca="false">H896*I896</f>
        <v>44.9</v>
      </c>
      <c r="K896" s="5" t="n">
        <f aca="false">INDEX(Produtos!$E$2:$E$11,MATCH(F896,Produtos!$A$2:$A$11,0))</f>
        <v>18</v>
      </c>
      <c r="L896" s="5" t="n">
        <f aca="false">H896*K896</f>
        <v>18</v>
      </c>
    </row>
    <row r="897" customFormat="false" ht="15" hidden="false" customHeight="false" outlineLevel="0" collapsed="false">
      <c r="A897" s="2" t="s">
        <v>1179</v>
      </c>
      <c r="B897" s="8" t="n">
        <v>46099</v>
      </c>
      <c r="C897" s="2" t="s">
        <v>213</v>
      </c>
      <c r="D897" s="3" t="str">
        <f aca="false">INDEX(Vendedores!$C$2:$C$101,MATCH(C897,Vendedores!$A$2:$A$101,0))</f>
        <v>L09</v>
      </c>
      <c r="E897" s="3" t="str">
        <f aca="false">INDEX(Lojas!$E$2:$E$11,MATCH(D897,Lojas!$A$2:$A$11,0))</f>
        <v>Nordeste</v>
      </c>
      <c r="F897" s="2" t="s">
        <v>275</v>
      </c>
      <c r="G897" s="3" t="str">
        <f aca="false">INDEX(Produtos!$B$2:$B$11,MATCH(F897,Produtos!$A$2:$A$11,0))&amp;" "&amp;INDEX(Produtos!$C$2:$C$11,MATCH(F897,Produtos!$A$2:$A$11,0))</f>
        <v>Controle de Videogame PS5</v>
      </c>
      <c r="H897" s="2" t="n">
        <v>1</v>
      </c>
      <c r="I897" s="5" t="n">
        <f aca="false">INDEX(Produtos!$D$2:$D$11,MATCH(F897,Produtos!$A$2:$A$11,0))</f>
        <v>379.9</v>
      </c>
      <c r="J897" s="5" t="n">
        <f aca="false">H897*I897</f>
        <v>379.9</v>
      </c>
      <c r="K897" s="5" t="n">
        <f aca="false">INDEX(Produtos!$E$2:$E$11,MATCH(F897,Produtos!$A$2:$A$11,0))</f>
        <v>235</v>
      </c>
      <c r="L897" s="5" t="n">
        <f aca="false">H897*K897</f>
        <v>235</v>
      </c>
    </row>
    <row r="898" customFormat="false" ht="15" hidden="false" customHeight="false" outlineLevel="0" collapsed="false">
      <c r="A898" s="2" t="s">
        <v>1180</v>
      </c>
      <c r="B898" s="8" t="n">
        <v>46099</v>
      </c>
      <c r="C898" s="2" t="s">
        <v>82</v>
      </c>
      <c r="D898" s="3" t="str">
        <f aca="false">INDEX(Vendedores!$C$2:$C$101,MATCH(C898,Vendedores!$A$2:$A$101,0))</f>
        <v>L02</v>
      </c>
      <c r="E898" s="3" t="str">
        <f aca="false">INDEX(Lojas!$E$2:$E$11,MATCH(D898,Lojas!$A$2:$A$11,0))</f>
        <v>Sudeste</v>
      </c>
      <c r="F898" s="2" t="s">
        <v>273</v>
      </c>
      <c r="G898" s="3" t="str">
        <f aca="false">INDEX(Produtos!$B$2:$B$11,MATCH(F898,Produtos!$A$2:$A$11,0))&amp;" "&amp;INDEX(Produtos!$C$2:$C$11,MATCH(F898,Produtos!$A$2:$A$11,0))</f>
        <v>Controle de Videogame PS4</v>
      </c>
      <c r="H898" s="2" t="n">
        <v>3</v>
      </c>
      <c r="I898" s="5" t="n">
        <f aca="false">INDEX(Produtos!$D$2:$D$11,MATCH(F898,Produtos!$A$2:$A$11,0))</f>
        <v>299.9</v>
      </c>
      <c r="J898" s="5" t="n">
        <f aca="false">H898*I898</f>
        <v>899.7</v>
      </c>
      <c r="K898" s="5" t="n">
        <f aca="false">INDEX(Produtos!$E$2:$E$11,MATCH(F898,Produtos!$A$2:$A$11,0))</f>
        <v>175</v>
      </c>
      <c r="L898" s="5" t="n">
        <f aca="false">H898*K898</f>
        <v>525</v>
      </c>
    </row>
    <row r="899" customFormat="false" ht="15" hidden="false" customHeight="false" outlineLevel="0" collapsed="false">
      <c r="A899" s="2" t="s">
        <v>1181</v>
      </c>
      <c r="B899" s="8" t="n">
        <v>46099</v>
      </c>
      <c r="C899" s="2" t="s">
        <v>94</v>
      </c>
      <c r="D899" s="3" t="str">
        <f aca="false">INDEX(Vendedores!$C$2:$C$101,MATCH(C899,Vendedores!$A$2:$A$101,0))</f>
        <v>L03</v>
      </c>
      <c r="E899" s="3" t="str">
        <f aca="false">INDEX(Lojas!$E$2:$E$11,MATCH(D899,Lojas!$A$2:$A$11,0))</f>
        <v>Sudeste</v>
      </c>
      <c r="F899" s="2" t="s">
        <v>252</v>
      </c>
      <c r="G899" s="3" t="str">
        <f aca="false">INDEX(Produtos!$B$2:$B$11,MATCH(F899,Produtos!$A$2:$A$11,0))&amp;" "&amp;INDEX(Produtos!$C$2:$C$11,MATCH(F899,Produtos!$A$2:$A$11,0))</f>
        <v>Notebook Lenovo</v>
      </c>
      <c r="H899" s="2" t="n">
        <v>2</v>
      </c>
      <c r="I899" s="5" t="n">
        <f aca="false">INDEX(Produtos!$D$2:$D$11,MATCH(F899,Produtos!$A$2:$A$11,0))</f>
        <v>3199</v>
      </c>
      <c r="J899" s="5" t="n">
        <f aca="false">H899*I899</f>
        <v>6398</v>
      </c>
      <c r="K899" s="5" t="n">
        <f aca="false">INDEX(Produtos!$E$2:$E$11,MATCH(F899,Produtos!$A$2:$A$11,0))</f>
        <v>2350</v>
      </c>
      <c r="L899" s="5" t="n">
        <f aca="false">H899*K899</f>
        <v>4700</v>
      </c>
    </row>
    <row r="900" customFormat="false" ht="15" hidden="false" customHeight="false" outlineLevel="0" collapsed="false">
      <c r="A900" s="2" t="s">
        <v>1182</v>
      </c>
      <c r="B900" s="8" t="n">
        <v>46099</v>
      </c>
      <c r="C900" s="2" t="s">
        <v>215</v>
      </c>
      <c r="D900" s="3" t="str">
        <f aca="false">INDEX(Vendedores!$C$2:$C$101,MATCH(C900,Vendedores!$A$2:$A$101,0))</f>
        <v>L09</v>
      </c>
      <c r="E900" s="3" t="str">
        <f aca="false">INDEX(Lojas!$E$2:$E$11,MATCH(D900,Lojas!$A$2:$A$11,0))</f>
        <v>Nordeste</v>
      </c>
      <c r="F900" s="2" t="s">
        <v>275</v>
      </c>
      <c r="G900" s="3" t="str">
        <f aca="false">INDEX(Produtos!$B$2:$B$11,MATCH(F900,Produtos!$A$2:$A$11,0))&amp;" "&amp;INDEX(Produtos!$C$2:$C$11,MATCH(F900,Produtos!$A$2:$A$11,0))</f>
        <v>Controle de Videogame PS5</v>
      </c>
      <c r="H900" s="2" t="n">
        <v>1</v>
      </c>
      <c r="I900" s="5" t="n">
        <f aca="false">INDEX(Produtos!$D$2:$D$11,MATCH(F900,Produtos!$A$2:$A$11,0))</f>
        <v>379.9</v>
      </c>
      <c r="J900" s="5" t="n">
        <f aca="false">H900*I900</f>
        <v>379.9</v>
      </c>
      <c r="K900" s="5" t="n">
        <f aca="false">INDEX(Produtos!$E$2:$E$11,MATCH(F900,Produtos!$A$2:$A$11,0))</f>
        <v>235</v>
      </c>
      <c r="L900" s="5" t="n">
        <f aca="false">H900*K900</f>
        <v>235</v>
      </c>
    </row>
    <row r="901" customFormat="false" ht="15" hidden="false" customHeight="false" outlineLevel="0" collapsed="false">
      <c r="A901" s="2" t="s">
        <v>1183</v>
      </c>
      <c r="B901" s="8" t="n">
        <v>46100</v>
      </c>
      <c r="C901" s="2" t="s">
        <v>235</v>
      </c>
      <c r="D901" s="3" t="str">
        <f aca="false">INDEX(Vendedores!$C$2:$C$101,MATCH(C901,Vendedores!$A$2:$A$101,0))</f>
        <v>L10</v>
      </c>
      <c r="E901" s="3" t="str">
        <f aca="false">INDEX(Lojas!$E$2:$E$11,MATCH(D901,Lojas!$A$2:$A$11,0))</f>
        <v>Nordeste</v>
      </c>
      <c r="F901" s="2" t="s">
        <v>267</v>
      </c>
      <c r="G901" s="3" t="str">
        <f aca="false">INDEX(Produtos!$B$2:$B$11,MATCH(F901,Produtos!$A$2:$A$11,0))&amp;" "&amp;INDEX(Produtos!$C$2:$C$11,MATCH(F901,Produtos!$A$2:$A$11,0))</f>
        <v>Carregador de Celular Tipo C</v>
      </c>
      <c r="H901" s="2" t="n">
        <v>1</v>
      </c>
      <c r="I901" s="5" t="n">
        <f aca="false">INDEX(Produtos!$D$2:$D$11,MATCH(F901,Produtos!$A$2:$A$11,0))</f>
        <v>44.9</v>
      </c>
      <c r="J901" s="5" t="n">
        <f aca="false">H901*I901</f>
        <v>44.9</v>
      </c>
      <c r="K901" s="5" t="n">
        <f aca="false">INDEX(Produtos!$E$2:$E$11,MATCH(F901,Produtos!$A$2:$A$11,0))</f>
        <v>18</v>
      </c>
      <c r="L901" s="5" t="n">
        <f aca="false">H901*K901</f>
        <v>18</v>
      </c>
    </row>
    <row r="902" customFormat="false" ht="15" hidden="false" customHeight="false" outlineLevel="0" collapsed="false">
      <c r="A902" s="2" t="s">
        <v>1184</v>
      </c>
      <c r="B902" s="8" t="n">
        <v>46100</v>
      </c>
      <c r="C902" s="2" t="s">
        <v>237</v>
      </c>
      <c r="D902" s="3" t="str">
        <f aca="false">INDEX(Vendedores!$C$2:$C$101,MATCH(C902,Vendedores!$A$2:$A$101,0))</f>
        <v>L10</v>
      </c>
      <c r="E902" s="3" t="str">
        <f aca="false">INDEX(Lojas!$E$2:$E$11,MATCH(D902,Lojas!$A$2:$A$11,0))</f>
        <v>Nordeste</v>
      </c>
      <c r="F902" s="2" t="s">
        <v>267</v>
      </c>
      <c r="G902" s="3" t="str">
        <f aca="false">INDEX(Produtos!$B$2:$B$11,MATCH(F902,Produtos!$A$2:$A$11,0))&amp;" "&amp;INDEX(Produtos!$C$2:$C$11,MATCH(F902,Produtos!$A$2:$A$11,0))</f>
        <v>Carregador de Celular Tipo C</v>
      </c>
      <c r="H902" s="2" t="n">
        <v>1</v>
      </c>
      <c r="I902" s="5" t="n">
        <f aca="false">INDEX(Produtos!$D$2:$D$11,MATCH(F902,Produtos!$A$2:$A$11,0))</f>
        <v>44.9</v>
      </c>
      <c r="J902" s="5" t="n">
        <f aca="false">H902*I902</f>
        <v>44.9</v>
      </c>
      <c r="K902" s="5" t="n">
        <f aca="false">INDEX(Produtos!$E$2:$E$11,MATCH(F902,Produtos!$A$2:$A$11,0))</f>
        <v>18</v>
      </c>
      <c r="L902" s="5" t="n">
        <f aca="false">H902*K902</f>
        <v>18</v>
      </c>
    </row>
    <row r="903" customFormat="false" ht="15" hidden="false" customHeight="false" outlineLevel="0" collapsed="false">
      <c r="A903" s="2" t="s">
        <v>1185</v>
      </c>
      <c r="B903" s="8" t="n">
        <v>46100</v>
      </c>
      <c r="C903" s="2" t="s">
        <v>225</v>
      </c>
      <c r="D903" s="3" t="str">
        <f aca="false">INDEX(Vendedores!$C$2:$C$101,MATCH(C903,Vendedores!$A$2:$A$101,0))</f>
        <v>L10</v>
      </c>
      <c r="E903" s="3" t="str">
        <f aca="false">INDEX(Lojas!$E$2:$E$11,MATCH(D903,Lojas!$A$2:$A$11,0))</f>
        <v>Nordeste</v>
      </c>
      <c r="F903" s="2" t="s">
        <v>255</v>
      </c>
      <c r="G903" s="3" t="str">
        <f aca="false">INDEX(Produtos!$B$2:$B$11,MATCH(F903,Produtos!$A$2:$A$11,0))&amp;" "&amp;INDEX(Produtos!$C$2:$C$11,MATCH(F903,Produtos!$A$2:$A$11,0))</f>
        <v>Notebook Positivo</v>
      </c>
      <c r="H903" s="2" t="n">
        <v>2</v>
      </c>
      <c r="I903" s="5" t="n">
        <f aca="false">INDEX(Produtos!$D$2:$D$11,MATCH(F903,Produtos!$A$2:$A$11,0))</f>
        <v>2199</v>
      </c>
      <c r="J903" s="5" t="n">
        <f aca="false">H903*I903</f>
        <v>4398</v>
      </c>
      <c r="K903" s="5" t="n">
        <f aca="false">INDEX(Produtos!$E$2:$E$11,MATCH(F903,Produtos!$A$2:$A$11,0))</f>
        <v>1550</v>
      </c>
      <c r="L903" s="5" t="n">
        <f aca="false">H903*K903</f>
        <v>3100</v>
      </c>
    </row>
    <row r="904" customFormat="false" ht="15" hidden="false" customHeight="false" outlineLevel="0" collapsed="false">
      <c r="A904" s="2" t="s">
        <v>1186</v>
      </c>
      <c r="B904" s="8" t="n">
        <v>46100</v>
      </c>
      <c r="C904" s="2" t="s">
        <v>170</v>
      </c>
      <c r="D904" s="3" t="str">
        <f aca="false">INDEX(Vendedores!$C$2:$C$101,MATCH(C904,Vendedores!$A$2:$A$101,0))</f>
        <v>L07</v>
      </c>
      <c r="E904" s="3" t="str">
        <f aca="false">INDEX(Lojas!$E$2:$E$11,MATCH(D904,Lojas!$A$2:$A$11,0))</f>
        <v>Sul</v>
      </c>
      <c r="F904" s="2" t="s">
        <v>270</v>
      </c>
      <c r="G904" s="3" t="str">
        <f aca="false">INDEX(Produtos!$B$2:$B$11,MATCH(F904,Produtos!$A$2:$A$11,0))&amp;" "&amp;INDEX(Produtos!$C$2:$C$11,MATCH(F904,Produtos!$A$2:$A$11,0))</f>
        <v>Controle de Videogame Xbox</v>
      </c>
      <c r="H904" s="2" t="n">
        <v>2</v>
      </c>
      <c r="I904" s="5" t="n">
        <f aca="false">INDEX(Produtos!$D$2:$D$11,MATCH(F904,Produtos!$A$2:$A$11,0))</f>
        <v>349.9</v>
      </c>
      <c r="J904" s="5" t="n">
        <f aca="false">H904*I904</f>
        <v>699.8</v>
      </c>
      <c r="K904" s="5" t="n">
        <f aca="false">INDEX(Produtos!$E$2:$E$11,MATCH(F904,Produtos!$A$2:$A$11,0))</f>
        <v>215</v>
      </c>
      <c r="L904" s="5" t="n">
        <f aca="false">H904*K904</f>
        <v>430</v>
      </c>
    </row>
    <row r="905" customFormat="false" ht="15" hidden="false" customHeight="false" outlineLevel="0" collapsed="false">
      <c r="A905" s="2" t="s">
        <v>1187</v>
      </c>
      <c r="B905" s="8" t="n">
        <v>46100</v>
      </c>
      <c r="C905" s="2" t="s">
        <v>180</v>
      </c>
      <c r="D905" s="3" t="str">
        <f aca="false">INDEX(Vendedores!$C$2:$C$101,MATCH(C905,Vendedores!$A$2:$A$101,0))</f>
        <v>L07</v>
      </c>
      <c r="E905" s="3" t="str">
        <f aca="false">INDEX(Lojas!$E$2:$E$11,MATCH(D905,Lojas!$A$2:$A$11,0))</f>
        <v>Sul</v>
      </c>
      <c r="F905" s="2" t="s">
        <v>275</v>
      </c>
      <c r="G905" s="3" t="str">
        <f aca="false">INDEX(Produtos!$B$2:$B$11,MATCH(F905,Produtos!$A$2:$A$11,0))&amp;" "&amp;INDEX(Produtos!$C$2:$C$11,MATCH(F905,Produtos!$A$2:$A$11,0))</f>
        <v>Controle de Videogame PS5</v>
      </c>
      <c r="H905" s="2" t="n">
        <v>2</v>
      </c>
      <c r="I905" s="5" t="n">
        <f aca="false">INDEX(Produtos!$D$2:$D$11,MATCH(F905,Produtos!$A$2:$A$11,0))</f>
        <v>379.9</v>
      </c>
      <c r="J905" s="5" t="n">
        <f aca="false">H905*I905</f>
        <v>759.8</v>
      </c>
      <c r="K905" s="5" t="n">
        <f aca="false">INDEX(Produtos!$E$2:$E$11,MATCH(F905,Produtos!$A$2:$A$11,0))</f>
        <v>235</v>
      </c>
      <c r="L905" s="5" t="n">
        <f aca="false">H905*K905</f>
        <v>470</v>
      </c>
    </row>
    <row r="906" customFormat="false" ht="15" hidden="false" customHeight="false" outlineLevel="0" collapsed="false">
      <c r="A906" s="2" t="s">
        <v>1188</v>
      </c>
      <c r="B906" s="8" t="n">
        <v>46100</v>
      </c>
      <c r="C906" s="2" t="s">
        <v>193</v>
      </c>
      <c r="D906" s="3" t="str">
        <f aca="false">INDEX(Vendedores!$C$2:$C$101,MATCH(C906,Vendedores!$A$2:$A$101,0))</f>
        <v>L08</v>
      </c>
      <c r="E906" s="3" t="str">
        <f aca="false">INDEX(Lojas!$E$2:$E$11,MATCH(D906,Lojas!$A$2:$A$11,0))</f>
        <v>Nordeste</v>
      </c>
      <c r="F906" s="2" t="s">
        <v>267</v>
      </c>
      <c r="G906" s="3" t="str">
        <f aca="false">INDEX(Produtos!$B$2:$B$11,MATCH(F906,Produtos!$A$2:$A$11,0))&amp;" "&amp;INDEX(Produtos!$C$2:$C$11,MATCH(F906,Produtos!$A$2:$A$11,0))</f>
        <v>Carregador de Celular Tipo C</v>
      </c>
      <c r="H906" s="2" t="n">
        <v>1</v>
      </c>
      <c r="I906" s="5" t="n">
        <f aca="false">INDEX(Produtos!$D$2:$D$11,MATCH(F906,Produtos!$A$2:$A$11,0))</f>
        <v>44.9</v>
      </c>
      <c r="J906" s="5" t="n">
        <f aca="false">H906*I906</f>
        <v>44.9</v>
      </c>
      <c r="K906" s="5" t="n">
        <f aca="false">INDEX(Produtos!$E$2:$E$11,MATCH(F906,Produtos!$A$2:$A$11,0))</f>
        <v>18</v>
      </c>
      <c r="L906" s="5" t="n">
        <f aca="false">H906*K906</f>
        <v>18</v>
      </c>
    </row>
    <row r="907" customFormat="false" ht="15" hidden="false" customHeight="false" outlineLevel="0" collapsed="false">
      <c r="A907" s="2" t="s">
        <v>1189</v>
      </c>
      <c r="B907" s="8" t="n">
        <v>46100</v>
      </c>
      <c r="C907" s="2" t="s">
        <v>152</v>
      </c>
      <c r="D907" s="3" t="str">
        <f aca="false">INDEX(Vendedores!$C$2:$C$101,MATCH(C907,Vendedores!$A$2:$A$101,0))</f>
        <v>L06</v>
      </c>
      <c r="E907" s="3" t="str">
        <f aca="false">INDEX(Lojas!$E$2:$E$11,MATCH(D907,Lojas!$A$2:$A$11,0))</f>
        <v>Sul</v>
      </c>
      <c r="F907" s="2" t="s">
        <v>275</v>
      </c>
      <c r="G907" s="3" t="str">
        <f aca="false">INDEX(Produtos!$B$2:$B$11,MATCH(F907,Produtos!$A$2:$A$11,0))&amp;" "&amp;INDEX(Produtos!$C$2:$C$11,MATCH(F907,Produtos!$A$2:$A$11,0))</f>
        <v>Controle de Videogame PS5</v>
      </c>
      <c r="H907" s="2" t="n">
        <v>1</v>
      </c>
      <c r="I907" s="5" t="n">
        <f aca="false">INDEX(Produtos!$D$2:$D$11,MATCH(F907,Produtos!$A$2:$A$11,0))</f>
        <v>379.9</v>
      </c>
      <c r="J907" s="5" t="n">
        <f aca="false">H907*I907</f>
        <v>379.9</v>
      </c>
      <c r="K907" s="5" t="n">
        <f aca="false">INDEX(Produtos!$E$2:$E$11,MATCH(F907,Produtos!$A$2:$A$11,0))</f>
        <v>235</v>
      </c>
      <c r="L907" s="5" t="n">
        <f aca="false">H907*K907</f>
        <v>235</v>
      </c>
    </row>
    <row r="908" customFormat="false" ht="15" hidden="false" customHeight="false" outlineLevel="0" collapsed="false">
      <c r="A908" s="2" t="s">
        <v>1190</v>
      </c>
      <c r="B908" s="8" t="n">
        <v>46100</v>
      </c>
      <c r="C908" s="2" t="s">
        <v>50</v>
      </c>
      <c r="D908" s="3" t="str">
        <f aca="false">INDEX(Vendedores!$C$2:$C$101,MATCH(C908,Vendedores!$A$2:$A$101,0))</f>
        <v>L01</v>
      </c>
      <c r="E908" s="3" t="str">
        <f aca="false">INDEX(Lojas!$E$2:$E$11,MATCH(D908,Lojas!$A$2:$A$11,0))</f>
        <v>Sudeste</v>
      </c>
      <c r="F908" s="2" t="s">
        <v>252</v>
      </c>
      <c r="G908" s="3" t="str">
        <f aca="false">INDEX(Produtos!$B$2:$B$11,MATCH(F908,Produtos!$A$2:$A$11,0))&amp;" "&amp;INDEX(Produtos!$C$2:$C$11,MATCH(F908,Produtos!$A$2:$A$11,0))</f>
        <v>Notebook Lenovo</v>
      </c>
      <c r="H908" s="2" t="n">
        <v>1</v>
      </c>
      <c r="I908" s="5" t="n">
        <f aca="false">INDEX(Produtos!$D$2:$D$11,MATCH(F908,Produtos!$A$2:$A$11,0))</f>
        <v>3199</v>
      </c>
      <c r="J908" s="5" t="n">
        <f aca="false">H908*I908</f>
        <v>3199</v>
      </c>
      <c r="K908" s="5" t="n">
        <f aca="false">INDEX(Produtos!$E$2:$E$11,MATCH(F908,Produtos!$A$2:$A$11,0))</f>
        <v>2350</v>
      </c>
      <c r="L908" s="5" t="n">
        <f aca="false">H908*K908</f>
        <v>2350</v>
      </c>
    </row>
    <row r="909" customFormat="false" ht="15" hidden="false" customHeight="false" outlineLevel="0" collapsed="false">
      <c r="A909" s="2" t="s">
        <v>1191</v>
      </c>
      <c r="B909" s="8" t="n">
        <v>46100</v>
      </c>
      <c r="C909" s="2" t="s">
        <v>137</v>
      </c>
      <c r="D909" s="3" t="str">
        <f aca="false">INDEX(Vendedores!$C$2:$C$101,MATCH(C909,Vendedores!$A$2:$A$101,0))</f>
        <v>L05</v>
      </c>
      <c r="E909" s="3" t="str">
        <f aca="false">INDEX(Lojas!$E$2:$E$11,MATCH(D909,Lojas!$A$2:$A$11,0))</f>
        <v>Sul</v>
      </c>
      <c r="F909" s="2" t="s">
        <v>273</v>
      </c>
      <c r="G909" s="3" t="str">
        <f aca="false">INDEX(Produtos!$B$2:$B$11,MATCH(F909,Produtos!$A$2:$A$11,0))&amp;" "&amp;INDEX(Produtos!$C$2:$C$11,MATCH(F909,Produtos!$A$2:$A$11,0))</f>
        <v>Controle de Videogame PS4</v>
      </c>
      <c r="H909" s="2" t="n">
        <v>1</v>
      </c>
      <c r="I909" s="5" t="n">
        <f aca="false">INDEX(Produtos!$D$2:$D$11,MATCH(F909,Produtos!$A$2:$A$11,0))</f>
        <v>299.9</v>
      </c>
      <c r="J909" s="5" t="n">
        <f aca="false">H909*I909</f>
        <v>299.9</v>
      </c>
      <c r="K909" s="5" t="n">
        <f aca="false">INDEX(Produtos!$E$2:$E$11,MATCH(F909,Produtos!$A$2:$A$11,0))</f>
        <v>175</v>
      </c>
      <c r="L909" s="5" t="n">
        <f aca="false">H909*K909</f>
        <v>175</v>
      </c>
    </row>
    <row r="910" customFormat="false" ht="15" hidden="false" customHeight="false" outlineLevel="0" collapsed="false">
      <c r="A910" s="2" t="s">
        <v>1192</v>
      </c>
      <c r="B910" s="8" t="n">
        <v>46100</v>
      </c>
      <c r="C910" s="2" t="s">
        <v>126</v>
      </c>
      <c r="D910" s="3" t="str">
        <f aca="false">INDEX(Vendedores!$C$2:$C$101,MATCH(C910,Vendedores!$A$2:$A$101,0))</f>
        <v>L04</v>
      </c>
      <c r="E910" s="3" t="str">
        <f aca="false">INDEX(Lojas!$E$2:$E$11,MATCH(D910,Lojas!$A$2:$A$11,0))</f>
        <v>Sudeste</v>
      </c>
      <c r="F910" s="2" t="s">
        <v>270</v>
      </c>
      <c r="G910" s="3" t="str">
        <f aca="false">INDEX(Produtos!$B$2:$B$11,MATCH(F910,Produtos!$A$2:$A$11,0))&amp;" "&amp;INDEX(Produtos!$C$2:$C$11,MATCH(F910,Produtos!$A$2:$A$11,0))</f>
        <v>Controle de Videogame Xbox</v>
      </c>
      <c r="H910" s="2" t="n">
        <v>2</v>
      </c>
      <c r="I910" s="5" t="n">
        <f aca="false">INDEX(Produtos!$D$2:$D$11,MATCH(F910,Produtos!$A$2:$A$11,0))</f>
        <v>349.9</v>
      </c>
      <c r="J910" s="5" t="n">
        <f aca="false">H910*I910</f>
        <v>699.8</v>
      </c>
      <c r="K910" s="5" t="n">
        <f aca="false">INDEX(Produtos!$E$2:$E$11,MATCH(F910,Produtos!$A$2:$A$11,0))</f>
        <v>215</v>
      </c>
      <c r="L910" s="5" t="n">
        <f aca="false">H910*K910</f>
        <v>430</v>
      </c>
    </row>
    <row r="911" customFormat="false" ht="15" hidden="false" customHeight="false" outlineLevel="0" collapsed="false">
      <c r="A911" s="2" t="s">
        <v>1193</v>
      </c>
      <c r="B911" s="8" t="n">
        <v>46100</v>
      </c>
      <c r="C911" s="2" t="s">
        <v>158</v>
      </c>
      <c r="D911" s="3" t="str">
        <f aca="false">INDEX(Vendedores!$C$2:$C$101,MATCH(C911,Vendedores!$A$2:$A$101,0))</f>
        <v>L06</v>
      </c>
      <c r="E911" s="3" t="str">
        <f aca="false">INDEX(Lojas!$E$2:$E$11,MATCH(D911,Lojas!$A$2:$A$11,0))</f>
        <v>Sul</v>
      </c>
      <c r="F911" s="2" t="s">
        <v>275</v>
      </c>
      <c r="G911" s="3" t="str">
        <f aca="false">INDEX(Produtos!$B$2:$B$11,MATCH(F911,Produtos!$A$2:$A$11,0))&amp;" "&amp;INDEX(Produtos!$C$2:$C$11,MATCH(F911,Produtos!$A$2:$A$11,0))</f>
        <v>Controle de Videogame PS5</v>
      </c>
      <c r="H911" s="2" t="n">
        <v>1</v>
      </c>
      <c r="I911" s="5" t="n">
        <f aca="false">INDEX(Produtos!$D$2:$D$11,MATCH(F911,Produtos!$A$2:$A$11,0))</f>
        <v>379.9</v>
      </c>
      <c r="J911" s="5" t="n">
        <f aca="false">H911*I911</f>
        <v>379.9</v>
      </c>
      <c r="K911" s="5" t="n">
        <f aca="false">INDEX(Produtos!$E$2:$E$11,MATCH(F911,Produtos!$A$2:$A$11,0))</f>
        <v>235</v>
      </c>
      <c r="L911" s="5" t="n">
        <f aca="false">H911*K911</f>
        <v>235</v>
      </c>
    </row>
    <row r="912" customFormat="false" ht="15" hidden="false" customHeight="false" outlineLevel="0" collapsed="false">
      <c r="A912" s="2" t="s">
        <v>1194</v>
      </c>
      <c r="B912" s="8" t="n">
        <v>46100</v>
      </c>
      <c r="C912" s="2" t="s">
        <v>195</v>
      </c>
      <c r="D912" s="3" t="str">
        <f aca="false">INDEX(Vendedores!$C$2:$C$101,MATCH(C912,Vendedores!$A$2:$A$101,0))</f>
        <v>L08</v>
      </c>
      <c r="E912" s="3" t="str">
        <f aca="false">INDEX(Lojas!$E$2:$E$11,MATCH(D912,Lojas!$A$2:$A$11,0))</f>
        <v>Nordeste</v>
      </c>
      <c r="F912" s="2" t="s">
        <v>273</v>
      </c>
      <c r="G912" s="3" t="str">
        <f aca="false">INDEX(Produtos!$B$2:$B$11,MATCH(F912,Produtos!$A$2:$A$11,0))&amp;" "&amp;INDEX(Produtos!$C$2:$C$11,MATCH(F912,Produtos!$A$2:$A$11,0))</f>
        <v>Controle de Videogame PS4</v>
      </c>
      <c r="H912" s="2" t="n">
        <v>1</v>
      </c>
      <c r="I912" s="5" t="n">
        <f aca="false">INDEX(Produtos!$D$2:$D$11,MATCH(F912,Produtos!$A$2:$A$11,0))</f>
        <v>299.9</v>
      </c>
      <c r="J912" s="5" t="n">
        <f aca="false">H912*I912</f>
        <v>299.9</v>
      </c>
      <c r="K912" s="5" t="n">
        <f aca="false">INDEX(Produtos!$E$2:$E$11,MATCH(F912,Produtos!$A$2:$A$11,0))</f>
        <v>175</v>
      </c>
      <c r="L912" s="5" t="n">
        <f aca="false">H912*K912</f>
        <v>175</v>
      </c>
    </row>
    <row r="913" customFormat="false" ht="15" hidden="false" customHeight="false" outlineLevel="0" collapsed="false">
      <c r="A913" s="2" t="s">
        <v>1195</v>
      </c>
      <c r="B913" s="8" t="n">
        <v>46100</v>
      </c>
      <c r="C913" s="2" t="s">
        <v>178</v>
      </c>
      <c r="D913" s="3" t="str">
        <f aca="false">INDEX(Vendedores!$C$2:$C$101,MATCH(C913,Vendedores!$A$2:$A$101,0))</f>
        <v>L07</v>
      </c>
      <c r="E913" s="3" t="str">
        <f aca="false">INDEX(Lojas!$E$2:$E$11,MATCH(D913,Lojas!$A$2:$A$11,0))</f>
        <v>Sul</v>
      </c>
      <c r="F913" s="2" t="s">
        <v>270</v>
      </c>
      <c r="G913" s="3" t="str">
        <f aca="false">INDEX(Produtos!$B$2:$B$11,MATCH(F913,Produtos!$A$2:$A$11,0))&amp;" "&amp;INDEX(Produtos!$C$2:$C$11,MATCH(F913,Produtos!$A$2:$A$11,0))</f>
        <v>Controle de Videogame Xbox</v>
      </c>
      <c r="H913" s="2" t="n">
        <v>1</v>
      </c>
      <c r="I913" s="5" t="n">
        <f aca="false">INDEX(Produtos!$D$2:$D$11,MATCH(F913,Produtos!$A$2:$A$11,0))</f>
        <v>349.9</v>
      </c>
      <c r="J913" s="5" t="n">
        <f aca="false">H913*I913</f>
        <v>349.9</v>
      </c>
      <c r="K913" s="5" t="n">
        <f aca="false">INDEX(Produtos!$E$2:$E$11,MATCH(F913,Produtos!$A$2:$A$11,0))</f>
        <v>215</v>
      </c>
      <c r="L913" s="5" t="n">
        <f aca="false">H913*K913</f>
        <v>215</v>
      </c>
    </row>
    <row r="914" customFormat="false" ht="15" hidden="false" customHeight="false" outlineLevel="0" collapsed="false">
      <c r="A914" s="2" t="s">
        <v>1196</v>
      </c>
      <c r="B914" s="8" t="n">
        <v>46100</v>
      </c>
      <c r="C914" s="2" t="s">
        <v>179</v>
      </c>
      <c r="D914" s="3" t="str">
        <f aca="false">INDEX(Vendedores!$C$2:$C$101,MATCH(C914,Vendedores!$A$2:$A$101,0))</f>
        <v>L07</v>
      </c>
      <c r="E914" s="3" t="str">
        <f aca="false">INDEX(Lojas!$E$2:$E$11,MATCH(D914,Lojas!$A$2:$A$11,0))</f>
        <v>Sul</v>
      </c>
      <c r="F914" s="2" t="s">
        <v>267</v>
      </c>
      <c r="G914" s="3" t="str">
        <f aca="false">INDEX(Produtos!$B$2:$B$11,MATCH(F914,Produtos!$A$2:$A$11,0))&amp;" "&amp;INDEX(Produtos!$C$2:$C$11,MATCH(F914,Produtos!$A$2:$A$11,0))</f>
        <v>Carregador de Celular Tipo C</v>
      </c>
      <c r="H914" s="2" t="n">
        <v>1</v>
      </c>
      <c r="I914" s="5" t="n">
        <f aca="false">INDEX(Produtos!$D$2:$D$11,MATCH(F914,Produtos!$A$2:$A$11,0))</f>
        <v>44.9</v>
      </c>
      <c r="J914" s="5" t="n">
        <f aca="false">H914*I914</f>
        <v>44.9</v>
      </c>
      <c r="K914" s="5" t="n">
        <f aca="false">INDEX(Produtos!$E$2:$E$11,MATCH(F914,Produtos!$A$2:$A$11,0))</f>
        <v>18</v>
      </c>
      <c r="L914" s="5" t="n">
        <f aca="false">H914*K914</f>
        <v>18</v>
      </c>
    </row>
    <row r="915" customFormat="false" ht="15" hidden="false" customHeight="false" outlineLevel="0" collapsed="false">
      <c r="A915" s="2" t="s">
        <v>1197</v>
      </c>
      <c r="B915" s="8" t="n">
        <v>46100</v>
      </c>
      <c r="C915" s="2" t="s">
        <v>229</v>
      </c>
      <c r="D915" s="3" t="str">
        <f aca="false">INDEX(Vendedores!$C$2:$C$101,MATCH(C915,Vendedores!$A$2:$A$101,0))</f>
        <v>L10</v>
      </c>
      <c r="E915" s="3" t="str">
        <f aca="false">INDEX(Lojas!$E$2:$E$11,MATCH(D915,Lojas!$A$2:$A$11,0))</f>
        <v>Nordeste</v>
      </c>
      <c r="F915" s="2" t="s">
        <v>252</v>
      </c>
      <c r="G915" s="3" t="str">
        <f aca="false">INDEX(Produtos!$B$2:$B$11,MATCH(F915,Produtos!$A$2:$A$11,0))&amp;" "&amp;INDEX(Produtos!$C$2:$C$11,MATCH(F915,Produtos!$A$2:$A$11,0))</f>
        <v>Notebook Lenovo</v>
      </c>
      <c r="H915" s="2" t="n">
        <v>1</v>
      </c>
      <c r="I915" s="5" t="n">
        <f aca="false">INDEX(Produtos!$D$2:$D$11,MATCH(F915,Produtos!$A$2:$A$11,0))</f>
        <v>3199</v>
      </c>
      <c r="J915" s="5" t="n">
        <f aca="false">H915*I915</f>
        <v>3199</v>
      </c>
      <c r="K915" s="5" t="n">
        <f aca="false">INDEX(Produtos!$E$2:$E$11,MATCH(F915,Produtos!$A$2:$A$11,0))</f>
        <v>2350</v>
      </c>
      <c r="L915" s="5" t="n">
        <f aca="false">H915*K915</f>
        <v>2350</v>
      </c>
    </row>
    <row r="916" customFormat="false" ht="15" hidden="false" customHeight="false" outlineLevel="0" collapsed="false">
      <c r="A916" s="2" t="s">
        <v>1198</v>
      </c>
      <c r="B916" s="8" t="n">
        <v>46101</v>
      </c>
      <c r="C916" s="2" t="s">
        <v>168</v>
      </c>
      <c r="D916" s="3" t="str">
        <f aca="false">INDEX(Vendedores!$C$2:$C$101,MATCH(C916,Vendedores!$A$2:$A$101,0))</f>
        <v>L07</v>
      </c>
      <c r="E916" s="3" t="str">
        <f aca="false">INDEX(Lojas!$E$2:$E$11,MATCH(D916,Lojas!$A$2:$A$11,0))</f>
        <v>Sul</v>
      </c>
      <c r="F916" s="2" t="s">
        <v>270</v>
      </c>
      <c r="G916" s="3" t="str">
        <f aca="false">INDEX(Produtos!$B$2:$B$11,MATCH(F916,Produtos!$A$2:$A$11,0))&amp;" "&amp;INDEX(Produtos!$C$2:$C$11,MATCH(F916,Produtos!$A$2:$A$11,0))</f>
        <v>Controle de Videogame Xbox</v>
      </c>
      <c r="H916" s="2" t="n">
        <v>1</v>
      </c>
      <c r="I916" s="5" t="n">
        <f aca="false">INDEX(Produtos!$D$2:$D$11,MATCH(F916,Produtos!$A$2:$A$11,0))</f>
        <v>349.9</v>
      </c>
      <c r="J916" s="5" t="n">
        <f aca="false">H916*I916</f>
        <v>349.9</v>
      </c>
      <c r="K916" s="5" t="n">
        <f aca="false">INDEX(Produtos!$E$2:$E$11,MATCH(F916,Produtos!$A$2:$A$11,0))</f>
        <v>215</v>
      </c>
      <c r="L916" s="5" t="n">
        <f aca="false">H916*K916</f>
        <v>215</v>
      </c>
    </row>
    <row r="917" customFormat="false" ht="15" hidden="false" customHeight="false" outlineLevel="0" collapsed="false">
      <c r="A917" s="2" t="s">
        <v>1199</v>
      </c>
      <c r="B917" s="8" t="n">
        <v>46101</v>
      </c>
      <c r="C917" s="2" t="s">
        <v>112</v>
      </c>
      <c r="D917" s="3" t="str">
        <f aca="false">INDEX(Vendedores!$C$2:$C$101,MATCH(C917,Vendedores!$A$2:$A$101,0))</f>
        <v>L04</v>
      </c>
      <c r="E917" s="3" t="str">
        <f aca="false">INDEX(Lojas!$E$2:$E$11,MATCH(D917,Lojas!$A$2:$A$11,0))</f>
        <v>Sudeste</v>
      </c>
      <c r="F917" s="2" t="s">
        <v>257</v>
      </c>
      <c r="G917" s="3" t="str">
        <f aca="false">INDEX(Produtos!$B$2:$B$11,MATCH(F917,Produtos!$A$2:$A$11,0))&amp;" "&amp;INDEX(Produtos!$C$2:$C$11,MATCH(F917,Produtos!$A$2:$A$11,0))</f>
        <v>Celular Samsung</v>
      </c>
      <c r="H917" s="2" t="n">
        <v>1</v>
      </c>
      <c r="I917" s="5" t="n">
        <f aca="false">INDEX(Produtos!$D$2:$D$11,MATCH(F917,Produtos!$A$2:$A$11,0))</f>
        <v>2499</v>
      </c>
      <c r="J917" s="5" t="n">
        <f aca="false">H917*I917</f>
        <v>2499</v>
      </c>
      <c r="K917" s="5" t="n">
        <f aca="false">INDEX(Produtos!$E$2:$E$11,MATCH(F917,Produtos!$A$2:$A$11,0))</f>
        <v>1800</v>
      </c>
      <c r="L917" s="5" t="n">
        <f aca="false">H917*K917</f>
        <v>1800</v>
      </c>
    </row>
    <row r="918" customFormat="false" ht="15" hidden="false" customHeight="false" outlineLevel="0" collapsed="false">
      <c r="A918" s="2" t="s">
        <v>1200</v>
      </c>
      <c r="B918" s="8" t="n">
        <v>46101</v>
      </c>
      <c r="C918" s="2" t="s">
        <v>174</v>
      </c>
      <c r="D918" s="3" t="str">
        <f aca="false">INDEX(Vendedores!$C$2:$C$101,MATCH(C918,Vendedores!$A$2:$A$101,0))</f>
        <v>L07</v>
      </c>
      <c r="E918" s="3" t="str">
        <f aca="false">INDEX(Lojas!$E$2:$E$11,MATCH(D918,Lojas!$A$2:$A$11,0))</f>
        <v>Sul</v>
      </c>
      <c r="F918" s="2" t="s">
        <v>262</v>
      </c>
      <c r="G918" s="3" t="str">
        <f aca="false">INDEX(Produtos!$B$2:$B$11,MATCH(F918,Produtos!$A$2:$A$11,0))&amp;" "&amp;INDEX(Produtos!$C$2:$C$11,MATCH(F918,Produtos!$A$2:$A$11,0))</f>
        <v>Fone de Ouvido De Celular</v>
      </c>
      <c r="H918" s="2" t="n">
        <v>1</v>
      </c>
      <c r="I918" s="5" t="n">
        <f aca="false">INDEX(Produtos!$D$2:$D$11,MATCH(F918,Produtos!$A$2:$A$11,0))</f>
        <v>59.9</v>
      </c>
      <c r="J918" s="5" t="n">
        <f aca="false">H918*I918</f>
        <v>59.9</v>
      </c>
      <c r="K918" s="5" t="n">
        <f aca="false">INDEX(Produtos!$E$2:$E$11,MATCH(F918,Produtos!$A$2:$A$11,0))</f>
        <v>28</v>
      </c>
      <c r="L918" s="5" t="n">
        <f aca="false">H918*K918</f>
        <v>28</v>
      </c>
    </row>
    <row r="919" customFormat="false" ht="15" hidden="false" customHeight="false" outlineLevel="0" collapsed="false">
      <c r="A919" s="2" t="s">
        <v>1201</v>
      </c>
      <c r="B919" s="8" t="n">
        <v>46101</v>
      </c>
      <c r="C919" s="2" t="s">
        <v>137</v>
      </c>
      <c r="D919" s="3" t="str">
        <f aca="false">INDEX(Vendedores!$C$2:$C$101,MATCH(C919,Vendedores!$A$2:$A$101,0))</f>
        <v>L05</v>
      </c>
      <c r="E919" s="3" t="str">
        <f aca="false">INDEX(Lojas!$E$2:$E$11,MATCH(D919,Lojas!$A$2:$A$11,0))</f>
        <v>Sul</v>
      </c>
      <c r="F919" s="2" t="s">
        <v>270</v>
      </c>
      <c r="G919" s="3" t="str">
        <f aca="false">INDEX(Produtos!$B$2:$B$11,MATCH(F919,Produtos!$A$2:$A$11,0))&amp;" "&amp;INDEX(Produtos!$C$2:$C$11,MATCH(F919,Produtos!$A$2:$A$11,0))</f>
        <v>Controle de Videogame Xbox</v>
      </c>
      <c r="H919" s="2" t="n">
        <v>1</v>
      </c>
      <c r="I919" s="5" t="n">
        <f aca="false">INDEX(Produtos!$D$2:$D$11,MATCH(F919,Produtos!$A$2:$A$11,0))</f>
        <v>349.9</v>
      </c>
      <c r="J919" s="5" t="n">
        <f aca="false">H919*I919</f>
        <v>349.9</v>
      </c>
      <c r="K919" s="5" t="n">
        <f aca="false">INDEX(Produtos!$E$2:$E$11,MATCH(F919,Produtos!$A$2:$A$11,0))</f>
        <v>215</v>
      </c>
      <c r="L919" s="5" t="n">
        <f aca="false">H919*K919</f>
        <v>215</v>
      </c>
    </row>
    <row r="920" customFormat="false" ht="15" hidden="false" customHeight="false" outlineLevel="0" collapsed="false">
      <c r="A920" s="2" t="s">
        <v>1202</v>
      </c>
      <c r="B920" s="8" t="n">
        <v>46101</v>
      </c>
      <c r="C920" s="2" t="s">
        <v>179</v>
      </c>
      <c r="D920" s="3" t="str">
        <f aca="false">INDEX(Vendedores!$C$2:$C$101,MATCH(C920,Vendedores!$A$2:$A$101,0))</f>
        <v>L07</v>
      </c>
      <c r="E920" s="3" t="str">
        <f aca="false">INDEX(Lojas!$E$2:$E$11,MATCH(D920,Lojas!$A$2:$A$11,0))</f>
        <v>Sul</v>
      </c>
      <c r="F920" s="2" t="s">
        <v>273</v>
      </c>
      <c r="G920" s="3" t="str">
        <f aca="false">INDEX(Produtos!$B$2:$B$11,MATCH(F920,Produtos!$A$2:$A$11,0))&amp;" "&amp;INDEX(Produtos!$C$2:$C$11,MATCH(F920,Produtos!$A$2:$A$11,0))</f>
        <v>Controle de Videogame PS4</v>
      </c>
      <c r="H920" s="2" t="n">
        <v>1</v>
      </c>
      <c r="I920" s="5" t="n">
        <f aca="false">INDEX(Produtos!$D$2:$D$11,MATCH(F920,Produtos!$A$2:$A$11,0))</f>
        <v>299.9</v>
      </c>
      <c r="J920" s="5" t="n">
        <f aca="false">H920*I920</f>
        <v>299.9</v>
      </c>
      <c r="K920" s="5" t="n">
        <f aca="false">INDEX(Produtos!$E$2:$E$11,MATCH(F920,Produtos!$A$2:$A$11,0))</f>
        <v>175</v>
      </c>
      <c r="L920" s="5" t="n">
        <f aca="false">H920*K920</f>
        <v>175</v>
      </c>
    </row>
    <row r="921" customFormat="false" ht="15" hidden="false" customHeight="false" outlineLevel="0" collapsed="false">
      <c r="A921" s="2" t="s">
        <v>1203</v>
      </c>
      <c r="B921" s="8" t="n">
        <v>46101</v>
      </c>
      <c r="C921" s="2" t="s">
        <v>70</v>
      </c>
      <c r="D921" s="3" t="str">
        <f aca="false">INDEX(Vendedores!$C$2:$C$101,MATCH(C921,Vendedores!$A$2:$A$101,0))</f>
        <v>L02</v>
      </c>
      <c r="E921" s="3" t="str">
        <f aca="false">INDEX(Lojas!$E$2:$E$11,MATCH(D921,Lojas!$A$2:$A$11,0))</f>
        <v>Sudeste</v>
      </c>
      <c r="F921" s="2" t="s">
        <v>252</v>
      </c>
      <c r="G921" s="3" t="str">
        <f aca="false">INDEX(Produtos!$B$2:$B$11,MATCH(F921,Produtos!$A$2:$A$11,0))&amp;" "&amp;INDEX(Produtos!$C$2:$C$11,MATCH(F921,Produtos!$A$2:$A$11,0))</f>
        <v>Notebook Lenovo</v>
      </c>
      <c r="H921" s="2" t="n">
        <v>1</v>
      </c>
      <c r="I921" s="5" t="n">
        <f aca="false">INDEX(Produtos!$D$2:$D$11,MATCH(F921,Produtos!$A$2:$A$11,0))</f>
        <v>3199</v>
      </c>
      <c r="J921" s="5" t="n">
        <f aca="false">H921*I921</f>
        <v>3199</v>
      </c>
      <c r="K921" s="5" t="n">
        <f aca="false">INDEX(Produtos!$E$2:$E$11,MATCH(F921,Produtos!$A$2:$A$11,0))</f>
        <v>2350</v>
      </c>
      <c r="L921" s="5" t="n">
        <f aca="false">H921*K921</f>
        <v>2350</v>
      </c>
    </row>
    <row r="922" customFormat="false" ht="15" hidden="false" customHeight="false" outlineLevel="0" collapsed="false">
      <c r="A922" s="2" t="s">
        <v>1204</v>
      </c>
      <c r="B922" s="8" t="n">
        <v>46101</v>
      </c>
      <c r="C922" s="2" t="s">
        <v>233</v>
      </c>
      <c r="D922" s="3" t="str">
        <f aca="false">INDEX(Vendedores!$C$2:$C$101,MATCH(C922,Vendedores!$A$2:$A$101,0))</f>
        <v>L10</v>
      </c>
      <c r="E922" s="3" t="str">
        <f aca="false">INDEX(Lojas!$E$2:$E$11,MATCH(D922,Lojas!$A$2:$A$11,0))</f>
        <v>Nordeste</v>
      </c>
      <c r="F922" s="2" t="s">
        <v>267</v>
      </c>
      <c r="G922" s="3" t="str">
        <f aca="false">INDEX(Produtos!$B$2:$B$11,MATCH(F922,Produtos!$A$2:$A$11,0))&amp;" "&amp;INDEX(Produtos!$C$2:$C$11,MATCH(F922,Produtos!$A$2:$A$11,0))</f>
        <v>Carregador de Celular Tipo C</v>
      </c>
      <c r="H922" s="2" t="n">
        <v>1</v>
      </c>
      <c r="I922" s="5" t="n">
        <f aca="false">INDEX(Produtos!$D$2:$D$11,MATCH(F922,Produtos!$A$2:$A$11,0))</f>
        <v>44.9</v>
      </c>
      <c r="J922" s="5" t="n">
        <f aca="false">H922*I922</f>
        <v>44.9</v>
      </c>
      <c r="K922" s="5" t="n">
        <f aca="false">INDEX(Produtos!$E$2:$E$11,MATCH(F922,Produtos!$A$2:$A$11,0))</f>
        <v>18</v>
      </c>
      <c r="L922" s="5" t="n">
        <f aca="false">H922*K922</f>
        <v>18</v>
      </c>
    </row>
    <row r="923" customFormat="false" ht="15" hidden="false" customHeight="false" outlineLevel="0" collapsed="false">
      <c r="A923" s="2" t="s">
        <v>1205</v>
      </c>
      <c r="B923" s="8" t="n">
        <v>46101</v>
      </c>
      <c r="C923" s="2" t="s">
        <v>144</v>
      </c>
      <c r="D923" s="3" t="str">
        <f aca="false">INDEX(Vendedores!$C$2:$C$101,MATCH(C923,Vendedores!$A$2:$A$101,0))</f>
        <v>L05</v>
      </c>
      <c r="E923" s="3" t="str">
        <f aca="false">INDEX(Lojas!$E$2:$E$11,MATCH(D923,Lojas!$A$2:$A$11,0))</f>
        <v>Sul</v>
      </c>
      <c r="F923" s="2" t="s">
        <v>252</v>
      </c>
      <c r="G923" s="3" t="str">
        <f aca="false">INDEX(Produtos!$B$2:$B$11,MATCH(F923,Produtos!$A$2:$A$11,0))&amp;" "&amp;INDEX(Produtos!$C$2:$C$11,MATCH(F923,Produtos!$A$2:$A$11,0))</f>
        <v>Notebook Lenovo</v>
      </c>
      <c r="H923" s="2" t="n">
        <v>1</v>
      </c>
      <c r="I923" s="5" t="n">
        <f aca="false">INDEX(Produtos!$D$2:$D$11,MATCH(F923,Produtos!$A$2:$A$11,0))</f>
        <v>3199</v>
      </c>
      <c r="J923" s="5" t="n">
        <f aca="false">H923*I923</f>
        <v>3199</v>
      </c>
      <c r="K923" s="5" t="n">
        <f aca="false">INDEX(Produtos!$E$2:$E$11,MATCH(F923,Produtos!$A$2:$A$11,0))</f>
        <v>2350</v>
      </c>
      <c r="L923" s="5" t="n">
        <f aca="false">H923*K923</f>
        <v>2350</v>
      </c>
    </row>
    <row r="924" customFormat="false" ht="15" hidden="false" customHeight="false" outlineLevel="0" collapsed="false">
      <c r="A924" s="2" t="s">
        <v>1206</v>
      </c>
      <c r="B924" s="8" t="n">
        <v>46101</v>
      </c>
      <c r="C924" s="2" t="s">
        <v>64</v>
      </c>
      <c r="D924" s="3" t="str">
        <f aca="false">INDEX(Vendedores!$C$2:$C$101,MATCH(C924,Vendedores!$A$2:$A$101,0))</f>
        <v>L01</v>
      </c>
      <c r="E924" s="3" t="str">
        <f aca="false">INDEX(Lojas!$E$2:$E$11,MATCH(D924,Lojas!$A$2:$A$11,0))</f>
        <v>Sudeste</v>
      </c>
      <c r="F924" s="2" t="s">
        <v>262</v>
      </c>
      <c r="G924" s="3" t="str">
        <f aca="false">INDEX(Produtos!$B$2:$B$11,MATCH(F924,Produtos!$A$2:$A$11,0))&amp;" "&amp;INDEX(Produtos!$C$2:$C$11,MATCH(F924,Produtos!$A$2:$A$11,0))</f>
        <v>Fone de Ouvido De Celular</v>
      </c>
      <c r="H924" s="2" t="n">
        <v>2</v>
      </c>
      <c r="I924" s="5" t="n">
        <f aca="false">INDEX(Produtos!$D$2:$D$11,MATCH(F924,Produtos!$A$2:$A$11,0))</f>
        <v>59.9</v>
      </c>
      <c r="J924" s="5" t="n">
        <f aca="false">H924*I924</f>
        <v>119.8</v>
      </c>
      <c r="K924" s="5" t="n">
        <f aca="false">INDEX(Produtos!$E$2:$E$11,MATCH(F924,Produtos!$A$2:$A$11,0))</f>
        <v>28</v>
      </c>
      <c r="L924" s="5" t="n">
        <f aca="false">H924*K924</f>
        <v>56</v>
      </c>
    </row>
    <row r="925" customFormat="false" ht="15" hidden="false" customHeight="false" outlineLevel="0" collapsed="false">
      <c r="A925" s="2" t="s">
        <v>1207</v>
      </c>
      <c r="B925" s="8" t="n">
        <v>46101</v>
      </c>
      <c r="C925" s="2" t="s">
        <v>94</v>
      </c>
      <c r="D925" s="3" t="str">
        <f aca="false">INDEX(Vendedores!$C$2:$C$101,MATCH(C925,Vendedores!$A$2:$A$101,0))</f>
        <v>L03</v>
      </c>
      <c r="E925" s="3" t="str">
        <f aca="false">INDEX(Lojas!$E$2:$E$11,MATCH(D925,Lojas!$A$2:$A$11,0))</f>
        <v>Sudeste</v>
      </c>
      <c r="F925" s="2" t="s">
        <v>273</v>
      </c>
      <c r="G925" s="3" t="str">
        <f aca="false">INDEX(Produtos!$B$2:$B$11,MATCH(F925,Produtos!$A$2:$A$11,0))&amp;" "&amp;INDEX(Produtos!$C$2:$C$11,MATCH(F925,Produtos!$A$2:$A$11,0))</f>
        <v>Controle de Videogame PS4</v>
      </c>
      <c r="H925" s="2" t="n">
        <v>3</v>
      </c>
      <c r="I925" s="5" t="n">
        <f aca="false">INDEX(Produtos!$D$2:$D$11,MATCH(F925,Produtos!$A$2:$A$11,0))</f>
        <v>299.9</v>
      </c>
      <c r="J925" s="5" t="n">
        <f aca="false">H925*I925</f>
        <v>899.7</v>
      </c>
      <c r="K925" s="5" t="n">
        <f aca="false">INDEX(Produtos!$E$2:$E$11,MATCH(F925,Produtos!$A$2:$A$11,0))</f>
        <v>175</v>
      </c>
      <c r="L925" s="5" t="n">
        <f aca="false">H925*K925</f>
        <v>525</v>
      </c>
    </row>
    <row r="926" customFormat="false" ht="15" hidden="false" customHeight="false" outlineLevel="0" collapsed="false">
      <c r="A926" s="2" t="s">
        <v>1208</v>
      </c>
      <c r="B926" s="8" t="n">
        <v>46101</v>
      </c>
      <c r="C926" s="2" t="s">
        <v>60</v>
      </c>
      <c r="D926" s="3" t="str">
        <f aca="false">INDEX(Vendedores!$C$2:$C$101,MATCH(C926,Vendedores!$A$2:$A$101,0))</f>
        <v>L01</v>
      </c>
      <c r="E926" s="3" t="str">
        <f aca="false">INDEX(Lojas!$E$2:$E$11,MATCH(D926,Lojas!$A$2:$A$11,0))</f>
        <v>Sudeste</v>
      </c>
      <c r="F926" s="2" t="s">
        <v>265</v>
      </c>
      <c r="G926" s="3" t="str">
        <f aca="false">INDEX(Produtos!$B$2:$B$11,MATCH(F926,Produtos!$A$2:$A$11,0))&amp;" "&amp;INDEX(Produtos!$C$2:$C$11,MATCH(F926,Produtos!$A$2:$A$11,0))</f>
        <v>Fone de Ouvido Headset</v>
      </c>
      <c r="H926" s="2" t="n">
        <v>1</v>
      </c>
      <c r="I926" s="5" t="n">
        <f aca="false">INDEX(Produtos!$D$2:$D$11,MATCH(F926,Produtos!$A$2:$A$11,0))</f>
        <v>249.9</v>
      </c>
      <c r="J926" s="5" t="n">
        <f aca="false">H926*I926</f>
        <v>249.9</v>
      </c>
      <c r="K926" s="5" t="n">
        <f aca="false">INDEX(Produtos!$E$2:$E$11,MATCH(F926,Produtos!$A$2:$A$11,0))</f>
        <v>145</v>
      </c>
      <c r="L926" s="5" t="n">
        <f aca="false">H926*K926</f>
        <v>145</v>
      </c>
    </row>
    <row r="927" customFormat="false" ht="15" hidden="false" customHeight="false" outlineLevel="0" collapsed="false">
      <c r="A927" s="2" t="s">
        <v>1209</v>
      </c>
      <c r="B927" s="8" t="n">
        <v>46101</v>
      </c>
      <c r="C927" s="2" t="s">
        <v>104</v>
      </c>
      <c r="D927" s="3" t="str">
        <f aca="false">INDEX(Vendedores!$C$2:$C$101,MATCH(C927,Vendedores!$A$2:$A$101,0))</f>
        <v>L03</v>
      </c>
      <c r="E927" s="3" t="str">
        <f aca="false">INDEX(Lojas!$E$2:$E$11,MATCH(D927,Lojas!$A$2:$A$11,0))</f>
        <v>Sudeste</v>
      </c>
      <c r="F927" s="2" t="s">
        <v>252</v>
      </c>
      <c r="G927" s="3" t="str">
        <f aca="false">INDEX(Produtos!$B$2:$B$11,MATCH(F927,Produtos!$A$2:$A$11,0))&amp;" "&amp;INDEX(Produtos!$C$2:$C$11,MATCH(F927,Produtos!$A$2:$A$11,0))</f>
        <v>Notebook Lenovo</v>
      </c>
      <c r="H927" s="2" t="n">
        <v>1</v>
      </c>
      <c r="I927" s="5" t="n">
        <f aca="false">INDEX(Produtos!$D$2:$D$11,MATCH(F927,Produtos!$A$2:$A$11,0))</f>
        <v>3199</v>
      </c>
      <c r="J927" s="5" t="n">
        <f aca="false">H927*I927</f>
        <v>3199</v>
      </c>
      <c r="K927" s="5" t="n">
        <f aca="false">INDEX(Produtos!$E$2:$E$11,MATCH(F927,Produtos!$A$2:$A$11,0))</f>
        <v>2350</v>
      </c>
      <c r="L927" s="5" t="n">
        <f aca="false">H927*K927</f>
        <v>2350</v>
      </c>
    </row>
    <row r="928" customFormat="false" ht="15" hidden="false" customHeight="false" outlineLevel="0" collapsed="false">
      <c r="A928" s="2" t="s">
        <v>1210</v>
      </c>
      <c r="B928" s="8" t="n">
        <v>46101</v>
      </c>
      <c r="C928" s="2" t="s">
        <v>227</v>
      </c>
      <c r="D928" s="3" t="str">
        <f aca="false">INDEX(Vendedores!$C$2:$C$101,MATCH(C928,Vendedores!$A$2:$A$101,0))</f>
        <v>L10</v>
      </c>
      <c r="E928" s="3" t="str">
        <f aca="false">INDEX(Lojas!$E$2:$E$11,MATCH(D928,Lojas!$A$2:$A$11,0))</f>
        <v>Nordeste</v>
      </c>
      <c r="F928" s="2" t="s">
        <v>255</v>
      </c>
      <c r="G928" s="3" t="str">
        <f aca="false">INDEX(Produtos!$B$2:$B$11,MATCH(F928,Produtos!$A$2:$A$11,0))&amp;" "&amp;INDEX(Produtos!$C$2:$C$11,MATCH(F928,Produtos!$A$2:$A$11,0))</f>
        <v>Notebook Positivo</v>
      </c>
      <c r="H928" s="2" t="n">
        <v>1</v>
      </c>
      <c r="I928" s="5" t="n">
        <f aca="false">INDEX(Produtos!$D$2:$D$11,MATCH(F928,Produtos!$A$2:$A$11,0))</f>
        <v>2199</v>
      </c>
      <c r="J928" s="5" t="n">
        <f aca="false">H928*I928</f>
        <v>2199</v>
      </c>
      <c r="K928" s="5" t="n">
        <f aca="false">INDEX(Produtos!$E$2:$E$11,MATCH(F928,Produtos!$A$2:$A$11,0))</f>
        <v>1550</v>
      </c>
      <c r="L928" s="5" t="n">
        <f aca="false">H928*K928</f>
        <v>1550</v>
      </c>
    </row>
    <row r="929" customFormat="false" ht="15" hidden="false" customHeight="false" outlineLevel="0" collapsed="false">
      <c r="A929" s="2" t="s">
        <v>1211</v>
      </c>
      <c r="B929" s="8" t="n">
        <v>46101</v>
      </c>
      <c r="C929" s="2" t="s">
        <v>78</v>
      </c>
      <c r="D929" s="3" t="str">
        <f aca="false">INDEX(Vendedores!$C$2:$C$101,MATCH(C929,Vendedores!$A$2:$A$101,0))</f>
        <v>L02</v>
      </c>
      <c r="E929" s="3" t="str">
        <f aca="false">INDEX(Lojas!$E$2:$E$11,MATCH(D929,Lojas!$A$2:$A$11,0))</f>
        <v>Sudeste</v>
      </c>
      <c r="F929" s="2" t="s">
        <v>273</v>
      </c>
      <c r="G929" s="3" t="str">
        <f aca="false">INDEX(Produtos!$B$2:$B$11,MATCH(F929,Produtos!$A$2:$A$11,0))&amp;" "&amp;INDEX(Produtos!$C$2:$C$11,MATCH(F929,Produtos!$A$2:$A$11,0))</f>
        <v>Controle de Videogame PS4</v>
      </c>
      <c r="H929" s="2" t="n">
        <v>1</v>
      </c>
      <c r="I929" s="5" t="n">
        <f aca="false">INDEX(Produtos!$D$2:$D$11,MATCH(F929,Produtos!$A$2:$A$11,0))</f>
        <v>299.9</v>
      </c>
      <c r="J929" s="5" t="n">
        <f aca="false">H929*I929</f>
        <v>299.9</v>
      </c>
      <c r="K929" s="5" t="n">
        <f aca="false">INDEX(Produtos!$E$2:$E$11,MATCH(F929,Produtos!$A$2:$A$11,0))</f>
        <v>175</v>
      </c>
      <c r="L929" s="5" t="n">
        <f aca="false">H929*K929</f>
        <v>175</v>
      </c>
    </row>
    <row r="930" customFormat="false" ht="15" hidden="false" customHeight="false" outlineLevel="0" collapsed="false">
      <c r="A930" s="2" t="s">
        <v>1212</v>
      </c>
      <c r="B930" s="8" t="n">
        <v>46101</v>
      </c>
      <c r="C930" s="2" t="s">
        <v>98</v>
      </c>
      <c r="D930" s="3" t="str">
        <f aca="false">INDEX(Vendedores!$C$2:$C$101,MATCH(C930,Vendedores!$A$2:$A$101,0))</f>
        <v>L03</v>
      </c>
      <c r="E930" s="3" t="str">
        <f aca="false">INDEX(Lojas!$E$2:$E$11,MATCH(D930,Lojas!$A$2:$A$11,0))</f>
        <v>Sudeste</v>
      </c>
      <c r="F930" s="2" t="s">
        <v>262</v>
      </c>
      <c r="G930" s="3" t="str">
        <f aca="false">INDEX(Produtos!$B$2:$B$11,MATCH(F930,Produtos!$A$2:$A$11,0))&amp;" "&amp;INDEX(Produtos!$C$2:$C$11,MATCH(F930,Produtos!$A$2:$A$11,0))</f>
        <v>Fone de Ouvido De Celular</v>
      </c>
      <c r="H930" s="2" t="n">
        <v>1</v>
      </c>
      <c r="I930" s="5" t="n">
        <f aca="false">INDEX(Produtos!$D$2:$D$11,MATCH(F930,Produtos!$A$2:$A$11,0))</f>
        <v>59.9</v>
      </c>
      <c r="J930" s="5" t="n">
        <f aca="false">H930*I930</f>
        <v>59.9</v>
      </c>
      <c r="K930" s="5" t="n">
        <f aca="false">INDEX(Produtos!$E$2:$E$11,MATCH(F930,Produtos!$A$2:$A$11,0))</f>
        <v>28</v>
      </c>
      <c r="L930" s="5" t="n">
        <f aca="false">H930*K930</f>
        <v>28</v>
      </c>
    </row>
    <row r="931" customFormat="false" ht="15" hidden="false" customHeight="false" outlineLevel="0" collapsed="false">
      <c r="A931" s="2" t="s">
        <v>1213</v>
      </c>
      <c r="B931" s="8" t="n">
        <v>46101</v>
      </c>
      <c r="C931" s="2" t="s">
        <v>82</v>
      </c>
      <c r="D931" s="3" t="str">
        <f aca="false">INDEX(Vendedores!$C$2:$C$101,MATCH(C931,Vendedores!$A$2:$A$101,0))</f>
        <v>L02</v>
      </c>
      <c r="E931" s="3" t="str">
        <f aca="false">INDEX(Lojas!$E$2:$E$11,MATCH(D931,Lojas!$A$2:$A$11,0))</f>
        <v>Sudeste</v>
      </c>
      <c r="F931" s="2" t="s">
        <v>265</v>
      </c>
      <c r="G931" s="3" t="str">
        <f aca="false">INDEX(Produtos!$B$2:$B$11,MATCH(F931,Produtos!$A$2:$A$11,0))&amp;" "&amp;INDEX(Produtos!$C$2:$C$11,MATCH(F931,Produtos!$A$2:$A$11,0))</f>
        <v>Fone de Ouvido Headset</v>
      </c>
      <c r="H931" s="2" t="n">
        <v>1</v>
      </c>
      <c r="I931" s="5" t="n">
        <f aca="false">INDEX(Produtos!$D$2:$D$11,MATCH(F931,Produtos!$A$2:$A$11,0))</f>
        <v>249.9</v>
      </c>
      <c r="J931" s="5" t="n">
        <f aca="false">H931*I931</f>
        <v>249.9</v>
      </c>
      <c r="K931" s="5" t="n">
        <f aca="false">INDEX(Produtos!$E$2:$E$11,MATCH(F931,Produtos!$A$2:$A$11,0))</f>
        <v>145</v>
      </c>
      <c r="L931" s="5" t="n">
        <f aca="false">H931*K931</f>
        <v>145</v>
      </c>
    </row>
    <row r="932" customFormat="false" ht="15" hidden="false" customHeight="false" outlineLevel="0" collapsed="false">
      <c r="A932" s="2" t="s">
        <v>1214</v>
      </c>
      <c r="B932" s="8" t="n">
        <v>46101</v>
      </c>
      <c r="C932" s="2" t="s">
        <v>56</v>
      </c>
      <c r="D932" s="3" t="str">
        <f aca="false">INDEX(Vendedores!$C$2:$C$101,MATCH(C932,Vendedores!$A$2:$A$101,0))</f>
        <v>L01</v>
      </c>
      <c r="E932" s="3" t="str">
        <f aca="false">INDEX(Lojas!$E$2:$E$11,MATCH(D932,Lojas!$A$2:$A$11,0))</f>
        <v>Sudeste</v>
      </c>
      <c r="F932" s="2" t="s">
        <v>270</v>
      </c>
      <c r="G932" s="3" t="str">
        <f aca="false">INDEX(Produtos!$B$2:$B$11,MATCH(F932,Produtos!$A$2:$A$11,0))&amp;" "&amp;INDEX(Produtos!$C$2:$C$11,MATCH(F932,Produtos!$A$2:$A$11,0))</f>
        <v>Controle de Videogame Xbox</v>
      </c>
      <c r="H932" s="2" t="n">
        <v>2</v>
      </c>
      <c r="I932" s="5" t="n">
        <f aca="false">INDEX(Produtos!$D$2:$D$11,MATCH(F932,Produtos!$A$2:$A$11,0))</f>
        <v>349.9</v>
      </c>
      <c r="J932" s="5" t="n">
        <f aca="false">H932*I932</f>
        <v>699.8</v>
      </c>
      <c r="K932" s="5" t="n">
        <f aca="false">INDEX(Produtos!$E$2:$E$11,MATCH(F932,Produtos!$A$2:$A$11,0))</f>
        <v>215</v>
      </c>
      <c r="L932" s="5" t="n">
        <f aca="false">H932*K932</f>
        <v>430</v>
      </c>
    </row>
    <row r="933" customFormat="false" ht="15" hidden="false" customHeight="false" outlineLevel="0" collapsed="false">
      <c r="A933" s="2" t="s">
        <v>1215</v>
      </c>
      <c r="B933" s="8" t="n">
        <v>46101</v>
      </c>
      <c r="C933" s="2" t="s">
        <v>211</v>
      </c>
      <c r="D933" s="3" t="str">
        <f aca="false">INDEX(Vendedores!$C$2:$C$101,MATCH(C933,Vendedores!$A$2:$A$101,0))</f>
        <v>L09</v>
      </c>
      <c r="E933" s="3" t="str">
        <f aca="false">INDEX(Lojas!$E$2:$E$11,MATCH(D933,Lojas!$A$2:$A$11,0))</f>
        <v>Nordeste</v>
      </c>
      <c r="F933" s="2" t="s">
        <v>267</v>
      </c>
      <c r="G933" s="3" t="str">
        <f aca="false">INDEX(Produtos!$B$2:$B$11,MATCH(F933,Produtos!$A$2:$A$11,0))&amp;" "&amp;INDEX(Produtos!$C$2:$C$11,MATCH(F933,Produtos!$A$2:$A$11,0))</f>
        <v>Carregador de Celular Tipo C</v>
      </c>
      <c r="H933" s="2" t="n">
        <v>1</v>
      </c>
      <c r="I933" s="5" t="n">
        <f aca="false">INDEX(Produtos!$D$2:$D$11,MATCH(F933,Produtos!$A$2:$A$11,0))</f>
        <v>44.9</v>
      </c>
      <c r="J933" s="5" t="n">
        <f aca="false">H933*I933</f>
        <v>44.9</v>
      </c>
      <c r="K933" s="5" t="n">
        <f aca="false">INDEX(Produtos!$E$2:$E$11,MATCH(F933,Produtos!$A$2:$A$11,0))</f>
        <v>18</v>
      </c>
      <c r="L933" s="5" t="n">
        <f aca="false">H933*K933</f>
        <v>18</v>
      </c>
    </row>
    <row r="934" customFormat="false" ht="15" hidden="false" customHeight="false" outlineLevel="0" collapsed="false">
      <c r="A934" s="2" t="s">
        <v>1216</v>
      </c>
      <c r="B934" s="8" t="n">
        <v>46102</v>
      </c>
      <c r="C934" s="2" t="s">
        <v>60</v>
      </c>
      <c r="D934" s="3" t="str">
        <f aca="false">INDEX(Vendedores!$C$2:$C$101,MATCH(C934,Vendedores!$A$2:$A$101,0))</f>
        <v>L01</v>
      </c>
      <c r="E934" s="3" t="str">
        <f aca="false">INDEX(Lojas!$E$2:$E$11,MATCH(D934,Lojas!$A$2:$A$11,0))</f>
        <v>Sudeste</v>
      </c>
      <c r="F934" s="2" t="s">
        <v>255</v>
      </c>
      <c r="G934" s="3" t="str">
        <f aca="false">INDEX(Produtos!$B$2:$B$11,MATCH(F934,Produtos!$A$2:$A$11,0))&amp;" "&amp;INDEX(Produtos!$C$2:$C$11,MATCH(F934,Produtos!$A$2:$A$11,0))</f>
        <v>Notebook Positivo</v>
      </c>
      <c r="H934" s="2" t="n">
        <v>1</v>
      </c>
      <c r="I934" s="5" t="n">
        <f aca="false">INDEX(Produtos!$D$2:$D$11,MATCH(F934,Produtos!$A$2:$A$11,0))</f>
        <v>2199</v>
      </c>
      <c r="J934" s="5" t="n">
        <f aca="false">H934*I934</f>
        <v>2199</v>
      </c>
      <c r="K934" s="5" t="n">
        <f aca="false">INDEX(Produtos!$E$2:$E$11,MATCH(F934,Produtos!$A$2:$A$11,0))</f>
        <v>1550</v>
      </c>
      <c r="L934" s="5" t="n">
        <f aca="false">H934*K934</f>
        <v>1550</v>
      </c>
    </row>
    <row r="935" customFormat="false" ht="15" hidden="false" customHeight="false" outlineLevel="0" collapsed="false">
      <c r="A935" s="2" t="s">
        <v>1217</v>
      </c>
      <c r="B935" s="8" t="n">
        <v>46102</v>
      </c>
      <c r="C935" s="2" t="s">
        <v>172</v>
      </c>
      <c r="D935" s="3" t="str">
        <f aca="false">INDEX(Vendedores!$C$2:$C$101,MATCH(C935,Vendedores!$A$2:$A$101,0))</f>
        <v>L07</v>
      </c>
      <c r="E935" s="3" t="str">
        <f aca="false">INDEX(Lojas!$E$2:$E$11,MATCH(D935,Lojas!$A$2:$A$11,0))</f>
        <v>Sul</v>
      </c>
      <c r="F935" s="2" t="s">
        <v>275</v>
      </c>
      <c r="G935" s="3" t="str">
        <f aca="false">INDEX(Produtos!$B$2:$B$11,MATCH(F935,Produtos!$A$2:$A$11,0))&amp;" "&amp;INDEX(Produtos!$C$2:$C$11,MATCH(F935,Produtos!$A$2:$A$11,0))</f>
        <v>Controle de Videogame PS5</v>
      </c>
      <c r="H935" s="2" t="n">
        <v>1</v>
      </c>
      <c r="I935" s="5" t="n">
        <f aca="false">INDEX(Produtos!$D$2:$D$11,MATCH(F935,Produtos!$A$2:$A$11,0))</f>
        <v>379.9</v>
      </c>
      <c r="J935" s="5" t="n">
        <f aca="false">H935*I935</f>
        <v>379.9</v>
      </c>
      <c r="K935" s="5" t="n">
        <f aca="false">INDEX(Produtos!$E$2:$E$11,MATCH(F935,Produtos!$A$2:$A$11,0))</f>
        <v>235</v>
      </c>
      <c r="L935" s="5" t="n">
        <f aca="false">H935*K935</f>
        <v>235</v>
      </c>
    </row>
    <row r="936" customFormat="false" ht="15" hidden="false" customHeight="false" outlineLevel="0" collapsed="false">
      <c r="A936" s="2" t="s">
        <v>1218</v>
      </c>
      <c r="B936" s="8" t="n">
        <v>46102</v>
      </c>
      <c r="C936" s="2" t="s">
        <v>229</v>
      </c>
      <c r="D936" s="3" t="str">
        <f aca="false">INDEX(Vendedores!$C$2:$C$101,MATCH(C936,Vendedores!$A$2:$A$101,0))</f>
        <v>L10</v>
      </c>
      <c r="E936" s="3" t="str">
        <f aca="false">INDEX(Lojas!$E$2:$E$11,MATCH(D936,Lojas!$A$2:$A$11,0))</f>
        <v>Nordeste</v>
      </c>
      <c r="F936" s="2" t="s">
        <v>257</v>
      </c>
      <c r="G936" s="3" t="str">
        <f aca="false">INDEX(Produtos!$B$2:$B$11,MATCH(F936,Produtos!$A$2:$A$11,0))&amp;" "&amp;INDEX(Produtos!$C$2:$C$11,MATCH(F936,Produtos!$A$2:$A$11,0))</f>
        <v>Celular Samsung</v>
      </c>
      <c r="H936" s="2" t="n">
        <v>1</v>
      </c>
      <c r="I936" s="5" t="n">
        <f aca="false">INDEX(Produtos!$D$2:$D$11,MATCH(F936,Produtos!$A$2:$A$11,0))</f>
        <v>2499</v>
      </c>
      <c r="J936" s="5" t="n">
        <f aca="false">H936*I936</f>
        <v>2499</v>
      </c>
      <c r="K936" s="5" t="n">
        <f aca="false">INDEX(Produtos!$E$2:$E$11,MATCH(F936,Produtos!$A$2:$A$11,0))</f>
        <v>1800</v>
      </c>
      <c r="L936" s="5" t="n">
        <f aca="false">H936*K936</f>
        <v>1800</v>
      </c>
    </row>
    <row r="937" customFormat="false" ht="15" hidden="false" customHeight="false" outlineLevel="0" collapsed="false">
      <c r="A937" s="2" t="s">
        <v>1219</v>
      </c>
      <c r="B937" s="8" t="n">
        <v>46102</v>
      </c>
      <c r="C937" s="2" t="s">
        <v>207</v>
      </c>
      <c r="D937" s="3" t="str">
        <f aca="false">INDEX(Vendedores!$C$2:$C$101,MATCH(C937,Vendedores!$A$2:$A$101,0))</f>
        <v>L09</v>
      </c>
      <c r="E937" s="3" t="str">
        <f aca="false">INDEX(Lojas!$E$2:$E$11,MATCH(D937,Lojas!$A$2:$A$11,0))</f>
        <v>Nordeste</v>
      </c>
      <c r="F937" s="2" t="s">
        <v>260</v>
      </c>
      <c r="G937" s="3" t="str">
        <f aca="false">INDEX(Produtos!$B$2:$B$11,MATCH(F937,Produtos!$A$2:$A$11,0))&amp;" "&amp;INDEX(Produtos!$C$2:$C$11,MATCH(F937,Produtos!$A$2:$A$11,0))</f>
        <v>Celular Motorola</v>
      </c>
      <c r="H937" s="2" t="n">
        <v>1</v>
      </c>
      <c r="I937" s="5" t="n">
        <f aca="false">INDEX(Produtos!$D$2:$D$11,MATCH(F937,Produtos!$A$2:$A$11,0))</f>
        <v>1799</v>
      </c>
      <c r="J937" s="5" t="n">
        <f aca="false">H937*I937</f>
        <v>1799</v>
      </c>
      <c r="K937" s="5" t="n">
        <f aca="false">INDEX(Produtos!$E$2:$E$11,MATCH(F937,Produtos!$A$2:$A$11,0))</f>
        <v>1250</v>
      </c>
      <c r="L937" s="5" t="n">
        <f aca="false">H937*K937</f>
        <v>1250</v>
      </c>
    </row>
    <row r="938" customFormat="false" ht="15" hidden="false" customHeight="false" outlineLevel="0" collapsed="false">
      <c r="A938" s="2" t="s">
        <v>1220</v>
      </c>
      <c r="B938" s="8" t="n">
        <v>46102</v>
      </c>
      <c r="C938" s="2" t="s">
        <v>98</v>
      </c>
      <c r="D938" s="3" t="str">
        <f aca="false">INDEX(Vendedores!$C$2:$C$101,MATCH(C938,Vendedores!$A$2:$A$101,0))</f>
        <v>L03</v>
      </c>
      <c r="E938" s="3" t="str">
        <f aca="false">INDEX(Lojas!$E$2:$E$11,MATCH(D938,Lojas!$A$2:$A$11,0))</f>
        <v>Sudeste</v>
      </c>
      <c r="F938" s="2" t="s">
        <v>267</v>
      </c>
      <c r="G938" s="3" t="str">
        <f aca="false">INDEX(Produtos!$B$2:$B$11,MATCH(F938,Produtos!$A$2:$A$11,0))&amp;" "&amp;INDEX(Produtos!$C$2:$C$11,MATCH(F938,Produtos!$A$2:$A$11,0))</f>
        <v>Carregador de Celular Tipo C</v>
      </c>
      <c r="H938" s="2" t="n">
        <v>1</v>
      </c>
      <c r="I938" s="5" t="n">
        <f aca="false">INDEX(Produtos!$D$2:$D$11,MATCH(F938,Produtos!$A$2:$A$11,0))</f>
        <v>44.9</v>
      </c>
      <c r="J938" s="5" t="n">
        <f aca="false">H938*I938</f>
        <v>44.9</v>
      </c>
      <c r="K938" s="5" t="n">
        <f aca="false">INDEX(Produtos!$E$2:$E$11,MATCH(F938,Produtos!$A$2:$A$11,0))</f>
        <v>18</v>
      </c>
      <c r="L938" s="5" t="n">
        <f aca="false">H938*K938</f>
        <v>18</v>
      </c>
    </row>
    <row r="939" customFormat="false" ht="15" hidden="false" customHeight="false" outlineLevel="0" collapsed="false">
      <c r="A939" s="2" t="s">
        <v>1221</v>
      </c>
      <c r="B939" s="8" t="n">
        <v>46102</v>
      </c>
      <c r="C939" s="2" t="s">
        <v>233</v>
      </c>
      <c r="D939" s="3" t="str">
        <f aca="false">INDEX(Vendedores!$C$2:$C$101,MATCH(C939,Vendedores!$A$2:$A$101,0))</f>
        <v>L10</v>
      </c>
      <c r="E939" s="3" t="str">
        <f aca="false">INDEX(Lojas!$E$2:$E$11,MATCH(D939,Lojas!$A$2:$A$11,0))</f>
        <v>Nordeste</v>
      </c>
      <c r="F939" s="2" t="s">
        <v>262</v>
      </c>
      <c r="G939" s="3" t="str">
        <f aca="false">INDEX(Produtos!$B$2:$B$11,MATCH(F939,Produtos!$A$2:$A$11,0))&amp;" "&amp;INDEX(Produtos!$C$2:$C$11,MATCH(F939,Produtos!$A$2:$A$11,0))</f>
        <v>Fone de Ouvido De Celular</v>
      </c>
      <c r="H939" s="2" t="n">
        <v>1</v>
      </c>
      <c r="I939" s="5" t="n">
        <f aca="false">INDEX(Produtos!$D$2:$D$11,MATCH(F939,Produtos!$A$2:$A$11,0))</f>
        <v>59.9</v>
      </c>
      <c r="J939" s="5" t="n">
        <f aca="false">H939*I939</f>
        <v>59.9</v>
      </c>
      <c r="K939" s="5" t="n">
        <f aca="false">INDEX(Produtos!$E$2:$E$11,MATCH(F939,Produtos!$A$2:$A$11,0))</f>
        <v>28</v>
      </c>
      <c r="L939" s="5" t="n">
        <f aca="false">H939*K939</f>
        <v>28</v>
      </c>
    </row>
    <row r="940" customFormat="false" ht="15" hidden="false" customHeight="false" outlineLevel="0" collapsed="false">
      <c r="A940" s="2" t="s">
        <v>1222</v>
      </c>
      <c r="B940" s="8" t="n">
        <v>46102</v>
      </c>
      <c r="C940" s="2" t="s">
        <v>60</v>
      </c>
      <c r="D940" s="3" t="str">
        <f aca="false">INDEX(Vendedores!$C$2:$C$101,MATCH(C940,Vendedores!$A$2:$A$101,0))</f>
        <v>L01</v>
      </c>
      <c r="E940" s="3" t="str">
        <f aca="false">INDEX(Lojas!$E$2:$E$11,MATCH(D940,Lojas!$A$2:$A$11,0))</f>
        <v>Sudeste</v>
      </c>
      <c r="F940" s="2" t="s">
        <v>262</v>
      </c>
      <c r="G940" s="3" t="str">
        <f aca="false">INDEX(Produtos!$B$2:$B$11,MATCH(F940,Produtos!$A$2:$A$11,0))&amp;" "&amp;INDEX(Produtos!$C$2:$C$11,MATCH(F940,Produtos!$A$2:$A$11,0))</f>
        <v>Fone de Ouvido De Celular</v>
      </c>
      <c r="H940" s="2" t="n">
        <v>1</v>
      </c>
      <c r="I940" s="5" t="n">
        <f aca="false">INDEX(Produtos!$D$2:$D$11,MATCH(F940,Produtos!$A$2:$A$11,0))</f>
        <v>59.9</v>
      </c>
      <c r="J940" s="5" t="n">
        <f aca="false">H940*I940</f>
        <v>59.9</v>
      </c>
      <c r="K940" s="5" t="n">
        <f aca="false">INDEX(Produtos!$E$2:$E$11,MATCH(F940,Produtos!$A$2:$A$11,0))</f>
        <v>28</v>
      </c>
      <c r="L940" s="5" t="n">
        <f aca="false">H940*K940</f>
        <v>28</v>
      </c>
    </row>
    <row r="941" customFormat="false" ht="15" hidden="false" customHeight="false" outlineLevel="0" collapsed="false">
      <c r="A941" s="2" t="s">
        <v>1223</v>
      </c>
      <c r="B941" s="8" t="n">
        <v>46102</v>
      </c>
      <c r="C941" s="2" t="s">
        <v>88</v>
      </c>
      <c r="D941" s="3" t="str">
        <f aca="false">INDEX(Vendedores!$C$2:$C$101,MATCH(C941,Vendedores!$A$2:$A$101,0))</f>
        <v>L02</v>
      </c>
      <c r="E941" s="3" t="str">
        <f aca="false">INDEX(Lojas!$E$2:$E$11,MATCH(D941,Lojas!$A$2:$A$11,0))</f>
        <v>Sudeste</v>
      </c>
      <c r="F941" s="2" t="s">
        <v>262</v>
      </c>
      <c r="G941" s="3" t="str">
        <f aca="false">INDEX(Produtos!$B$2:$B$11,MATCH(F941,Produtos!$A$2:$A$11,0))&amp;" "&amp;INDEX(Produtos!$C$2:$C$11,MATCH(F941,Produtos!$A$2:$A$11,0))</f>
        <v>Fone de Ouvido De Celular</v>
      </c>
      <c r="H941" s="2" t="n">
        <v>1</v>
      </c>
      <c r="I941" s="5" t="n">
        <f aca="false">INDEX(Produtos!$D$2:$D$11,MATCH(F941,Produtos!$A$2:$A$11,0))</f>
        <v>59.9</v>
      </c>
      <c r="J941" s="5" t="n">
        <f aca="false">H941*I941</f>
        <v>59.9</v>
      </c>
      <c r="K941" s="5" t="n">
        <f aca="false">INDEX(Produtos!$E$2:$E$11,MATCH(F941,Produtos!$A$2:$A$11,0))</f>
        <v>28</v>
      </c>
      <c r="L941" s="5" t="n">
        <f aca="false">H941*K941</f>
        <v>28</v>
      </c>
    </row>
    <row r="942" customFormat="false" ht="15" hidden="false" customHeight="false" outlineLevel="0" collapsed="false">
      <c r="A942" s="2" t="s">
        <v>1224</v>
      </c>
      <c r="B942" s="8" t="n">
        <v>46103</v>
      </c>
      <c r="C942" s="2" t="s">
        <v>74</v>
      </c>
      <c r="D942" s="3" t="str">
        <f aca="false">INDEX(Vendedores!$C$2:$C$101,MATCH(C942,Vendedores!$A$2:$A$101,0))</f>
        <v>L02</v>
      </c>
      <c r="E942" s="3" t="str">
        <f aca="false">INDEX(Lojas!$E$2:$E$11,MATCH(D942,Lojas!$A$2:$A$11,0))</f>
        <v>Sudeste</v>
      </c>
      <c r="F942" s="2" t="s">
        <v>252</v>
      </c>
      <c r="G942" s="3" t="str">
        <f aca="false">INDEX(Produtos!$B$2:$B$11,MATCH(F942,Produtos!$A$2:$A$11,0))&amp;" "&amp;INDEX(Produtos!$C$2:$C$11,MATCH(F942,Produtos!$A$2:$A$11,0))</f>
        <v>Notebook Lenovo</v>
      </c>
      <c r="H942" s="2" t="n">
        <v>1</v>
      </c>
      <c r="I942" s="5" t="n">
        <f aca="false">INDEX(Produtos!$D$2:$D$11,MATCH(F942,Produtos!$A$2:$A$11,0))</f>
        <v>3199</v>
      </c>
      <c r="J942" s="5" t="n">
        <f aca="false">H942*I942</f>
        <v>3199</v>
      </c>
      <c r="K942" s="5" t="n">
        <f aca="false">INDEX(Produtos!$E$2:$E$11,MATCH(F942,Produtos!$A$2:$A$11,0))</f>
        <v>2350</v>
      </c>
      <c r="L942" s="5" t="n">
        <f aca="false">H942*K942</f>
        <v>2350</v>
      </c>
    </row>
    <row r="943" customFormat="false" ht="15" hidden="false" customHeight="false" outlineLevel="0" collapsed="false">
      <c r="A943" s="2" t="s">
        <v>1225</v>
      </c>
      <c r="B943" s="8" t="n">
        <v>46103</v>
      </c>
      <c r="C943" s="2" t="s">
        <v>138</v>
      </c>
      <c r="D943" s="3" t="str">
        <f aca="false">INDEX(Vendedores!$C$2:$C$101,MATCH(C943,Vendedores!$A$2:$A$101,0))</f>
        <v>L05</v>
      </c>
      <c r="E943" s="3" t="str">
        <f aca="false">INDEX(Lojas!$E$2:$E$11,MATCH(D943,Lojas!$A$2:$A$11,0))</f>
        <v>Sul</v>
      </c>
      <c r="F943" s="2" t="s">
        <v>270</v>
      </c>
      <c r="G943" s="3" t="str">
        <f aca="false">INDEX(Produtos!$B$2:$B$11,MATCH(F943,Produtos!$A$2:$A$11,0))&amp;" "&amp;INDEX(Produtos!$C$2:$C$11,MATCH(F943,Produtos!$A$2:$A$11,0))</f>
        <v>Controle de Videogame Xbox</v>
      </c>
      <c r="H943" s="2" t="n">
        <v>1</v>
      </c>
      <c r="I943" s="5" t="n">
        <f aca="false">INDEX(Produtos!$D$2:$D$11,MATCH(F943,Produtos!$A$2:$A$11,0))</f>
        <v>349.9</v>
      </c>
      <c r="J943" s="5" t="n">
        <f aca="false">H943*I943</f>
        <v>349.9</v>
      </c>
      <c r="K943" s="5" t="n">
        <f aca="false">INDEX(Produtos!$E$2:$E$11,MATCH(F943,Produtos!$A$2:$A$11,0))</f>
        <v>215</v>
      </c>
      <c r="L943" s="5" t="n">
        <f aca="false">H943*K943</f>
        <v>215</v>
      </c>
    </row>
    <row r="944" customFormat="false" ht="15" hidden="false" customHeight="false" outlineLevel="0" collapsed="false">
      <c r="A944" s="2" t="s">
        <v>1226</v>
      </c>
      <c r="B944" s="8" t="n">
        <v>46103</v>
      </c>
      <c r="C944" s="2" t="s">
        <v>180</v>
      </c>
      <c r="D944" s="3" t="str">
        <f aca="false">INDEX(Vendedores!$C$2:$C$101,MATCH(C944,Vendedores!$A$2:$A$101,0))</f>
        <v>L07</v>
      </c>
      <c r="E944" s="3" t="str">
        <f aca="false">INDEX(Lojas!$E$2:$E$11,MATCH(D944,Lojas!$A$2:$A$11,0))</f>
        <v>Sul</v>
      </c>
      <c r="F944" s="2" t="s">
        <v>267</v>
      </c>
      <c r="G944" s="3" t="str">
        <f aca="false">INDEX(Produtos!$B$2:$B$11,MATCH(F944,Produtos!$A$2:$A$11,0))&amp;" "&amp;INDEX(Produtos!$C$2:$C$11,MATCH(F944,Produtos!$A$2:$A$11,0))</f>
        <v>Carregador de Celular Tipo C</v>
      </c>
      <c r="H944" s="2" t="n">
        <v>1</v>
      </c>
      <c r="I944" s="5" t="n">
        <f aca="false">INDEX(Produtos!$D$2:$D$11,MATCH(F944,Produtos!$A$2:$A$11,0))</f>
        <v>44.9</v>
      </c>
      <c r="J944" s="5" t="n">
        <f aca="false">H944*I944</f>
        <v>44.9</v>
      </c>
      <c r="K944" s="5" t="n">
        <f aca="false">INDEX(Produtos!$E$2:$E$11,MATCH(F944,Produtos!$A$2:$A$11,0))</f>
        <v>18</v>
      </c>
      <c r="L944" s="5" t="n">
        <f aca="false">H944*K944</f>
        <v>18</v>
      </c>
    </row>
    <row r="945" customFormat="false" ht="15" hidden="false" customHeight="false" outlineLevel="0" collapsed="false">
      <c r="A945" s="2" t="s">
        <v>1227</v>
      </c>
      <c r="B945" s="8" t="n">
        <v>46103</v>
      </c>
      <c r="C945" s="2" t="s">
        <v>96</v>
      </c>
      <c r="D945" s="3" t="str">
        <f aca="false">INDEX(Vendedores!$C$2:$C$101,MATCH(C945,Vendedores!$A$2:$A$101,0))</f>
        <v>L03</v>
      </c>
      <c r="E945" s="3" t="str">
        <f aca="false">INDEX(Lojas!$E$2:$E$11,MATCH(D945,Lojas!$A$2:$A$11,0))</f>
        <v>Sudeste</v>
      </c>
      <c r="F945" s="2" t="s">
        <v>265</v>
      </c>
      <c r="G945" s="3" t="str">
        <f aca="false">INDEX(Produtos!$B$2:$B$11,MATCH(F945,Produtos!$A$2:$A$11,0))&amp;" "&amp;INDEX(Produtos!$C$2:$C$11,MATCH(F945,Produtos!$A$2:$A$11,0))</f>
        <v>Fone de Ouvido Headset</v>
      </c>
      <c r="H945" s="2" t="n">
        <v>3</v>
      </c>
      <c r="I945" s="5" t="n">
        <f aca="false">INDEX(Produtos!$D$2:$D$11,MATCH(F945,Produtos!$A$2:$A$11,0))</f>
        <v>249.9</v>
      </c>
      <c r="J945" s="5" t="n">
        <f aca="false">H945*I945</f>
        <v>749.7</v>
      </c>
      <c r="K945" s="5" t="n">
        <f aca="false">INDEX(Produtos!$E$2:$E$11,MATCH(F945,Produtos!$A$2:$A$11,0))</f>
        <v>145</v>
      </c>
      <c r="L945" s="5" t="n">
        <f aca="false">H945*K945</f>
        <v>435</v>
      </c>
    </row>
    <row r="946" customFormat="false" ht="15" hidden="false" customHeight="false" outlineLevel="0" collapsed="false">
      <c r="A946" s="2" t="s">
        <v>1228</v>
      </c>
      <c r="B946" s="8" t="n">
        <v>46103</v>
      </c>
      <c r="C946" s="2" t="s">
        <v>154</v>
      </c>
      <c r="D946" s="3" t="str">
        <f aca="false">INDEX(Vendedores!$C$2:$C$101,MATCH(C946,Vendedores!$A$2:$A$101,0))</f>
        <v>L06</v>
      </c>
      <c r="E946" s="3" t="str">
        <f aca="false">INDEX(Lojas!$E$2:$E$11,MATCH(D946,Lojas!$A$2:$A$11,0))</f>
        <v>Sul</v>
      </c>
      <c r="F946" s="2" t="s">
        <v>260</v>
      </c>
      <c r="G946" s="3" t="str">
        <f aca="false">INDEX(Produtos!$B$2:$B$11,MATCH(F946,Produtos!$A$2:$A$11,0))&amp;" "&amp;INDEX(Produtos!$C$2:$C$11,MATCH(F946,Produtos!$A$2:$A$11,0))</f>
        <v>Celular Motorola</v>
      </c>
      <c r="H946" s="2" t="n">
        <v>2</v>
      </c>
      <c r="I946" s="5" t="n">
        <f aca="false">INDEX(Produtos!$D$2:$D$11,MATCH(F946,Produtos!$A$2:$A$11,0))</f>
        <v>1799</v>
      </c>
      <c r="J946" s="5" t="n">
        <f aca="false">H946*I946</f>
        <v>3598</v>
      </c>
      <c r="K946" s="5" t="n">
        <f aca="false">INDEX(Produtos!$E$2:$E$11,MATCH(F946,Produtos!$A$2:$A$11,0))</f>
        <v>1250</v>
      </c>
      <c r="L946" s="5" t="n">
        <f aca="false">H946*K946</f>
        <v>2500</v>
      </c>
    </row>
    <row r="947" customFormat="false" ht="15" hidden="false" customHeight="false" outlineLevel="0" collapsed="false">
      <c r="A947" s="2" t="s">
        <v>1229</v>
      </c>
      <c r="B947" s="8" t="n">
        <v>46103</v>
      </c>
      <c r="C947" s="2" t="s">
        <v>217</v>
      </c>
      <c r="D947" s="3" t="str">
        <f aca="false">INDEX(Vendedores!$C$2:$C$101,MATCH(C947,Vendedores!$A$2:$A$101,0))</f>
        <v>L09</v>
      </c>
      <c r="E947" s="3" t="str">
        <f aca="false">INDEX(Lojas!$E$2:$E$11,MATCH(D947,Lojas!$A$2:$A$11,0))</f>
        <v>Nordeste</v>
      </c>
      <c r="F947" s="2" t="s">
        <v>273</v>
      </c>
      <c r="G947" s="3" t="str">
        <f aca="false">INDEX(Produtos!$B$2:$B$11,MATCH(F947,Produtos!$A$2:$A$11,0))&amp;" "&amp;INDEX(Produtos!$C$2:$C$11,MATCH(F947,Produtos!$A$2:$A$11,0))</f>
        <v>Controle de Videogame PS4</v>
      </c>
      <c r="H947" s="2" t="n">
        <v>1</v>
      </c>
      <c r="I947" s="5" t="n">
        <f aca="false">INDEX(Produtos!$D$2:$D$11,MATCH(F947,Produtos!$A$2:$A$11,0))</f>
        <v>299.9</v>
      </c>
      <c r="J947" s="5" t="n">
        <f aca="false">H947*I947</f>
        <v>299.9</v>
      </c>
      <c r="K947" s="5" t="n">
        <f aca="false">INDEX(Produtos!$E$2:$E$11,MATCH(F947,Produtos!$A$2:$A$11,0))</f>
        <v>175</v>
      </c>
      <c r="L947" s="5" t="n">
        <f aca="false">H947*K947</f>
        <v>175</v>
      </c>
    </row>
    <row r="948" customFormat="false" ht="15" hidden="false" customHeight="false" outlineLevel="0" collapsed="false">
      <c r="A948" s="2" t="s">
        <v>1230</v>
      </c>
      <c r="B948" s="8" t="n">
        <v>46103</v>
      </c>
      <c r="C948" s="2" t="s">
        <v>229</v>
      </c>
      <c r="D948" s="3" t="str">
        <f aca="false">INDEX(Vendedores!$C$2:$C$101,MATCH(C948,Vendedores!$A$2:$A$101,0))</f>
        <v>L10</v>
      </c>
      <c r="E948" s="3" t="str">
        <f aca="false">INDEX(Lojas!$E$2:$E$11,MATCH(D948,Lojas!$A$2:$A$11,0))</f>
        <v>Nordeste</v>
      </c>
      <c r="F948" s="2" t="s">
        <v>267</v>
      </c>
      <c r="G948" s="3" t="str">
        <f aca="false">INDEX(Produtos!$B$2:$B$11,MATCH(F948,Produtos!$A$2:$A$11,0))&amp;" "&amp;INDEX(Produtos!$C$2:$C$11,MATCH(F948,Produtos!$A$2:$A$11,0))</f>
        <v>Carregador de Celular Tipo C</v>
      </c>
      <c r="H948" s="2" t="n">
        <v>1</v>
      </c>
      <c r="I948" s="5" t="n">
        <f aca="false">INDEX(Produtos!$D$2:$D$11,MATCH(F948,Produtos!$A$2:$A$11,0))</f>
        <v>44.9</v>
      </c>
      <c r="J948" s="5" t="n">
        <f aca="false">H948*I948</f>
        <v>44.9</v>
      </c>
      <c r="K948" s="5" t="n">
        <f aca="false">INDEX(Produtos!$E$2:$E$11,MATCH(F948,Produtos!$A$2:$A$11,0))</f>
        <v>18</v>
      </c>
      <c r="L948" s="5" t="n">
        <f aca="false">H948*K948</f>
        <v>18</v>
      </c>
    </row>
    <row r="949" customFormat="false" ht="15" hidden="false" customHeight="false" outlineLevel="0" collapsed="false">
      <c r="A949" s="2" t="s">
        <v>1231</v>
      </c>
      <c r="B949" s="8" t="n">
        <v>46103</v>
      </c>
      <c r="C949" s="2" t="s">
        <v>227</v>
      </c>
      <c r="D949" s="3" t="str">
        <f aca="false">INDEX(Vendedores!$C$2:$C$101,MATCH(C949,Vendedores!$A$2:$A$101,0))</f>
        <v>L10</v>
      </c>
      <c r="E949" s="3" t="str">
        <f aca="false">INDEX(Lojas!$E$2:$E$11,MATCH(D949,Lojas!$A$2:$A$11,0))</f>
        <v>Nordeste</v>
      </c>
      <c r="F949" s="2" t="s">
        <v>265</v>
      </c>
      <c r="G949" s="3" t="str">
        <f aca="false">INDEX(Produtos!$B$2:$B$11,MATCH(F949,Produtos!$A$2:$A$11,0))&amp;" "&amp;INDEX(Produtos!$C$2:$C$11,MATCH(F949,Produtos!$A$2:$A$11,0))</f>
        <v>Fone de Ouvido Headset</v>
      </c>
      <c r="H949" s="2" t="n">
        <v>3</v>
      </c>
      <c r="I949" s="5" t="n">
        <f aca="false">INDEX(Produtos!$D$2:$D$11,MATCH(F949,Produtos!$A$2:$A$11,0))</f>
        <v>249.9</v>
      </c>
      <c r="J949" s="5" t="n">
        <f aca="false">H949*I949</f>
        <v>749.7</v>
      </c>
      <c r="K949" s="5" t="n">
        <f aca="false">INDEX(Produtos!$E$2:$E$11,MATCH(F949,Produtos!$A$2:$A$11,0))</f>
        <v>145</v>
      </c>
      <c r="L949" s="5" t="n">
        <f aca="false">H949*K949</f>
        <v>435</v>
      </c>
    </row>
    <row r="950" customFormat="false" ht="15" hidden="false" customHeight="false" outlineLevel="0" collapsed="false">
      <c r="A950" s="2" t="s">
        <v>1232</v>
      </c>
      <c r="B950" s="8" t="n">
        <v>46103</v>
      </c>
      <c r="C950" s="2" t="s">
        <v>60</v>
      </c>
      <c r="D950" s="3" t="str">
        <f aca="false">INDEX(Vendedores!$C$2:$C$101,MATCH(C950,Vendedores!$A$2:$A$101,0))</f>
        <v>L01</v>
      </c>
      <c r="E950" s="3" t="str">
        <f aca="false">INDEX(Lojas!$E$2:$E$11,MATCH(D950,Lojas!$A$2:$A$11,0))</f>
        <v>Sudeste</v>
      </c>
      <c r="F950" s="2" t="s">
        <v>273</v>
      </c>
      <c r="G950" s="3" t="str">
        <f aca="false">INDEX(Produtos!$B$2:$B$11,MATCH(F950,Produtos!$A$2:$A$11,0))&amp;" "&amp;INDEX(Produtos!$C$2:$C$11,MATCH(F950,Produtos!$A$2:$A$11,0))</f>
        <v>Controle de Videogame PS4</v>
      </c>
      <c r="H950" s="2" t="n">
        <v>1</v>
      </c>
      <c r="I950" s="5" t="n">
        <f aca="false">INDEX(Produtos!$D$2:$D$11,MATCH(F950,Produtos!$A$2:$A$11,0))</f>
        <v>299.9</v>
      </c>
      <c r="J950" s="5" t="n">
        <f aca="false">H950*I950</f>
        <v>299.9</v>
      </c>
      <c r="K950" s="5" t="n">
        <f aca="false">INDEX(Produtos!$E$2:$E$11,MATCH(F950,Produtos!$A$2:$A$11,0))</f>
        <v>175</v>
      </c>
      <c r="L950" s="5" t="n">
        <f aca="false">H950*K950</f>
        <v>175</v>
      </c>
    </row>
    <row r="951" customFormat="false" ht="15" hidden="false" customHeight="false" outlineLevel="0" collapsed="false">
      <c r="A951" s="2" t="s">
        <v>1233</v>
      </c>
      <c r="B951" s="8" t="n">
        <v>46103</v>
      </c>
      <c r="C951" s="2" t="s">
        <v>215</v>
      </c>
      <c r="D951" s="3" t="str">
        <f aca="false">INDEX(Vendedores!$C$2:$C$101,MATCH(C951,Vendedores!$A$2:$A$101,0))</f>
        <v>L09</v>
      </c>
      <c r="E951" s="3" t="str">
        <f aca="false">INDEX(Lojas!$E$2:$E$11,MATCH(D951,Lojas!$A$2:$A$11,0))</f>
        <v>Nordeste</v>
      </c>
      <c r="F951" s="2" t="s">
        <v>267</v>
      </c>
      <c r="G951" s="3" t="str">
        <f aca="false">INDEX(Produtos!$B$2:$B$11,MATCH(F951,Produtos!$A$2:$A$11,0))&amp;" "&amp;INDEX(Produtos!$C$2:$C$11,MATCH(F951,Produtos!$A$2:$A$11,0))</f>
        <v>Carregador de Celular Tipo C</v>
      </c>
      <c r="H951" s="2" t="n">
        <v>1</v>
      </c>
      <c r="I951" s="5" t="n">
        <f aca="false">INDEX(Produtos!$D$2:$D$11,MATCH(F951,Produtos!$A$2:$A$11,0))</f>
        <v>44.9</v>
      </c>
      <c r="J951" s="5" t="n">
        <f aca="false">H951*I951</f>
        <v>44.9</v>
      </c>
      <c r="K951" s="5" t="n">
        <f aca="false">INDEX(Produtos!$E$2:$E$11,MATCH(F951,Produtos!$A$2:$A$11,0))</f>
        <v>18</v>
      </c>
      <c r="L951" s="5" t="n">
        <f aca="false">H951*K951</f>
        <v>18</v>
      </c>
    </row>
    <row r="952" customFormat="false" ht="15" hidden="false" customHeight="false" outlineLevel="0" collapsed="false">
      <c r="A952" s="2" t="s">
        <v>1234</v>
      </c>
      <c r="B952" s="8" t="n">
        <v>46103</v>
      </c>
      <c r="C952" s="2" t="s">
        <v>88</v>
      </c>
      <c r="D952" s="3" t="str">
        <f aca="false">INDEX(Vendedores!$C$2:$C$101,MATCH(C952,Vendedores!$A$2:$A$101,0))</f>
        <v>L02</v>
      </c>
      <c r="E952" s="3" t="str">
        <f aca="false">INDEX(Lojas!$E$2:$E$11,MATCH(D952,Lojas!$A$2:$A$11,0))</f>
        <v>Sudeste</v>
      </c>
      <c r="F952" s="2" t="s">
        <v>273</v>
      </c>
      <c r="G952" s="3" t="str">
        <f aca="false">INDEX(Produtos!$B$2:$B$11,MATCH(F952,Produtos!$A$2:$A$11,0))&amp;" "&amp;INDEX(Produtos!$C$2:$C$11,MATCH(F952,Produtos!$A$2:$A$11,0))</f>
        <v>Controle de Videogame PS4</v>
      </c>
      <c r="H952" s="2" t="n">
        <v>1</v>
      </c>
      <c r="I952" s="5" t="n">
        <f aca="false">INDEX(Produtos!$D$2:$D$11,MATCH(F952,Produtos!$A$2:$A$11,0))</f>
        <v>299.9</v>
      </c>
      <c r="J952" s="5" t="n">
        <f aca="false">H952*I952</f>
        <v>299.9</v>
      </c>
      <c r="K952" s="5" t="n">
        <f aca="false">INDEX(Produtos!$E$2:$E$11,MATCH(F952,Produtos!$A$2:$A$11,0))</f>
        <v>175</v>
      </c>
      <c r="L952" s="5" t="n">
        <f aca="false">H952*K952</f>
        <v>175</v>
      </c>
    </row>
    <row r="953" customFormat="false" ht="15" hidden="false" customHeight="false" outlineLevel="0" collapsed="false">
      <c r="A953" s="2" t="s">
        <v>1235</v>
      </c>
      <c r="B953" s="8" t="n">
        <v>46103</v>
      </c>
      <c r="C953" s="2" t="s">
        <v>98</v>
      </c>
      <c r="D953" s="3" t="str">
        <f aca="false">INDEX(Vendedores!$C$2:$C$101,MATCH(C953,Vendedores!$A$2:$A$101,0))</f>
        <v>L03</v>
      </c>
      <c r="E953" s="3" t="str">
        <f aca="false">INDEX(Lojas!$E$2:$E$11,MATCH(D953,Lojas!$A$2:$A$11,0))</f>
        <v>Sudeste</v>
      </c>
      <c r="F953" s="2" t="s">
        <v>257</v>
      </c>
      <c r="G953" s="3" t="str">
        <f aca="false">INDEX(Produtos!$B$2:$B$11,MATCH(F953,Produtos!$A$2:$A$11,0))&amp;" "&amp;INDEX(Produtos!$C$2:$C$11,MATCH(F953,Produtos!$A$2:$A$11,0))</f>
        <v>Celular Samsung</v>
      </c>
      <c r="H953" s="2" t="n">
        <v>3</v>
      </c>
      <c r="I953" s="5" t="n">
        <f aca="false">INDEX(Produtos!$D$2:$D$11,MATCH(F953,Produtos!$A$2:$A$11,0))</f>
        <v>2499</v>
      </c>
      <c r="J953" s="5" t="n">
        <f aca="false">H953*I953</f>
        <v>7497</v>
      </c>
      <c r="K953" s="5" t="n">
        <f aca="false">INDEX(Produtos!$E$2:$E$11,MATCH(F953,Produtos!$A$2:$A$11,0))</f>
        <v>1800</v>
      </c>
      <c r="L953" s="5" t="n">
        <f aca="false">H953*K953</f>
        <v>5400</v>
      </c>
    </row>
    <row r="954" customFormat="false" ht="15" hidden="false" customHeight="false" outlineLevel="0" collapsed="false">
      <c r="A954" s="2" t="s">
        <v>1236</v>
      </c>
      <c r="B954" s="8" t="n">
        <v>46103</v>
      </c>
      <c r="C954" s="2" t="s">
        <v>156</v>
      </c>
      <c r="D954" s="3" t="str">
        <f aca="false">INDEX(Vendedores!$C$2:$C$101,MATCH(C954,Vendedores!$A$2:$A$101,0))</f>
        <v>L06</v>
      </c>
      <c r="E954" s="3" t="str">
        <f aca="false">INDEX(Lojas!$E$2:$E$11,MATCH(D954,Lojas!$A$2:$A$11,0))</f>
        <v>Sul</v>
      </c>
      <c r="F954" s="2" t="s">
        <v>252</v>
      </c>
      <c r="G954" s="3" t="str">
        <f aca="false">INDEX(Produtos!$B$2:$B$11,MATCH(F954,Produtos!$A$2:$A$11,0))&amp;" "&amp;INDEX(Produtos!$C$2:$C$11,MATCH(F954,Produtos!$A$2:$A$11,0))</f>
        <v>Notebook Lenovo</v>
      </c>
      <c r="H954" s="2" t="n">
        <v>2</v>
      </c>
      <c r="I954" s="5" t="n">
        <f aca="false">INDEX(Produtos!$D$2:$D$11,MATCH(F954,Produtos!$A$2:$A$11,0))</f>
        <v>3199</v>
      </c>
      <c r="J954" s="5" t="n">
        <f aca="false">H954*I954</f>
        <v>6398</v>
      </c>
      <c r="K954" s="5" t="n">
        <f aca="false">INDEX(Produtos!$E$2:$E$11,MATCH(F954,Produtos!$A$2:$A$11,0))</f>
        <v>2350</v>
      </c>
      <c r="L954" s="5" t="n">
        <f aca="false">H954*K954</f>
        <v>4700</v>
      </c>
    </row>
    <row r="955" customFormat="false" ht="15" hidden="false" customHeight="false" outlineLevel="0" collapsed="false">
      <c r="A955" s="2" t="s">
        <v>1237</v>
      </c>
      <c r="B955" s="8" t="n">
        <v>46103</v>
      </c>
      <c r="C955" s="2" t="s">
        <v>154</v>
      </c>
      <c r="D955" s="3" t="str">
        <f aca="false">INDEX(Vendedores!$C$2:$C$101,MATCH(C955,Vendedores!$A$2:$A$101,0))</f>
        <v>L06</v>
      </c>
      <c r="E955" s="3" t="str">
        <f aca="false">INDEX(Lojas!$E$2:$E$11,MATCH(D955,Lojas!$A$2:$A$11,0))</f>
        <v>Sul</v>
      </c>
      <c r="F955" s="2" t="s">
        <v>265</v>
      </c>
      <c r="G955" s="3" t="str">
        <f aca="false">INDEX(Produtos!$B$2:$B$11,MATCH(F955,Produtos!$A$2:$A$11,0))&amp;" "&amp;INDEX(Produtos!$C$2:$C$11,MATCH(F955,Produtos!$A$2:$A$11,0))</f>
        <v>Fone de Ouvido Headset</v>
      </c>
      <c r="H955" s="2" t="n">
        <v>1</v>
      </c>
      <c r="I955" s="5" t="n">
        <f aca="false">INDEX(Produtos!$D$2:$D$11,MATCH(F955,Produtos!$A$2:$A$11,0))</f>
        <v>249.9</v>
      </c>
      <c r="J955" s="5" t="n">
        <f aca="false">H955*I955</f>
        <v>249.9</v>
      </c>
      <c r="K955" s="5" t="n">
        <f aca="false">INDEX(Produtos!$E$2:$E$11,MATCH(F955,Produtos!$A$2:$A$11,0))</f>
        <v>145</v>
      </c>
      <c r="L955" s="5" t="n">
        <f aca="false">H955*K955</f>
        <v>145</v>
      </c>
    </row>
    <row r="956" customFormat="false" ht="15" hidden="false" customHeight="false" outlineLevel="0" collapsed="false">
      <c r="A956" s="2" t="s">
        <v>1238</v>
      </c>
      <c r="B956" s="8" t="n">
        <v>46103</v>
      </c>
      <c r="C956" s="2" t="s">
        <v>118</v>
      </c>
      <c r="D956" s="3" t="str">
        <f aca="false">INDEX(Vendedores!$C$2:$C$101,MATCH(C956,Vendedores!$A$2:$A$101,0))</f>
        <v>L04</v>
      </c>
      <c r="E956" s="3" t="str">
        <f aca="false">INDEX(Lojas!$E$2:$E$11,MATCH(D956,Lojas!$A$2:$A$11,0))</f>
        <v>Sudeste</v>
      </c>
      <c r="F956" s="2" t="s">
        <v>273</v>
      </c>
      <c r="G956" s="3" t="str">
        <f aca="false">INDEX(Produtos!$B$2:$B$11,MATCH(F956,Produtos!$A$2:$A$11,0))&amp;" "&amp;INDEX(Produtos!$C$2:$C$11,MATCH(F956,Produtos!$A$2:$A$11,0))</f>
        <v>Controle de Videogame PS4</v>
      </c>
      <c r="H956" s="2" t="n">
        <v>1</v>
      </c>
      <c r="I956" s="5" t="n">
        <f aca="false">INDEX(Produtos!$D$2:$D$11,MATCH(F956,Produtos!$A$2:$A$11,0))</f>
        <v>299.9</v>
      </c>
      <c r="J956" s="5" t="n">
        <f aca="false">H956*I956</f>
        <v>299.9</v>
      </c>
      <c r="K956" s="5" t="n">
        <f aca="false">INDEX(Produtos!$E$2:$E$11,MATCH(F956,Produtos!$A$2:$A$11,0))</f>
        <v>175</v>
      </c>
      <c r="L956" s="5" t="n">
        <f aca="false">H956*K956</f>
        <v>175</v>
      </c>
    </row>
    <row r="957" customFormat="false" ht="15" hidden="false" customHeight="false" outlineLevel="0" collapsed="false">
      <c r="A957" s="2" t="s">
        <v>1239</v>
      </c>
      <c r="B957" s="8" t="n">
        <v>46103</v>
      </c>
      <c r="C957" s="2" t="s">
        <v>144</v>
      </c>
      <c r="D957" s="3" t="str">
        <f aca="false">INDEX(Vendedores!$C$2:$C$101,MATCH(C957,Vendedores!$A$2:$A$101,0))</f>
        <v>L05</v>
      </c>
      <c r="E957" s="3" t="str">
        <f aca="false">INDEX(Lojas!$E$2:$E$11,MATCH(D957,Lojas!$A$2:$A$11,0))</f>
        <v>Sul</v>
      </c>
      <c r="F957" s="2" t="s">
        <v>262</v>
      </c>
      <c r="G957" s="3" t="str">
        <f aca="false">INDEX(Produtos!$B$2:$B$11,MATCH(F957,Produtos!$A$2:$A$11,0))&amp;" "&amp;INDEX(Produtos!$C$2:$C$11,MATCH(F957,Produtos!$A$2:$A$11,0))</f>
        <v>Fone de Ouvido De Celular</v>
      </c>
      <c r="H957" s="2" t="n">
        <v>2</v>
      </c>
      <c r="I957" s="5" t="n">
        <f aca="false">INDEX(Produtos!$D$2:$D$11,MATCH(F957,Produtos!$A$2:$A$11,0))</f>
        <v>59.9</v>
      </c>
      <c r="J957" s="5" t="n">
        <f aca="false">H957*I957</f>
        <v>119.8</v>
      </c>
      <c r="K957" s="5" t="n">
        <f aca="false">INDEX(Produtos!$E$2:$E$11,MATCH(F957,Produtos!$A$2:$A$11,0))</f>
        <v>28</v>
      </c>
      <c r="L957" s="5" t="n">
        <f aca="false">H957*K957</f>
        <v>56</v>
      </c>
    </row>
    <row r="958" customFormat="false" ht="15" hidden="false" customHeight="false" outlineLevel="0" collapsed="false">
      <c r="A958" s="2" t="s">
        <v>1240</v>
      </c>
      <c r="B958" s="8" t="n">
        <v>46103</v>
      </c>
      <c r="C958" s="2" t="s">
        <v>170</v>
      </c>
      <c r="D958" s="3" t="str">
        <f aca="false">INDEX(Vendedores!$C$2:$C$101,MATCH(C958,Vendedores!$A$2:$A$101,0))</f>
        <v>L07</v>
      </c>
      <c r="E958" s="3" t="str">
        <f aca="false">INDEX(Lojas!$E$2:$E$11,MATCH(D958,Lojas!$A$2:$A$11,0))</f>
        <v>Sul</v>
      </c>
      <c r="F958" s="2" t="s">
        <v>262</v>
      </c>
      <c r="G958" s="3" t="str">
        <f aca="false">INDEX(Produtos!$B$2:$B$11,MATCH(F958,Produtos!$A$2:$A$11,0))&amp;" "&amp;INDEX(Produtos!$C$2:$C$11,MATCH(F958,Produtos!$A$2:$A$11,0))</f>
        <v>Fone de Ouvido De Celular</v>
      </c>
      <c r="H958" s="2" t="n">
        <v>1</v>
      </c>
      <c r="I958" s="5" t="n">
        <f aca="false">INDEX(Produtos!$D$2:$D$11,MATCH(F958,Produtos!$A$2:$A$11,0))</f>
        <v>59.9</v>
      </c>
      <c r="J958" s="5" t="n">
        <f aca="false">H958*I958</f>
        <v>59.9</v>
      </c>
      <c r="K958" s="5" t="n">
        <f aca="false">INDEX(Produtos!$E$2:$E$11,MATCH(F958,Produtos!$A$2:$A$11,0))</f>
        <v>28</v>
      </c>
      <c r="L958" s="5" t="n">
        <f aca="false">H958*K958</f>
        <v>28</v>
      </c>
    </row>
    <row r="959" customFormat="false" ht="15" hidden="false" customHeight="false" outlineLevel="0" collapsed="false">
      <c r="A959" s="2" t="s">
        <v>1241</v>
      </c>
      <c r="B959" s="8" t="n">
        <v>46103</v>
      </c>
      <c r="C959" s="2" t="s">
        <v>138</v>
      </c>
      <c r="D959" s="3" t="str">
        <f aca="false">INDEX(Vendedores!$C$2:$C$101,MATCH(C959,Vendedores!$A$2:$A$101,0))</f>
        <v>L05</v>
      </c>
      <c r="E959" s="3" t="str">
        <f aca="false">INDEX(Lojas!$E$2:$E$11,MATCH(D959,Lojas!$A$2:$A$11,0))</f>
        <v>Sul</v>
      </c>
      <c r="F959" s="2" t="s">
        <v>262</v>
      </c>
      <c r="G959" s="3" t="str">
        <f aca="false">INDEX(Produtos!$B$2:$B$11,MATCH(F959,Produtos!$A$2:$A$11,0))&amp;" "&amp;INDEX(Produtos!$C$2:$C$11,MATCH(F959,Produtos!$A$2:$A$11,0))</f>
        <v>Fone de Ouvido De Celular</v>
      </c>
      <c r="H959" s="2" t="n">
        <v>1</v>
      </c>
      <c r="I959" s="5" t="n">
        <f aca="false">INDEX(Produtos!$D$2:$D$11,MATCH(F959,Produtos!$A$2:$A$11,0))</f>
        <v>59.9</v>
      </c>
      <c r="J959" s="5" t="n">
        <f aca="false">H959*I959</f>
        <v>59.9</v>
      </c>
      <c r="K959" s="5" t="n">
        <f aca="false">INDEX(Produtos!$E$2:$E$11,MATCH(F959,Produtos!$A$2:$A$11,0))</f>
        <v>28</v>
      </c>
      <c r="L959" s="5" t="n">
        <f aca="false">H959*K959</f>
        <v>28</v>
      </c>
    </row>
    <row r="960" customFormat="false" ht="15" hidden="false" customHeight="false" outlineLevel="0" collapsed="false">
      <c r="A960" s="2" t="s">
        <v>1242</v>
      </c>
      <c r="B960" s="8" t="n">
        <v>46103</v>
      </c>
      <c r="C960" s="2" t="s">
        <v>239</v>
      </c>
      <c r="D960" s="3" t="str">
        <f aca="false">INDEX(Vendedores!$C$2:$C$101,MATCH(C960,Vendedores!$A$2:$A$101,0))</f>
        <v>L10</v>
      </c>
      <c r="E960" s="3" t="str">
        <f aca="false">INDEX(Lojas!$E$2:$E$11,MATCH(D960,Lojas!$A$2:$A$11,0))</f>
        <v>Nordeste</v>
      </c>
      <c r="F960" s="2" t="s">
        <v>255</v>
      </c>
      <c r="G960" s="3" t="str">
        <f aca="false">INDEX(Produtos!$B$2:$B$11,MATCH(F960,Produtos!$A$2:$A$11,0))&amp;" "&amp;INDEX(Produtos!$C$2:$C$11,MATCH(F960,Produtos!$A$2:$A$11,0))</f>
        <v>Notebook Positivo</v>
      </c>
      <c r="H960" s="2" t="n">
        <v>1</v>
      </c>
      <c r="I960" s="5" t="n">
        <f aca="false">INDEX(Produtos!$D$2:$D$11,MATCH(F960,Produtos!$A$2:$A$11,0))</f>
        <v>2199</v>
      </c>
      <c r="J960" s="5" t="n">
        <f aca="false">H960*I960</f>
        <v>2199</v>
      </c>
      <c r="K960" s="5" t="n">
        <f aca="false">INDEX(Produtos!$E$2:$E$11,MATCH(F960,Produtos!$A$2:$A$11,0))</f>
        <v>1550</v>
      </c>
      <c r="L960" s="5" t="n">
        <f aca="false">H960*K960</f>
        <v>1550</v>
      </c>
    </row>
    <row r="961" customFormat="false" ht="15" hidden="false" customHeight="false" outlineLevel="0" collapsed="false">
      <c r="A961" s="2" t="s">
        <v>1243</v>
      </c>
      <c r="B961" s="8" t="n">
        <v>46104</v>
      </c>
      <c r="C961" s="2" t="s">
        <v>74</v>
      </c>
      <c r="D961" s="3" t="str">
        <f aca="false">INDEX(Vendedores!$C$2:$C$101,MATCH(C961,Vendedores!$A$2:$A$101,0))</f>
        <v>L02</v>
      </c>
      <c r="E961" s="3" t="str">
        <f aca="false">INDEX(Lojas!$E$2:$E$11,MATCH(D961,Lojas!$A$2:$A$11,0))</f>
        <v>Sudeste</v>
      </c>
      <c r="F961" s="2" t="s">
        <v>265</v>
      </c>
      <c r="G961" s="3" t="str">
        <f aca="false">INDEX(Produtos!$B$2:$B$11,MATCH(F961,Produtos!$A$2:$A$11,0))&amp;" "&amp;INDEX(Produtos!$C$2:$C$11,MATCH(F961,Produtos!$A$2:$A$11,0))</f>
        <v>Fone de Ouvido Headset</v>
      </c>
      <c r="H961" s="2" t="n">
        <v>1</v>
      </c>
      <c r="I961" s="5" t="n">
        <f aca="false">INDEX(Produtos!$D$2:$D$11,MATCH(F961,Produtos!$A$2:$A$11,0))</f>
        <v>249.9</v>
      </c>
      <c r="J961" s="5" t="n">
        <f aca="false">H961*I961</f>
        <v>249.9</v>
      </c>
      <c r="K961" s="5" t="n">
        <f aca="false">INDEX(Produtos!$E$2:$E$11,MATCH(F961,Produtos!$A$2:$A$11,0))</f>
        <v>145</v>
      </c>
      <c r="L961" s="5" t="n">
        <f aca="false">H961*K961</f>
        <v>145</v>
      </c>
    </row>
    <row r="962" customFormat="false" ht="15" hidden="false" customHeight="false" outlineLevel="0" collapsed="false">
      <c r="A962" s="2" t="s">
        <v>1244</v>
      </c>
      <c r="B962" s="8" t="n">
        <v>46104</v>
      </c>
      <c r="C962" s="2" t="s">
        <v>225</v>
      </c>
      <c r="D962" s="3" t="str">
        <f aca="false">INDEX(Vendedores!$C$2:$C$101,MATCH(C962,Vendedores!$A$2:$A$101,0))</f>
        <v>L10</v>
      </c>
      <c r="E962" s="3" t="str">
        <f aca="false">INDEX(Lojas!$E$2:$E$11,MATCH(D962,Lojas!$A$2:$A$11,0))</f>
        <v>Nordeste</v>
      </c>
      <c r="F962" s="2" t="s">
        <v>262</v>
      </c>
      <c r="G962" s="3" t="str">
        <f aca="false">INDEX(Produtos!$B$2:$B$11,MATCH(F962,Produtos!$A$2:$A$11,0))&amp;" "&amp;INDEX(Produtos!$C$2:$C$11,MATCH(F962,Produtos!$A$2:$A$11,0))</f>
        <v>Fone de Ouvido De Celular</v>
      </c>
      <c r="H962" s="2" t="n">
        <v>1</v>
      </c>
      <c r="I962" s="5" t="n">
        <f aca="false">INDEX(Produtos!$D$2:$D$11,MATCH(F962,Produtos!$A$2:$A$11,0))</f>
        <v>59.9</v>
      </c>
      <c r="J962" s="5" t="n">
        <f aca="false">H962*I962</f>
        <v>59.9</v>
      </c>
      <c r="K962" s="5" t="n">
        <f aca="false">INDEX(Produtos!$E$2:$E$11,MATCH(F962,Produtos!$A$2:$A$11,0))</f>
        <v>28</v>
      </c>
      <c r="L962" s="5" t="n">
        <f aca="false">H962*K962</f>
        <v>28</v>
      </c>
    </row>
    <row r="963" customFormat="false" ht="15" hidden="false" customHeight="false" outlineLevel="0" collapsed="false">
      <c r="A963" s="2" t="s">
        <v>1245</v>
      </c>
      <c r="B963" s="8" t="n">
        <v>46104</v>
      </c>
      <c r="C963" s="2" t="s">
        <v>178</v>
      </c>
      <c r="D963" s="3" t="str">
        <f aca="false">INDEX(Vendedores!$C$2:$C$101,MATCH(C963,Vendedores!$A$2:$A$101,0))</f>
        <v>L07</v>
      </c>
      <c r="E963" s="3" t="str">
        <f aca="false">INDEX(Lojas!$E$2:$E$11,MATCH(D963,Lojas!$A$2:$A$11,0))</f>
        <v>Sul</v>
      </c>
      <c r="F963" s="2" t="s">
        <v>273</v>
      </c>
      <c r="G963" s="3" t="str">
        <f aca="false">INDEX(Produtos!$B$2:$B$11,MATCH(F963,Produtos!$A$2:$A$11,0))&amp;" "&amp;INDEX(Produtos!$C$2:$C$11,MATCH(F963,Produtos!$A$2:$A$11,0))</f>
        <v>Controle de Videogame PS4</v>
      </c>
      <c r="H963" s="2" t="n">
        <v>1</v>
      </c>
      <c r="I963" s="5" t="n">
        <f aca="false">INDEX(Produtos!$D$2:$D$11,MATCH(F963,Produtos!$A$2:$A$11,0))</f>
        <v>299.9</v>
      </c>
      <c r="J963" s="5" t="n">
        <f aca="false">H963*I963</f>
        <v>299.9</v>
      </c>
      <c r="K963" s="5" t="n">
        <f aca="false">INDEX(Produtos!$E$2:$E$11,MATCH(F963,Produtos!$A$2:$A$11,0))</f>
        <v>175</v>
      </c>
      <c r="L963" s="5" t="n">
        <f aca="false">H963*K963</f>
        <v>175</v>
      </c>
    </row>
    <row r="964" customFormat="false" ht="15" hidden="false" customHeight="false" outlineLevel="0" collapsed="false">
      <c r="A964" s="2" t="s">
        <v>1246</v>
      </c>
      <c r="B964" s="8" t="n">
        <v>46104</v>
      </c>
      <c r="C964" s="2" t="s">
        <v>52</v>
      </c>
      <c r="D964" s="3" t="str">
        <f aca="false">INDEX(Vendedores!$C$2:$C$101,MATCH(C964,Vendedores!$A$2:$A$101,0))</f>
        <v>L01</v>
      </c>
      <c r="E964" s="3" t="str">
        <f aca="false">INDEX(Lojas!$E$2:$E$11,MATCH(D964,Lojas!$A$2:$A$11,0))</f>
        <v>Sudeste</v>
      </c>
      <c r="F964" s="2" t="s">
        <v>273</v>
      </c>
      <c r="G964" s="3" t="str">
        <f aca="false">INDEX(Produtos!$B$2:$B$11,MATCH(F964,Produtos!$A$2:$A$11,0))&amp;" "&amp;INDEX(Produtos!$C$2:$C$11,MATCH(F964,Produtos!$A$2:$A$11,0))</f>
        <v>Controle de Videogame PS4</v>
      </c>
      <c r="H964" s="2" t="n">
        <v>1</v>
      </c>
      <c r="I964" s="5" t="n">
        <f aca="false">INDEX(Produtos!$D$2:$D$11,MATCH(F964,Produtos!$A$2:$A$11,0))</f>
        <v>299.9</v>
      </c>
      <c r="J964" s="5" t="n">
        <f aca="false">H964*I964</f>
        <v>299.9</v>
      </c>
      <c r="K964" s="5" t="n">
        <f aca="false">INDEX(Produtos!$E$2:$E$11,MATCH(F964,Produtos!$A$2:$A$11,0))</f>
        <v>175</v>
      </c>
      <c r="L964" s="5" t="n">
        <f aca="false">H964*K964</f>
        <v>175</v>
      </c>
    </row>
    <row r="965" customFormat="false" ht="15" hidden="false" customHeight="false" outlineLevel="0" collapsed="false">
      <c r="A965" s="2" t="s">
        <v>1247</v>
      </c>
      <c r="B965" s="8" t="n">
        <v>46104</v>
      </c>
      <c r="C965" s="2" t="s">
        <v>158</v>
      </c>
      <c r="D965" s="3" t="str">
        <f aca="false">INDEX(Vendedores!$C$2:$C$101,MATCH(C965,Vendedores!$A$2:$A$101,0))</f>
        <v>L06</v>
      </c>
      <c r="E965" s="3" t="str">
        <f aca="false">INDEX(Lojas!$E$2:$E$11,MATCH(D965,Lojas!$A$2:$A$11,0))</f>
        <v>Sul</v>
      </c>
      <c r="F965" s="2" t="s">
        <v>257</v>
      </c>
      <c r="G965" s="3" t="str">
        <f aca="false">INDEX(Produtos!$B$2:$B$11,MATCH(F965,Produtos!$A$2:$A$11,0))&amp;" "&amp;INDEX(Produtos!$C$2:$C$11,MATCH(F965,Produtos!$A$2:$A$11,0))</f>
        <v>Celular Samsung</v>
      </c>
      <c r="H965" s="2" t="n">
        <v>1</v>
      </c>
      <c r="I965" s="5" t="n">
        <f aca="false">INDEX(Produtos!$D$2:$D$11,MATCH(F965,Produtos!$A$2:$A$11,0))</f>
        <v>2499</v>
      </c>
      <c r="J965" s="5" t="n">
        <f aca="false">H965*I965</f>
        <v>2499</v>
      </c>
      <c r="K965" s="5" t="n">
        <f aca="false">INDEX(Produtos!$E$2:$E$11,MATCH(F965,Produtos!$A$2:$A$11,0))</f>
        <v>1800</v>
      </c>
      <c r="L965" s="5" t="n">
        <f aca="false">H965*K965</f>
        <v>1800</v>
      </c>
    </row>
    <row r="966" customFormat="false" ht="15" hidden="false" customHeight="false" outlineLevel="0" collapsed="false">
      <c r="A966" s="2" t="s">
        <v>1248</v>
      </c>
      <c r="B966" s="8" t="n">
        <v>46104</v>
      </c>
      <c r="C966" s="2" t="s">
        <v>182</v>
      </c>
      <c r="D966" s="3" t="str">
        <f aca="false">INDEX(Vendedores!$C$2:$C$101,MATCH(C966,Vendedores!$A$2:$A$101,0))</f>
        <v>L07</v>
      </c>
      <c r="E966" s="3" t="str">
        <f aca="false">INDEX(Lojas!$E$2:$E$11,MATCH(D966,Lojas!$A$2:$A$11,0))</f>
        <v>Sul</v>
      </c>
      <c r="F966" s="2" t="s">
        <v>270</v>
      </c>
      <c r="G966" s="3" t="str">
        <f aca="false">INDEX(Produtos!$B$2:$B$11,MATCH(F966,Produtos!$A$2:$A$11,0))&amp;" "&amp;INDEX(Produtos!$C$2:$C$11,MATCH(F966,Produtos!$A$2:$A$11,0))</f>
        <v>Controle de Videogame Xbox</v>
      </c>
      <c r="H966" s="2" t="n">
        <v>1</v>
      </c>
      <c r="I966" s="5" t="n">
        <f aca="false">INDEX(Produtos!$D$2:$D$11,MATCH(F966,Produtos!$A$2:$A$11,0))</f>
        <v>349.9</v>
      </c>
      <c r="J966" s="5" t="n">
        <f aca="false">H966*I966</f>
        <v>349.9</v>
      </c>
      <c r="K966" s="5" t="n">
        <f aca="false">INDEX(Produtos!$E$2:$E$11,MATCH(F966,Produtos!$A$2:$A$11,0))</f>
        <v>215</v>
      </c>
      <c r="L966" s="5" t="n">
        <f aca="false">H966*K966</f>
        <v>215</v>
      </c>
    </row>
    <row r="967" customFormat="false" ht="15" hidden="false" customHeight="false" outlineLevel="0" collapsed="false">
      <c r="A967" s="2" t="s">
        <v>1249</v>
      </c>
      <c r="B967" s="8" t="n">
        <v>46104</v>
      </c>
      <c r="C967" s="2" t="s">
        <v>178</v>
      </c>
      <c r="D967" s="3" t="str">
        <f aca="false">INDEX(Vendedores!$C$2:$C$101,MATCH(C967,Vendedores!$A$2:$A$101,0))</f>
        <v>L07</v>
      </c>
      <c r="E967" s="3" t="str">
        <f aca="false">INDEX(Lojas!$E$2:$E$11,MATCH(D967,Lojas!$A$2:$A$11,0))</f>
        <v>Sul</v>
      </c>
      <c r="F967" s="2" t="s">
        <v>275</v>
      </c>
      <c r="G967" s="3" t="str">
        <f aca="false">INDEX(Produtos!$B$2:$B$11,MATCH(F967,Produtos!$A$2:$A$11,0))&amp;" "&amp;INDEX(Produtos!$C$2:$C$11,MATCH(F967,Produtos!$A$2:$A$11,0))</f>
        <v>Controle de Videogame PS5</v>
      </c>
      <c r="H967" s="2" t="n">
        <v>2</v>
      </c>
      <c r="I967" s="5" t="n">
        <f aca="false">INDEX(Produtos!$D$2:$D$11,MATCH(F967,Produtos!$A$2:$A$11,0))</f>
        <v>379.9</v>
      </c>
      <c r="J967" s="5" t="n">
        <f aca="false">H967*I967</f>
        <v>759.8</v>
      </c>
      <c r="K967" s="5" t="n">
        <f aca="false">INDEX(Produtos!$E$2:$E$11,MATCH(F967,Produtos!$A$2:$A$11,0))</f>
        <v>235</v>
      </c>
      <c r="L967" s="5" t="n">
        <f aca="false">H967*K967</f>
        <v>470</v>
      </c>
    </row>
    <row r="968" customFormat="false" ht="15" hidden="false" customHeight="false" outlineLevel="0" collapsed="false">
      <c r="A968" s="2" t="s">
        <v>1250</v>
      </c>
      <c r="B968" s="8" t="n">
        <v>46104</v>
      </c>
      <c r="C968" s="2" t="s">
        <v>106</v>
      </c>
      <c r="D968" s="3" t="str">
        <f aca="false">INDEX(Vendedores!$C$2:$C$101,MATCH(C968,Vendedores!$A$2:$A$101,0))</f>
        <v>L03</v>
      </c>
      <c r="E968" s="3" t="str">
        <f aca="false">INDEX(Lojas!$E$2:$E$11,MATCH(D968,Lojas!$A$2:$A$11,0))</f>
        <v>Sudeste</v>
      </c>
      <c r="F968" s="2" t="s">
        <v>260</v>
      </c>
      <c r="G968" s="3" t="str">
        <f aca="false">INDEX(Produtos!$B$2:$B$11,MATCH(F968,Produtos!$A$2:$A$11,0))&amp;" "&amp;INDEX(Produtos!$C$2:$C$11,MATCH(F968,Produtos!$A$2:$A$11,0))</f>
        <v>Celular Motorola</v>
      </c>
      <c r="H968" s="2" t="n">
        <v>1</v>
      </c>
      <c r="I968" s="5" t="n">
        <f aca="false">INDEX(Produtos!$D$2:$D$11,MATCH(F968,Produtos!$A$2:$A$11,0))</f>
        <v>1799</v>
      </c>
      <c r="J968" s="5" t="n">
        <f aca="false">H968*I968</f>
        <v>1799</v>
      </c>
      <c r="K968" s="5" t="n">
        <f aca="false">INDEX(Produtos!$E$2:$E$11,MATCH(F968,Produtos!$A$2:$A$11,0))</f>
        <v>1250</v>
      </c>
      <c r="L968" s="5" t="n">
        <f aca="false">H968*K968</f>
        <v>1250</v>
      </c>
    </row>
    <row r="969" customFormat="false" ht="15" hidden="false" customHeight="false" outlineLevel="0" collapsed="false">
      <c r="A969" s="2" t="s">
        <v>1251</v>
      </c>
      <c r="B969" s="8" t="n">
        <v>46104</v>
      </c>
      <c r="C969" s="2" t="s">
        <v>195</v>
      </c>
      <c r="D969" s="3" t="str">
        <f aca="false">INDEX(Vendedores!$C$2:$C$101,MATCH(C969,Vendedores!$A$2:$A$101,0))</f>
        <v>L08</v>
      </c>
      <c r="E969" s="3" t="str">
        <f aca="false">INDEX(Lojas!$E$2:$E$11,MATCH(D969,Lojas!$A$2:$A$11,0))</f>
        <v>Nordeste</v>
      </c>
      <c r="F969" s="2" t="s">
        <v>267</v>
      </c>
      <c r="G969" s="3" t="str">
        <f aca="false">INDEX(Produtos!$B$2:$B$11,MATCH(F969,Produtos!$A$2:$A$11,0))&amp;" "&amp;INDEX(Produtos!$C$2:$C$11,MATCH(F969,Produtos!$A$2:$A$11,0))</f>
        <v>Carregador de Celular Tipo C</v>
      </c>
      <c r="H969" s="2" t="n">
        <v>1</v>
      </c>
      <c r="I969" s="5" t="n">
        <f aca="false">INDEX(Produtos!$D$2:$D$11,MATCH(F969,Produtos!$A$2:$A$11,0))</f>
        <v>44.9</v>
      </c>
      <c r="J969" s="5" t="n">
        <f aca="false">H969*I969</f>
        <v>44.9</v>
      </c>
      <c r="K969" s="5" t="n">
        <f aca="false">INDEX(Produtos!$E$2:$E$11,MATCH(F969,Produtos!$A$2:$A$11,0))</f>
        <v>18</v>
      </c>
      <c r="L969" s="5" t="n">
        <f aca="false">H969*K969</f>
        <v>18</v>
      </c>
    </row>
    <row r="970" customFormat="false" ht="15" hidden="false" customHeight="false" outlineLevel="0" collapsed="false">
      <c r="A970" s="2" t="s">
        <v>1252</v>
      </c>
      <c r="B970" s="8" t="n">
        <v>46104</v>
      </c>
      <c r="C970" s="2" t="s">
        <v>154</v>
      </c>
      <c r="D970" s="3" t="str">
        <f aca="false">INDEX(Vendedores!$C$2:$C$101,MATCH(C970,Vendedores!$A$2:$A$101,0))</f>
        <v>L06</v>
      </c>
      <c r="E970" s="3" t="str">
        <f aca="false">INDEX(Lojas!$E$2:$E$11,MATCH(D970,Lojas!$A$2:$A$11,0))</f>
        <v>Sul</v>
      </c>
      <c r="F970" s="2" t="s">
        <v>262</v>
      </c>
      <c r="G970" s="3" t="str">
        <f aca="false">INDEX(Produtos!$B$2:$B$11,MATCH(F970,Produtos!$A$2:$A$11,0))&amp;" "&amp;INDEX(Produtos!$C$2:$C$11,MATCH(F970,Produtos!$A$2:$A$11,0))</f>
        <v>Fone de Ouvido De Celular</v>
      </c>
      <c r="H970" s="2" t="n">
        <v>1</v>
      </c>
      <c r="I970" s="5" t="n">
        <f aca="false">INDEX(Produtos!$D$2:$D$11,MATCH(F970,Produtos!$A$2:$A$11,0))</f>
        <v>59.9</v>
      </c>
      <c r="J970" s="5" t="n">
        <f aca="false">H970*I970</f>
        <v>59.9</v>
      </c>
      <c r="K970" s="5" t="n">
        <f aca="false">INDEX(Produtos!$E$2:$E$11,MATCH(F970,Produtos!$A$2:$A$11,0))</f>
        <v>28</v>
      </c>
      <c r="L970" s="5" t="n">
        <f aca="false">H970*K970</f>
        <v>28</v>
      </c>
    </row>
    <row r="971" customFormat="false" ht="15" hidden="false" customHeight="false" outlineLevel="0" collapsed="false">
      <c r="A971" s="2" t="s">
        <v>1253</v>
      </c>
      <c r="B971" s="8" t="n">
        <v>46104</v>
      </c>
      <c r="C971" s="2" t="s">
        <v>78</v>
      </c>
      <c r="D971" s="3" t="str">
        <f aca="false">INDEX(Vendedores!$C$2:$C$101,MATCH(C971,Vendedores!$A$2:$A$101,0))</f>
        <v>L02</v>
      </c>
      <c r="E971" s="3" t="str">
        <f aca="false">INDEX(Lojas!$E$2:$E$11,MATCH(D971,Lojas!$A$2:$A$11,0))</f>
        <v>Sudeste</v>
      </c>
      <c r="F971" s="2" t="s">
        <v>267</v>
      </c>
      <c r="G971" s="3" t="str">
        <f aca="false">INDEX(Produtos!$B$2:$B$11,MATCH(F971,Produtos!$A$2:$A$11,0))&amp;" "&amp;INDEX(Produtos!$C$2:$C$11,MATCH(F971,Produtos!$A$2:$A$11,0))</f>
        <v>Carregador de Celular Tipo C</v>
      </c>
      <c r="H971" s="2" t="n">
        <v>3</v>
      </c>
      <c r="I971" s="5" t="n">
        <f aca="false">INDEX(Produtos!$D$2:$D$11,MATCH(F971,Produtos!$A$2:$A$11,0))</f>
        <v>44.9</v>
      </c>
      <c r="J971" s="5" t="n">
        <f aca="false">H971*I971</f>
        <v>134.7</v>
      </c>
      <c r="K971" s="5" t="n">
        <f aca="false">INDEX(Produtos!$E$2:$E$11,MATCH(F971,Produtos!$A$2:$A$11,0))</f>
        <v>18</v>
      </c>
      <c r="L971" s="5" t="n">
        <f aca="false">H971*K971</f>
        <v>54</v>
      </c>
    </row>
    <row r="972" customFormat="false" ht="15" hidden="false" customHeight="false" outlineLevel="0" collapsed="false">
      <c r="A972" s="2" t="s">
        <v>1254</v>
      </c>
      <c r="B972" s="8" t="n">
        <v>46104</v>
      </c>
      <c r="C972" s="2" t="s">
        <v>209</v>
      </c>
      <c r="D972" s="3" t="str">
        <f aca="false">INDEX(Vendedores!$C$2:$C$101,MATCH(C972,Vendedores!$A$2:$A$101,0))</f>
        <v>L09</v>
      </c>
      <c r="E972" s="3" t="str">
        <f aca="false">INDEX(Lojas!$E$2:$E$11,MATCH(D972,Lojas!$A$2:$A$11,0))</f>
        <v>Nordeste</v>
      </c>
      <c r="F972" s="2" t="s">
        <v>255</v>
      </c>
      <c r="G972" s="3" t="str">
        <f aca="false">INDEX(Produtos!$B$2:$B$11,MATCH(F972,Produtos!$A$2:$A$11,0))&amp;" "&amp;INDEX(Produtos!$C$2:$C$11,MATCH(F972,Produtos!$A$2:$A$11,0))</f>
        <v>Notebook Positivo</v>
      </c>
      <c r="H972" s="2" t="n">
        <v>1</v>
      </c>
      <c r="I972" s="5" t="n">
        <f aca="false">INDEX(Produtos!$D$2:$D$11,MATCH(F972,Produtos!$A$2:$A$11,0))</f>
        <v>2199</v>
      </c>
      <c r="J972" s="5" t="n">
        <f aca="false">H972*I972</f>
        <v>2199</v>
      </c>
      <c r="K972" s="5" t="n">
        <f aca="false">INDEX(Produtos!$E$2:$E$11,MATCH(F972,Produtos!$A$2:$A$11,0))</f>
        <v>1550</v>
      </c>
      <c r="L972" s="5" t="n">
        <f aca="false">H972*K972</f>
        <v>1550</v>
      </c>
    </row>
    <row r="973" customFormat="false" ht="15" hidden="false" customHeight="false" outlineLevel="0" collapsed="false">
      <c r="A973" s="2" t="s">
        <v>1255</v>
      </c>
      <c r="B973" s="8" t="n">
        <v>46105</v>
      </c>
      <c r="C973" s="2" t="s">
        <v>195</v>
      </c>
      <c r="D973" s="3" t="str">
        <f aca="false">INDEX(Vendedores!$C$2:$C$101,MATCH(C973,Vendedores!$A$2:$A$101,0))</f>
        <v>L08</v>
      </c>
      <c r="E973" s="3" t="str">
        <f aca="false">INDEX(Lojas!$E$2:$E$11,MATCH(D973,Lojas!$A$2:$A$11,0))</f>
        <v>Nordeste</v>
      </c>
      <c r="F973" s="2" t="s">
        <v>260</v>
      </c>
      <c r="G973" s="3" t="str">
        <f aca="false">INDEX(Produtos!$B$2:$B$11,MATCH(F973,Produtos!$A$2:$A$11,0))&amp;" "&amp;INDEX(Produtos!$C$2:$C$11,MATCH(F973,Produtos!$A$2:$A$11,0))</f>
        <v>Celular Motorola</v>
      </c>
      <c r="H973" s="2" t="n">
        <v>3</v>
      </c>
      <c r="I973" s="5" t="n">
        <f aca="false">INDEX(Produtos!$D$2:$D$11,MATCH(F973,Produtos!$A$2:$A$11,0))</f>
        <v>1799</v>
      </c>
      <c r="J973" s="5" t="n">
        <f aca="false">H973*I973</f>
        <v>5397</v>
      </c>
      <c r="K973" s="5" t="n">
        <f aca="false">INDEX(Produtos!$E$2:$E$11,MATCH(F973,Produtos!$A$2:$A$11,0))</f>
        <v>1250</v>
      </c>
      <c r="L973" s="5" t="n">
        <f aca="false">H973*K973</f>
        <v>3750</v>
      </c>
    </row>
    <row r="974" customFormat="false" ht="15" hidden="false" customHeight="false" outlineLevel="0" collapsed="false">
      <c r="A974" s="2" t="s">
        <v>1256</v>
      </c>
      <c r="B974" s="8" t="n">
        <v>46105</v>
      </c>
      <c r="C974" s="2" t="s">
        <v>172</v>
      </c>
      <c r="D974" s="3" t="str">
        <f aca="false">INDEX(Vendedores!$C$2:$C$101,MATCH(C974,Vendedores!$A$2:$A$101,0))</f>
        <v>L07</v>
      </c>
      <c r="E974" s="3" t="str">
        <f aca="false">INDEX(Lojas!$E$2:$E$11,MATCH(D974,Lojas!$A$2:$A$11,0))</f>
        <v>Sul</v>
      </c>
      <c r="F974" s="2" t="s">
        <v>260</v>
      </c>
      <c r="G974" s="3" t="str">
        <f aca="false">INDEX(Produtos!$B$2:$B$11,MATCH(F974,Produtos!$A$2:$A$11,0))&amp;" "&amp;INDEX(Produtos!$C$2:$C$11,MATCH(F974,Produtos!$A$2:$A$11,0))</f>
        <v>Celular Motorola</v>
      </c>
      <c r="H974" s="2" t="n">
        <v>2</v>
      </c>
      <c r="I974" s="5" t="n">
        <f aca="false">INDEX(Produtos!$D$2:$D$11,MATCH(F974,Produtos!$A$2:$A$11,0))</f>
        <v>1799</v>
      </c>
      <c r="J974" s="5" t="n">
        <f aca="false">H974*I974</f>
        <v>3598</v>
      </c>
      <c r="K974" s="5" t="n">
        <f aca="false">INDEX(Produtos!$E$2:$E$11,MATCH(F974,Produtos!$A$2:$A$11,0))</f>
        <v>1250</v>
      </c>
      <c r="L974" s="5" t="n">
        <f aca="false">H974*K974</f>
        <v>2500</v>
      </c>
    </row>
    <row r="975" customFormat="false" ht="15" hidden="false" customHeight="false" outlineLevel="0" collapsed="false">
      <c r="A975" s="2" t="s">
        <v>1257</v>
      </c>
      <c r="B975" s="8" t="n">
        <v>46105</v>
      </c>
      <c r="C975" s="2" t="s">
        <v>104</v>
      </c>
      <c r="D975" s="3" t="str">
        <f aca="false">INDEX(Vendedores!$C$2:$C$101,MATCH(C975,Vendedores!$A$2:$A$101,0))</f>
        <v>L03</v>
      </c>
      <c r="E975" s="3" t="str">
        <f aca="false">INDEX(Lojas!$E$2:$E$11,MATCH(D975,Lojas!$A$2:$A$11,0))</f>
        <v>Sudeste</v>
      </c>
      <c r="F975" s="2" t="s">
        <v>255</v>
      </c>
      <c r="G975" s="3" t="str">
        <f aca="false">INDEX(Produtos!$B$2:$B$11,MATCH(F975,Produtos!$A$2:$A$11,0))&amp;" "&amp;INDEX(Produtos!$C$2:$C$11,MATCH(F975,Produtos!$A$2:$A$11,0))</f>
        <v>Notebook Positivo</v>
      </c>
      <c r="H975" s="2" t="n">
        <v>1</v>
      </c>
      <c r="I975" s="5" t="n">
        <f aca="false">INDEX(Produtos!$D$2:$D$11,MATCH(F975,Produtos!$A$2:$A$11,0))</f>
        <v>2199</v>
      </c>
      <c r="J975" s="5" t="n">
        <f aca="false">H975*I975</f>
        <v>2199</v>
      </c>
      <c r="K975" s="5" t="n">
        <f aca="false">INDEX(Produtos!$E$2:$E$11,MATCH(F975,Produtos!$A$2:$A$11,0))</f>
        <v>1550</v>
      </c>
      <c r="L975" s="5" t="n">
        <f aca="false">H975*K975</f>
        <v>1550</v>
      </c>
    </row>
    <row r="976" customFormat="false" ht="15" hidden="false" customHeight="false" outlineLevel="0" collapsed="false">
      <c r="A976" s="2" t="s">
        <v>1258</v>
      </c>
      <c r="B976" s="8" t="n">
        <v>46105</v>
      </c>
      <c r="C976" s="2" t="s">
        <v>104</v>
      </c>
      <c r="D976" s="3" t="str">
        <f aca="false">INDEX(Vendedores!$C$2:$C$101,MATCH(C976,Vendedores!$A$2:$A$101,0))</f>
        <v>L03</v>
      </c>
      <c r="E976" s="3" t="str">
        <f aca="false">INDEX(Lojas!$E$2:$E$11,MATCH(D976,Lojas!$A$2:$A$11,0))</f>
        <v>Sudeste</v>
      </c>
      <c r="F976" s="2" t="s">
        <v>267</v>
      </c>
      <c r="G976" s="3" t="str">
        <f aca="false">INDEX(Produtos!$B$2:$B$11,MATCH(F976,Produtos!$A$2:$A$11,0))&amp;" "&amp;INDEX(Produtos!$C$2:$C$11,MATCH(F976,Produtos!$A$2:$A$11,0))</f>
        <v>Carregador de Celular Tipo C</v>
      </c>
      <c r="H976" s="2" t="n">
        <v>1</v>
      </c>
      <c r="I976" s="5" t="n">
        <f aca="false">INDEX(Produtos!$D$2:$D$11,MATCH(F976,Produtos!$A$2:$A$11,0))</f>
        <v>44.9</v>
      </c>
      <c r="J976" s="5" t="n">
        <f aca="false">H976*I976</f>
        <v>44.9</v>
      </c>
      <c r="K976" s="5" t="n">
        <f aca="false">INDEX(Produtos!$E$2:$E$11,MATCH(F976,Produtos!$A$2:$A$11,0))</f>
        <v>18</v>
      </c>
      <c r="L976" s="5" t="n">
        <f aca="false">H976*K976</f>
        <v>18</v>
      </c>
    </row>
    <row r="977" customFormat="false" ht="15" hidden="false" customHeight="false" outlineLevel="0" collapsed="false">
      <c r="A977" s="2" t="s">
        <v>1259</v>
      </c>
      <c r="B977" s="8" t="n">
        <v>46105</v>
      </c>
      <c r="C977" s="2" t="s">
        <v>70</v>
      </c>
      <c r="D977" s="3" t="str">
        <f aca="false">INDEX(Vendedores!$C$2:$C$101,MATCH(C977,Vendedores!$A$2:$A$101,0))</f>
        <v>L02</v>
      </c>
      <c r="E977" s="3" t="str">
        <f aca="false">INDEX(Lojas!$E$2:$E$11,MATCH(D977,Lojas!$A$2:$A$11,0))</f>
        <v>Sudeste</v>
      </c>
      <c r="F977" s="2" t="s">
        <v>257</v>
      </c>
      <c r="G977" s="3" t="str">
        <f aca="false">INDEX(Produtos!$B$2:$B$11,MATCH(F977,Produtos!$A$2:$A$11,0))&amp;" "&amp;INDEX(Produtos!$C$2:$C$11,MATCH(F977,Produtos!$A$2:$A$11,0))</f>
        <v>Celular Samsung</v>
      </c>
      <c r="H977" s="2" t="n">
        <v>2</v>
      </c>
      <c r="I977" s="5" t="n">
        <f aca="false">INDEX(Produtos!$D$2:$D$11,MATCH(F977,Produtos!$A$2:$A$11,0))</f>
        <v>2499</v>
      </c>
      <c r="J977" s="5" t="n">
        <f aca="false">H977*I977</f>
        <v>4998</v>
      </c>
      <c r="K977" s="5" t="n">
        <f aca="false">INDEX(Produtos!$E$2:$E$11,MATCH(F977,Produtos!$A$2:$A$11,0))</f>
        <v>1800</v>
      </c>
      <c r="L977" s="5" t="n">
        <f aca="false">H977*K977</f>
        <v>3600</v>
      </c>
    </row>
    <row r="978" customFormat="false" ht="15" hidden="false" customHeight="false" outlineLevel="0" collapsed="false">
      <c r="A978" s="2" t="s">
        <v>1260</v>
      </c>
      <c r="B978" s="8" t="n">
        <v>46105</v>
      </c>
      <c r="C978" s="2" t="s">
        <v>88</v>
      </c>
      <c r="D978" s="3" t="str">
        <f aca="false">INDEX(Vendedores!$C$2:$C$101,MATCH(C978,Vendedores!$A$2:$A$101,0))</f>
        <v>L02</v>
      </c>
      <c r="E978" s="3" t="str">
        <f aca="false">INDEX(Lojas!$E$2:$E$11,MATCH(D978,Lojas!$A$2:$A$11,0))</f>
        <v>Sudeste</v>
      </c>
      <c r="F978" s="2" t="s">
        <v>267</v>
      </c>
      <c r="G978" s="3" t="str">
        <f aca="false">INDEX(Produtos!$B$2:$B$11,MATCH(F978,Produtos!$A$2:$A$11,0))&amp;" "&amp;INDEX(Produtos!$C$2:$C$11,MATCH(F978,Produtos!$A$2:$A$11,0))</f>
        <v>Carregador de Celular Tipo C</v>
      </c>
      <c r="H978" s="2" t="n">
        <v>1</v>
      </c>
      <c r="I978" s="5" t="n">
        <f aca="false">INDEX(Produtos!$D$2:$D$11,MATCH(F978,Produtos!$A$2:$A$11,0))</f>
        <v>44.9</v>
      </c>
      <c r="J978" s="5" t="n">
        <f aca="false">H978*I978</f>
        <v>44.9</v>
      </c>
      <c r="K978" s="5" t="n">
        <f aca="false">INDEX(Produtos!$E$2:$E$11,MATCH(F978,Produtos!$A$2:$A$11,0))</f>
        <v>18</v>
      </c>
      <c r="L978" s="5" t="n">
        <f aca="false">H978*K978</f>
        <v>18</v>
      </c>
    </row>
    <row r="979" customFormat="false" ht="15" hidden="false" customHeight="false" outlineLevel="0" collapsed="false">
      <c r="A979" s="2" t="s">
        <v>1261</v>
      </c>
      <c r="B979" s="8" t="n">
        <v>46105</v>
      </c>
      <c r="C979" s="2" t="s">
        <v>179</v>
      </c>
      <c r="D979" s="3" t="str">
        <f aca="false">INDEX(Vendedores!$C$2:$C$101,MATCH(C979,Vendedores!$A$2:$A$101,0))</f>
        <v>L07</v>
      </c>
      <c r="E979" s="3" t="str">
        <f aca="false">INDEX(Lojas!$E$2:$E$11,MATCH(D979,Lojas!$A$2:$A$11,0))</f>
        <v>Sul</v>
      </c>
      <c r="F979" s="2" t="s">
        <v>262</v>
      </c>
      <c r="G979" s="3" t="str">
        <f aca="false">INDEX(Produtos!$B$2:$B$11,MATCH(F979,Produtos!$A$2:$A$11,0))&amp;" "&amp;INDEX(Produtos!$C$2:$C$11,MATCH(F979,Produtos!$A$2:$A$11,0))</f>
        <v>Fone de Ouvido De Celular</v>
      </c>
      <c r="H979" s="2" t="n">
        <v>1</v>
      </c>
      <c r="I979" s="5" t="n">
        <f aca="false">INDEX(Produtos!$D$2:$D$11,MATCH(F979,Produtos!$A$2:$A$11,0))</f>
        <v>59.9</v>
      </c>
      <c r="J979" s="5" t="n">
        <f aca="false">H979*I979</f>
        <v>59.9</v>
      </c>
      <c r="K979" s="5" t="n">
        <f aca="false">INDEX(Produtos!$E$2:$E$11,MATCH(F979,Produtos!$A$2:$A$11,0))</f>
        <v>28</v>
      </c>
      <c r="L979" s="5" t="n">
        <f aca="false">H979*K979</f>
        <v>28</v>
      </c>
    </row>
    <row r="980" customFormat="false" ht="15" hidden="false" customHeight="false" outlineLevel="0" collapsed="false">
      <c r="A980" s="2" t="s">
        <v>1262</v>
      </c>
      <c r="B980" s="8" t="n">
        <v>46105</v>
      </c>
      <c r="C980" s="2" t="s">
        <v>112</v>
      </c>
      <c r="D980" s="3" t="str">
        <f aca="false">INDEX(Vendedores!$C$2:$C$101,MATCH(C980,Vendedores!$A$2:$A$101,0))</f>
        <v>L04</v>
      </c>
      <c r="E980" s="3" t="str">
        <f aca="false">INDEX(Lojas!$E$2:$E$11,MATCH(D980,Lojas!$A$2:$A$11,0))</f>
        <v>Sudeste</v>
      </c>
      <c r="F980" s="2" t="s">
        <v>262</v>
      </c>
      <c r="G980" s="3" t="str">
        <f aca="false">INDEX(Produtos!$B$2:$B$11,MATCH(F980,Produtos!$A$2:$A$11,0))&amp;" "&amp;INDEX(Produtos!$C$2:$C$11,MATCH(F980,Produtos!$A$2:$A$11,0))</f>
        <v>Fone de Ouvido De Celular</v>
      </c>
      <c r="H980" s="2" t="n">
        <v>1</v>
      </c>
      <c r="I980" s="5" t="n">
        <f aca="false">INDEX(Produtos!$D$2:$D$11,MATCH(F980,Produtos!$A$2:$A$11,0))</f>
        <v>59.9</v>
      </c>
      <c r="J980" s="5" t="n">
        <f aca="false">H980*I980</f>
        <v>59.9</v>
      </c>
      <c r="K980" s="5" t="n">
        <f aca="false">INDEX(Produtos!$E$2:$E$11,MATCH(F980,Produtos!$A$2:$A$11,0))</f>
        <v>28</v>
      </c>
      <c r="L980" s="5" t="n">
        <f aca="false">H980*K980</f>
        <v>28</v>
      </c>
    </row>
    <row r="981" customFormat="false" ht="15" hidden="false" customHeight="false" outlineLevel="0" collapsed="false">
      <c r="A981" s="2" t="s">
        <v>1263</v>
      </c>
      <c r="B981" s="8" t="n">
        <v>46105</v>
      </c>
      <c r="C981" s="2" t="s">
        <v>138</v>
      </c>
      <c r="D981" s="3" t="str">
        <f aca="false">INDEX(Vendedores!$C$2:$C$101,MATCH(C981,Vendedores!$A$2:$A$101,0))</f>
        <v>L05</v>
      </c>
      <c r="E981" s="3" t="str">
        <f aca="false">INDEX(Lojas!$E$2:$E$11,MATCH(D981,Lojas!$A$2:$A$11,0))</f>
        <v>Sul</v>
      </c>
      <c r="F981" s="2" t="s">
        <v>262</v>
      </c>
      <c r="G981" s="3" t="str">
        <f aca="false">INDEX(Produtos!$B$2:$B$11,MATCH(F981,Produtos!$A$2:$A$11,0))&amp;" "&amp;INDEX(Produtos!$C$2:$C$11,MATCH(F981,Produtos!$A$2:$A$11,0))</f>
        <v>Fone de Ouvido De Celular</v>
      </c>
      <c r="H981" s="2" t="n">
        <v>1</v>
      </c>
      <c r="I981" s="5" t="n">
        <f aca="false">INDEX(Produtos!$D$2:$D$11,MATCH(F981,Produtos!$A$2:$A$11,0))</f>
        <v>59.9</v>
      </c>
      <c r="J981" s="5" t="n">
        <f aca="false">H981*I981</f>
        <v>59.9</v>
      </c>
      <c r="K981" s="5" t="n">
        <f aca="false">INDEX(Produtos!$E$2:$E$11,MATCH(F981,Produtos!$A$2:$A$11,0))</f>
        <v>28</v>
      </c>
      <c r="L981" s="5" t="n">
        <f aca="false">H981*K981</f>
        <v>28</v>
      </c>
    </row>
    <row r="982" customFormat="false" ht="15" hidden="false" customHeight="false" outlineLevel="0" collapsed="false">
      <c r="A982" s="2" t="s">
        <v>1264</v>
      </c>
      <c r="B982" s="8" t="n">
        <v>46105</v>
      </c>
      <c r="C982" s="2" t="s">
        <v>146</v>
      </c>
      <c r="D982" s="3" t="str">
        <f aca="false">INDEX(Vendedores!$C$2:$C$101,MATCH(C982,Vendedores!$A$2:$A$101,0))</f>
        <v>L05</v>
      </c>
      <c r="E982" s="3" t="str">
        <f aca="false">INDEX(Lojas!$E$2:$E$11,MATCH(D982,Lojas!$A$2:$A$11,0))</f>
        <v>Sul</v>
      </c>
      <c r="F982" s="2" t="s">
        <v>273</v>
      </c>
      <c r="G982" s="3" t="str">
        <f aca="false">INDEX(Produtos!$B$2:$B$11,MATCH(F982,Produtos!$A$2:$A$11,0))&amp;" "&amp;INDEX(Produtos!$C$2:$C$11,MATCH(F982,Produtos!$A$2:$A$11,0))</f>
        <v>Controle de Videogame PS4</v>
      </c>
      <c r="H982" s="2" t="n">
        <v>1</v>
      </c>
      <c r="I982" s="5" t="n">
        <f aca="false">INDEX(Produtos!$D$2:$D$11,MATCH(F982,Produtos!$A$2:$A$11,0))</f>
        <v>299.9</v>
      </c>
      <c r="J982" s="5" t="n">
        <f aca="false">H982*I982</f>
        <v>299.9</v>
      </c>
      <c r="K982" s="5" t="n">
        <f aca="false">INDEX(Produtos!$E$2:$E$11,MATCH(F982,Produtos!$A$2:$A$11,0))</f>
        <v>175</v>
      </c>
      <c r="L982" s="5" t="n">
        <f aca="false">H982*K982</f>
        <v>175</v>
      </c>
    </row>
    <row r="983" customFormat="false" ht="15" hidden="false" customHeight="false" outlineLevel="0" collapsed="false">
      <c r="A983" s="2" t="s">
        <v>1265</v>
      </c>
      <c r="B983" s="8" t="n">
        <v>46105</v>
      </c>
      <c r="C983" s="2" t="s">
        <v>146</v>
      </c>
      <c r="D983" s="3" t="str">
        <f aca="false">INDEX(Vendedores!$C$2:$C$101,MATCH(C983,Vendedores!$A$2:$A$101,0))</f>
        <v>L05</v>
      </c>
      <c r="E983" s="3" t="str">
        <f aca="false">INDEX(Lojas!$E$2:$E$11,MATCH(D983,Lojas!$A$2:$A$11,0))</f>
        <v>Sul</v>
      </c>
      <c r="F983" s="2" t="s">
        <v>257</v>
      </c>
      <c r="G983" s="3" t="str">
        <f aca="false">INDEX(Produtos!$B$2:$B$11,MATCH(F983,Produtos!$A$2:$A$11,0))&amp;" "&amp;INDEX(Produtos!$C$2:$C$11,MATCH(F983,Produtos!$A$2:$A$11,0))</f>
        <v>Celular Samsung</v>
      </c>
      <c r="H983" s="2" t="n">
        <v>1</v>
      </c>
      <c r="I983" s="5" t="n">
        <f aca="false">INDEX(Produtos!$D$2:$D$11,MATCH(F983,Produtos!$A$2:$A$11,0))</f>
        <v>2499</v>
      </c>
      <c r="J983" s="5" t="n">
        <f aca="false">H983*I983</f>
        <v>2499</v>
      </c>
      <c r="K983" s="5" t="n">
        <f aca="false">INDEX(Produtos!$E$2:$E$11,MATCH(F983,Produtos!$A$2:$A$11,0))</f>
        <v>1800</v>
      </c>
      <c r="L983" s="5" t="n">
        <f aca="false">H983*K983</f>
        <v>1800</v>
      </c>
    </row>
    <row r="984" customFormat="false" ht="15" hidden="false" customHeight="false" outlineLevel="0" collapsed="false">
      <c r="A984" s="2" t="s">
        <v>1266</v>
      </c>
      <c r="B984" s="8" t="n">
        <v>46105</v>
      </c>
      <c r="C984" s="2" t="s">
        <v>140</v>
      </c>
      <c r="D984" s="3" t="str">
        <f aca="false">INDEX(Vendedores!$C$2:$C$101,MATCH(C984,Vendedores!$A$2:$A$101,0))</f>
        <v>L05</v>
      </c>
      <c r="E984" s="3" t="str">
        <f aca="false">INDEX(Lojas!$E$2:$E$11,MATCH(D984,Lojas!$A$2:$A$11,0))</f>
        <v>Sul</v>
      </c>
      <c r="F984" s="2" t="s">
        <v>267</v>
      </c>
      <c r="G984" s="3" t="str">
        <f aca="false">INDEX(Produtos!$B$2:$B$11,MATCH(F984,Produtos!$A$2:$A$11,0))&amp;" "&amp;INDEX(Produtos!$C$2:$C$11,MATCH(F984,Produtos!$A$2:$A$11,0))</f>
        <v>Carregador de Celular Tipo C</v>
      </c>
      <c r="H984" s="2" t="n">
        <v>1</v>
      </c>
      <c r="I984" s="5" t="n">
        <f aca="false">INDEX(Produtos!$D$2:$D$11,MATCH(F984,Produtos!$A$2:$A$11,0))</f>
        <v>44.9</v>
      </c>
      <c r="J984" s="5" t="n">
        <f aca="false">H984*I984</f>
        <v>44.9</v>
      </c>
      <c r="K984" s="5" t="n">
        <f aca="false">INDEX(Produtos!$E$2:$E$11,MATCH(F984,Produtos!$A$2:$A$11,0))</f>
        <v>18</v>
      </c>
      <c r="L984" s="5" t="n">
        <f aca="false">H984*K984</f>
        <v>18</v>
      </c>
    </row>
    <row r="985" customFormat="false" ht="15" hidden="false" customHeight="false" outlineLevel="0" collapsed="false">
      <c r="A985" s="2" t="s">
        <v>1267</v>
      </c>
      <c r="B985" s="8" t="n">
        <v>46105</v>
      </c>
      <c r="C985" s="2" t="s">
        <v>142</v>
      </c>
      <c r="D985" s="3" t="str">
        <f aca="false">INDEX(Vendedores!$C$2:$C$101,MATCH(C985,Vendedores!$A$2:$A$101,0))</f>
        <v>L05</v>
      </c>
      <c r="E985" s="3" t="str">
        <f aca="false">INDEX(Lojas!$E$2:$E$11,MATCH(D985,Lojas!$A$2:$A$11,0))</f>
        <v>Sul</v>
      </c>
      <c r="F985" s="2" t="s">
        <v>270</v>
      </c>
      <c r="G985" s="3" t="str">
        <f aca="false">INDEX(Produtos!$B$2:$B$11,MATCH(F985,Produtos!$A$2:$A$11,0))&amp;" "&amp;INDEX(Produtos!$C$2:$C$11,MATCH(F985,Produtos!$A$2:$A$11,0))</f>
        <v>Controle de Videogame Xbox</v>
      </c>
      <c r="H985" s="2" t="n">
        <v>1</v>
      </c>
      <c r="I985" s="5" t="n">
        <f aca="false">INDEX(Produtos!$D$2:$D$11,MATCH(F985,Produtos!$A$2:$A$11,0))</f>
        <v>349.9</v>
      </c>
      <c r="J985" s="5" t="n">
        <f aca="false">H985*I985</f>
        <v>349.9</v>
      </c>
      <c r="K985" s="5" t="n">
        <f aca="false">INDEX(Produtos!$E$2:$E$11,MATCH(F985,Produtos!$A$2:$A$11,0))</f>
        <v>215</v>
      </c>
      <c r="L985" s="5" t="n">
        <f aca="false">H985*K985</f>
        <v>215</v>
      </c>
    </row>
    <row r="986" customFormat="false" ht="15" hidden="false" customHeight="false" outlineLevel="0" collapsed="false">
      <c r="A986" s="2" t="s">
        <v>1268</v>
      </c>
      <c r="B986" s="8" t="n">
        <v>46105</v>
      </c>
      <c r="C986" s="2" t="s">
        <v>221</v>
      </c>
      <c r="D986" s="3" t="str">
        <f aca="false">INDEX(Vendedores!$C$2:$C$101,MATCH(C986,Vendedores!$A$2:$A$101,0))</f>
        <v>L09</v>
      </c>
      <c r="E986" s="3" t="str">
        <f aca="false">INDEX(Lojas!$E$2:$E$11,MATCH(D986,Lojas!$A$2:$A$11,0))</f>
        <v>Nordeste</v>
      </c>
      <c r="F986" s="2" t="s">
        <v>255</v>
      </c>
      <c r="G986" s="3" t="str">
        <f aca="false">INDEX(Produtos!$B$2:$B$11,MATCH(F986,Produtos!$A$2:$A$11,0))&amp;" "&amp;INDEX(Produtos!$C$2:$C$11,MATCH(F986,Produtos!$A$2:$A$11,0))</f>
        <v>Notebook Positivo</v>
      </c>
      <c r="H986" s="2" t="n">
        <v>1</v>
      </c>
      <c r="I986" s="5" t="n">
        <f aca="false">INDEX(Produtos!$D$2:$D$11,MATCH(F986,Produtos!$A$2:$A$11,0))</f>
        <v>2199</v>
      </c>
      <c r="J986" s="5" t="n">
        <f aca="false">H986*I986</f>
        <v>2199</v>
      </c>
      <c r="K986" s="5" t="n">
        <f aca="false">INDEX(Produtos!$E$2:$E$11,MATCH(F986,Produtos!$A$2:$A$11,0))</f>
        <v>1550</v>
      </c>
      <c r="L986" s="5" t="n">
        <f aca="false">H986*K986</f>
        <v>1550</v>
      </c>
    </row>
    <row r="987" customFormat="false" ht="15" hidden="false" customHeight="false" outlineLevel="0" collapsed="false">
      <c r="A987" s="2" t="s">
        <v>1269</v>
      </c>
      <c r="B987" s="8" t="n">
        <v>46105</v>
      </c>
      <c r="C987" s="2" t="s">
        <v>182</v>
      </c>
      <c r="D987" s="3" t="str">
        <f aca="false">INDEX(Vendedores!$C$2:$C$101,MATCH(C987,Vendedores!$A$2:$A$101,0))</f>
        <v>L07</v>
      </c>
      <c r="E987" s="3" t="str">
        <f aca="false">INDEX(Lojas!$E$2:$E$11,MATCH(D987,Lojas!$A$2:$A$11,0))</f>
        <v>Sul</v>
      </c>
      <c r="F987" s="2" t="s">
        <v>265</v>
      </c>
      <c r="G987" s="3" t="str">
        <f aca="false">INDEX(Produtos!$B$2:$B$11,MATCH(F987,Produtos!$A$2:$A$11,0))&amp;" "&amp;INDEX(Produtos!$C$2:$C$11,MATCH(F987,Produtos!$A$2:$A$11,0))</f>
        <v>Fone de Ouvido Headset</v>
      </c>
      <c r="H987" s="2" t="n">
        <v>1</v>
      </c>
      <c r="I987" s="5" t="n">
        <f aca="false">INDEX(Produtos!$D$2:$D$11,MATCH(F987,Produtos!$A$2:$A$11,0))</f>
        <v>249.9</v>
      </c>
      <c r="J987" s="5" t="n">
        <f aca="false">H987*I987</f>
        <v>249.9</v>
      </c>
      <c r="K987" s="5" t="n">
        <f aca="false">INDEX(Produtos!$E$2:$E$11,MATCH(F987,Produtos!$A$2:$A$11,0))</f>
        <v>145</v>
      </c>
      <c r="L987" s="5" t="n">
        <f aca="false">H987*K987</f>
        <v>145</v>
      </c>
    </row>
    <row r="988" customFormat="false" ht="15" hidden="false" customHeight="false" outlineLevel="0" collapsed="false">
      <c r="A988" s="2" t="s">
        <v>1270</v>
      </c>
      <c r="B988" s="8" t="n">
        <v>46106</v>
      </c>
      <c r="C988" s="2" t="s">
        <v>195</v>
      </c>
      <c r="D988" s="3" t="str">
        <f aca="false">INDEX(Vendedores!$C$2:$C$101,MATCH(C988,Vendedores!$A$2:$A$101,0))</f>
        <v>L08</v>
      </c>
      <c r="E988" s="3" t="str">
        <f aca="false">INDEX(Lojas!$E$2:$E$11,MATCH(D988,Lojas!$A$2:$A$11,0))</f>
        <v>Nordeste</v>
      </c>
      <c r="F988" s="2" t="s">
        <v>257</v>
      </c>
      <c r="G988" s="3" t="str">
        <f aca="false">INDEX(Produtos!$B$2:$B$11,MATCH(F988,Produtos!$A$2:$A$11,0))&amp;" "&amp;INDEX(Produtos!$C$2:$C$11,MATCH(F988,Produtos!$A$2:$A$11,0))</f>
        <v>Celular Samsung</v>
      </c>
      <c r="H988" s="2" t="n">
        <v>2</v>
      </c>
      <c r="I988" s="5" t="n">
        <f aca="false">INDEX(Produtos!$D$2:$D$11,MATCH(F988,Produtos!$A$2:$A$11,0))</f>
        <v>2499</v>
      </c>
      <c r="J988" s="5" t="n">
        <f aca="false">H988*I988</f>
        <v>4998</v>
      </c>
      <c r="K988" s="5" t="n">
        <f aca="false">INDEX(Produtos!$E$2:$E$11,MATCH(F988,Produtos!$A$2:$A$11,0))</f>
        <v>1800</v>
      </c>
      <c r="L988" s="5" t="n">
        <f aca="false">H988*K988</f>
        <v>3600</v>
      </c>
    </row>
    <row r="989" customFormat="false" ht="15" hidden="false" customHeight="false" outlineLevel="0" collapsed="false">
      <c r="A989" s="2" t="s">
        <v>1271</v>
      </c>
      <c r="B989" s="8" t="n">
        <v>46106</v>
      </c>
      <c r="C989" s="2" t="s">
        <v>60</v>
      </c>
      <c r="D989" s="3" t="str">
        <f aca="false">INDEX(Vendedores!$C$2:$C$101,MATCH(C989,Vendedores!$A$2:$A$101,0))</f>
        <v>L01</v>
      </c>
      <c r="E989" s="3" t="str">
        <f aca="false">INDEX(Lojas!$E$2:$E$11,MATCH(D989,Lojas!$A$2:$A$11,0))</f>
        <v>Sudeste</v>
      </c>
      <c r="F989" s="2" t="s">
        <v>257</v>
      </c>
      <c r="G989" s="3" t="str">
        <f aca="false">INDEX(Produtos!$B$2:$B$11,MATCH(F989,Produtos!$A$2:$A$11,0))&amp;" "&amp;INDEX(Produtos!$C$2:$C$11,MATCH(F989,Produtos!$A$2:$A$11,0))</f>
        <v>Celular Samsung</v>
      </c>
      <c r="H989" s="2" t="n">
        <v>1</v>
      </c>
      <c r="I989" s="5" t="n">
        <f aca="false">INDEX(Produtos!$D$2:$D$11,MATCH(F989,Produtos!$A$2:$A$11,0))</f>
        <v>2499</v>
      </c>
      <c r="J989" s="5" t="n">
        <f aca="false">H989*I989</f>
        <v>2499</v>
      </c>
      <c r="K989" s="5" t="n">
        <f aca="false">INDEX(Produtos!$E$2:$E$11,MATCH(F989,Produtos!$A$2:$A$11,0))</f>
        <v>1800</v>
      </c>
      <c r="L989" s="5" t="n">
        <f aca="false">H989*K989</f>
        <v>1800</v>
      </c>
    </row>
    <row r="990" customFormat="false" ht="15" hidden="false" customHeight="false" outlineLevel="0" collapsed="false">
      <c r="A990" s="2" t="s">
        <v>1272</v>
      </c>
      <c r="B990" s="8" t="n">
        <v>46106</v>
      </c>
      <c r="C990" s="2" t="s">
        <v>180</v>
      </c>
      <c r="D990" s="3" t="str">
        <f aca="false">INDEX(Vendedores!$C$2:$C$101,MATCH(C990,Vendedores!$A$2:$A$101,0))</f>
        <v>L07</v>
      </c>
      <c r="E990" s="3" t="str">
        <f aca="false">INDEX(Lojas!$E$2:$E$11,MATCH(D990,Lojas!$A$2:$A$11,0))</f>
        <v>Sul</v>
      </c>
      <c r="F990" s="2" t="s">
        <v>267</v>
      </c>
      <c r="G990" s="3" t="str">
        <f aca="false">INDEX(Produtos!$B$2:$B$11,MATCH(F990,Produtos!$A$2:$A$11,0))&amp;" "&amp;INDEX(Produtos!$C$2:$C$11,MATCH(F990,Produtos!$A$2:$A$11,0))</f>
        <v>Carregador de Celular Tipo C</v>
      </c>
      <c r="H990" s="2" t="n">
        <v>1</v>
      </c>
      <c r="I990" s="5" t="n">
        <f aca="false">INDEX(Produtos!$D$2:$D$11,MATCH(F990,Produtos!$A$2:$A$11,0))</f>
        <v>44.9</v>
      </c>
      <c r="J990" s="5" t="n">
        <f aca="false">H990*I990</f>
        <v>44.9</v>
      </c>
      <c r="K990" s="5" t="n">
        <f aca="false">INDEX(Produtos!$E$2:$E$11,MATCH(F990,Produtos!$A$2:$A$11,0))</f>
        <v>18</v>
      </c>
      <c r="L990" s="5" t="n">
        <f aca="false">H990*K990</f>
        <v>18</v>
      </c>
    </row>
    <row r="991" customFormat="false" ht="15" hidden="false" customHeight="false" outlineLevel="0" collapsed="false">
      <c r="A991" s="2" t="s">
        <v>1273</v>
      </c>
      <c r="B991" s="8" t="n">
        <v>46106</v>
      </c>
      <c r="C991" s="2" t="s">
        <v>219</v>
      </c>
      <c r="D991" s="3" t="str">
        <f aca="false">INDEX(Vendedores!$C$2:$C$101,MATCH(C991,Vendedores!$A$2:$A$101,0))</f>
        <v>L09</v>
      </c>
      <c r="E991" s="3" t="str">
        <f aca="false">INDEX(Lojas!$E$2:$E$11,MATCH(D991,Lojas!$A$2:$A$11,0))</f>
        <v>Nordeste</v>
      </c>
      <c r="F991" s="2" t="s">
        <v>267</v>
      </c>
      <c r="G991" s="3" t="str">
        <f aca="false">INDEX(Produtos!$B$2:$B$11,MATCH(F991,Produtos!$A$2:$A$11,0))&amp;" "&amp;INDEX(Produtos!$C$2:$C$11,MATCH(F991,Produtos!$A$2:$A$11,0))</f>
        <v>Carregador de Celular Tipo C</v>
      </c>
      <c r="H991" s="2" t="n">
        <v>2</v>
      </c>
      <c r="I991" s="5" t="n">
        <f aca="false">INDEX(Produtos!$D$2:$D$11,MATCH(F991,Produtos!$A$2:$A$11,0))</f>
        <v>44.9</v>
      </c>
      <c r="J991" s="5" t="n">
        <f aca="false">H991*I991</f>
        <v>89.8</v>
      </c>
      <c r="K991" s="5" t="n">
        <f aca="false">INDEX(Produtos!$E$2:$E$11,MATCH(F991,Produtos!$A$2:$A$11,0))</f>
        <v>18</v>
      </c>
      <c r="L991" s="5" t="n">
        <f aca="false">H991*K991</f>
        <v>36</v>
      </c>
    </row>
    <row r="992" customFormat="false" ht="15" hidden="false" customHeight="false" outlineLevel="0" collapsed="false">
      <c r="A992" s="2" t="s">
        <v>1274</v>
      </c>
      <c r="B992" s="8" t="n">
        <v>46106</v>
      </c>
      <c r="C992" s="2" t="s">
        <v>52</v>
      </c>
      <c r="D992" s="3" t="str">
        <f aca="false">INDEX(Vendedores!$C$2:$C$101,MATCH(C992,Vendedores!$A$2:$A$101,0))</f>
        <v>L01</v>
      </c>
      <c r="E992" s="3" t="str">
        <f aca="false">INDEX(Lojas!$E$2:$E$11,MATCH(D992,Lojas!$A$2:$A$11,0))</f>
        <v>Sudeste</v>
      </c>
      <c r="F992" s="2" t="s">
        <v>255</v>
      </c>
      <c r="G992" s="3" t="str">
        <f aca="false">INDEX(Produtos!$B$2:$B$11,MATCH(F992,Produtos!$A$2:$A$11,0))&amp;" "&amp;INDEX(Produtos!$C$2:$C$11,MATCH(F992,Produtos!$A$2:$A$11,0))</f>
        <v>Notebook Positivo</v>
      </c>
      <c r="H992" s="2" t="n">
        <v>1</v>
      </c>
      <c r="I992" s="5" t="n">
        <f aca="false">INDEX(Produtos!$D$2:$D$11,MATCH(F992,Produtos!$A$2:$A$11,0))</f>
        <v>2199</v>
      </c>
      <c r="J992" s="5" t="n">
        <f aca="false">H992*I992</f>
        <v>2199</v>
      </c>
      <c r="K992" s="5" t="n">
        <f aca="false">INDEX(Produtos!$E$2:$E$11,MATCH(F992,Produtos!$A$2:$A$11,0))</f>
        <v>1550</v>
      </c>
      <c r="L992" s="5" t="n">
        <f aca="false">H992*K992</f>
        <v>1550</v>
      </c>
    </row>
    <row r="993" customFormat="false" ht="15" hidden="false" customHeight="false" outlineLevel="0" collapsed="false">
      <c r="A993" s="2" t="s">
        <v>1275</v>
      </c>
      <c r="B993" s="8" t="n">
        <v>46106</v>
      </c>
      <c r="C993" s="2" t="s">
        <v>183</v>
      </c>
      <c r="D993" s="3" t="str">
        <f aca="false">INDEX(Vendedores!$C$2:$C$101,MATCH(C993,Vendedores!$A$2:$A$101,0))</f>
        <v>L07</v>
      </c>
      <c r="E993" s="3" t="str">
        <f aca="false">INDEX(Lojas!$E$2:$E$11,MATCH(D993,Lojas!$A$2:$A$11,0))</f>
        <v>Sul</v>
      </c>
      <c r="F993" s="2" t="s">
        <v>267</v>
      </c>
      <c r="G993" s="3" t="str">
        <f aca="false">INDEX(Produtos!$B$2:$B$11,MATCH(F993,Produtos!$A$2:$A$11,0))&amp;" "&amp;INDEX(Produtos!$C$2:$C$11,MATCH(F993,Produtos!$A$2:$A$11,0))</f>
        <v>Carregador de Celular Tipo C</v>
      </c>
      <c r="H993" s="2" t="n">
        <v>2</v>
      </c>
      <c r="I993" s="5" t="n">
        <f aca="false">INDEX(Produtos!$D$2:$D$11,MATCH(F993,Produtos!$A$2:$A$11,0))</f>
        <v>44.9</v>
      </c>
      <c r="J993" s="5" t="n">
        <f aca="false">H993*I993</f>
        <v>89.8</v>
      </c>
      <c r="K993" s="5" t="n">
        <f aca="false">INDEX(Produtos!$E$2:$E$11,MATCH(F993,Produtos!$A$2:$A$11,0))</f>
        <v>18</v>
      </c>
      <c r="L993" s="5" t="n">
        <f aca="false">H993*K993</f>
        <v>36</v>
      </c>
    </row>
    <row r="994" customFormat="false" ht="15" hidden="false" customHeight="false" outlineLevel="0" collapsed="false">
      <c r="A994" s="2" t="s">
        <v>1276</v>
      </c>
      <c r="B994" s="8" t="n">
        <v>46106</v>
      </c>
      <c r="C994" s="2" t="s">
        <v>120</v>
      </c>
      <c r="D994" s="3" t="str">
        <f aca="false">INDEX(Vendedores!$C$2:$C$101,MATCH(C994,Vendedores!$A$2:$A$101,0))</f>
        <v>L04</v>
      </c>
      <c r="E994" s="3" t="str">
        <f aca="false">INDEX(Lojas!$E$2:$E$11,MATCH(D994,Lojas!$A$2:$A$11,0))</f>
        <v>Sudeste</v>
      </c>
      <c r="F994" s="2" t="s">
        <v>257</v>
      </c>
      <c r="G994" s="3" t="str">
        <f aca="false">INDEX(Produtos!$B$2:$B$11,MATCH(F994,Produtos!$A$2:$A$11,0))&amp;" "&amp;INDEX(Produtos!$C$2:$C$11,MATCH(F994,Produtos!$A$2:$A$11,0))</f>
        <v>Celular Samsung</v>
      </c>
      <c r="H994" s="2" t="n">
        <v>3</v>
      </c>
      <c r="I994" s="5" t="n">
        <f aca="false">INDEX(Produtos!$D$2:$D$11,MATCH(F994,Produtos!$A$2:$A$11,0))</f>
        <v>2499</v>
      </c>
      <c r="J994" s="5" t="n">
        <f aca="false">H994*I994</f>
        <v>7497</v>
      </c>
      <c r="K994" s="5" t="n">
        <f aca="false">INDEX(Produtos!$E$2:$E$11,MATCH(F994,Produtos!$A$2:$A$11,0))</f>
        <v>1800</v>
      </c>
      <c r="L994" s="5" t="n">
        <f aca="false">H994*K994</f>
        <v>5400</v>
      </c>
    </row>
    <row r="995" customFormat="false" ht="15" hidden="false" customHeight="false" outlineLevel="0" collapsed="false">
      <c r="A995" s="2" t="s">
        <v>1277</v>
      </c>
      <c r="B995" s="8" t="n">
        <v>46106</v>
      </c>
      <c r="C995" s="2" t="s">
        <v>135</v>
      </c>
      <c r="D995" s="3" t="str">
        <f aca="false">INDEX(Vendedores!$C$2:$C$101,MATCH(C995,Vendedores!$A$2:$A$101,0))</f>
        <v>L05</v>
      </c>
      <c r="E995" s="3" t="str">
        <f aca="false">INDEX(Lojas!$E$2:$E$11,MATCH(D995,Lojas!$A$2:$A$11,0))</f>
        <v>Sul</v>
      </c>
      <c r="F995" s="2" t="s">
        <v>267</v>
      </c>
      <c r="G995" s="3" t="str">
        <f aca="false">INDEX(Produtos!$B$2:$B$11,MATCH(F995,Produtos!$A$2:$A$11,0))&amp;" "&amp;INDEX(Produtos!$C$2:$C$11,MATCH(F995,Produtos!$A$2:$A$11,0))</f>
        <v>Carregador de Celular Tipo C</v>
      </c>
      <c r="H995" s="2" t="n">
        <v>1</v>
      </c>
      <c r="I995" s="5" t="n">
        <f aca="false">INDEX(Produtos!$D$2:$D$11,MATCH(F995,Produtos!$A$2:$A$11,0))</f>
        <v>44.9</v>
      </c>
      <c r="J995" s="5" t="n">
        <f aca="false">H995*I995</f>
        <v>44.9</v>
      </c>
      <c r="K995" s="5" t="n">
        <f aca="false">INDEX(Produtos!$E$2:$E$11,MATCH(F995,Produtos!$A$2:$A$11,0))</f>
        <v>18</v>
      </c>
      <c r="L995" s="5" t="n">
        <f aca="false">H995*K995</f>
        <v>18</v>
      </c>
    </row>
    <row r="996" customFormat="false" ht="15" hidden="false" customHeight="false" outlineLevel="0" collapsed="false">
      <c r="A996" s="2" t="s">
        <v>1278</v>
      </c>
      <c r="B996" s="8" t="n">
        <v>46106</v>
      </c>
      <c r="C996" s="2" t="s">
        <v>231</v>
      </c>
      <c r="D996" s="3" t="str">
        <f aca="false">INDEX(Vendedores!$C$2:$C$101,MATCH(C996,Vendedores!$A$2:$A$101,0))</f>
        <v>L10</v>
      </c>
      <c r="E996" s="3" t="str">
        <f aca="false">INDEX(Lojas!$E$2:$E$11,MATCH(D996,Lojas!$A$2:$A$11,0))</f>
        <v>Nordeste</v>
      </c>
      <c r="F996" s="2" t="s">
        <v>273</v>
      </c>
      <c r="G996" s="3" t="str">
        <f aca="false">INDEX(Produtos!$B$2:$B$11,MATCH(F996,Produtos!$A$2:$A$11,0))&amp;" "&amp;INDEX(Produtos!$C$2:$C$11,MATCH(F996,Produtos!$A$2:$A$11,0))</f>
        <v>Controle de Videogame PS4</v>
      </c>
      <c r="H996" s="2" t="n">
        <v>1</v>
      </c>
      <c r="I996" s="5" t="n">
        <f aca="false">INDEX(Produtos!$D$2:$D$11,MATCH(F996,Produtos!$A$2:$A$11,0))</f>
        <v>299.9</v>
      </c>
      <c r="J996" s="5" t="n">
        <f aca="false">H996*I996</f>
        <v>299.9</v>
      </c>
      <c r="K996" s="5" t="n">
        <f aca="false">INDEX(Produtos!$E$2:$E$11,MATCH(F996,Produtos!$A$2:$A$11,0))</f>
        <v>175</v>
      </c>
      <c r="L996" s="5" t="n">
        <f aca="false">H996*K996</f>
        <v>175</v>
      </c>
    </row>
    <row r="997" customFormat="false" ht="15" hidden="false" customHeight="false" outlineLevel="0" collapsed="false">
      <c r="A997" s="2" t="s">
        <v>1279</v>
      </c>
      <c r="B997" s="8" t="n">
        <v>46106</v>
      </c>
      <c r="C997" s="2" t="s">
        <v>174</v>
      </c>
      <c r="D997" s="3" t="str">
        <f aca="false">INDEX(Vendedores!$C$2:$C$101,MATCH(C997,Vendedores!$A$2:$A$101,0))</f>
        <v>L07</v>
      </c>
      <c r="E997" s="3" t="str">
        <f aca="false">INDEX(Lojas!$E$2:$E$11,MATCH(D997,Lojas!$A$2:$A$11,0))</f>
        <v>Sul</v>
      </c>
      <c r="F997" s="2" t="s">
        <v>255</v>
      </c>
      <c r="G997" s="3" t="str">
        <f aca="false">INDEX(Produtos!$B$2:$B$11,MATCH(F997,Produtos!$A$2:$A$11,0))&amp;" "&amp;INDEX(Produtos!$C$2:$C$11,MATCH(F997,Produtos!$A$2:$A$11,0))</f>
        <v>Notebook Positivo</v>
      </c>
      <c r="H997" s="2" t="n">
        <v>2</v>
      </c>
      <c r="I997" s="5" t="n">
        <f aca="false">INDEX(Produtos!$D$2:$D$11,MATCH(F997,Produtos!$A$2:$A$11,0))</f>
        <v>2199</v>
      </c>
      <c r="J997" s="5" t="n">
        <f aca="false">H997*I997</f>
        <v>4398</v>
      </c>
      <c r="K997" s="5" t="n">
        <f aca="false">INDEX(Produtos!$E$2:$E$11,MATCH(F997,Produtos!$A$2:$A$11,0))</f>
        <v>1550</v>
      </c>
      <c r="L997" s="5" t="n">
        <f aca="false">H997*K997</f>
        <v>3100</v>
      </c>
    </row>
    <row r="998" customFormat="false" ht="15" hidden="false" customHeight="false" outlineLevel="0" collapsed="false">
      <c r="A998" s="2" t="s">
        <v>1280</v>
      </c>
      <c r="B998" s="8" t="n">
        <v>46106</v>
      </c>
      <c r="C998" s="2" t="s">
        <v>70</v>
      </c>
      <c r="D998" s="3" t="str">
        <f aca="false">INDEX(Vendedores!$C$2:$C$101,MATCH(C998,Vendedores!$A$2:$A$101,0))</f>
        <v>L02</v>
      </c>
      <c r="E998" s="3" t="str">
        <f aca="false">INDEX(Lojas!$E$2:$E$11,MATCH(D998,Lojas!$A$2:$A$11,0))</f>
        <v>Sudeste</v>
      </c>
      <c r="F998" s="2" t="s">
        <v>257</v>
      </c>
      <c r="G998" s="3" t="str">
        <f aca="false">INDEX(Produtos!$B$2:$B$11,MATCH(F998,Produtos!$A$2:$A$11,0))&amp;" "&amp;INDEX(Produtos!$C$2:$C$11,MATCH(F998,Produtos!$A$2:$A$11,0))</f>
        <v>Celular Samsung</v>
      </c>
      <c r="H998" s="2" t="n">
        <v>2</v>
      </c>
      <c r="I998" s="5" t="n">
        <f aca="false">INDEX(Produtos!$D$2:$D$11,MATCH(F998,Produtos!$A$2:$A$11,0))</f>
        <v>2499</v>
      </c>
      <c r="J998" s="5" t="n">
        <f aca="false">H998*I998</f>
        <v>4998</v>
      </c>
      <c r="K998" s="5" t="n">
        <f aca="false">INDEX(Produtos!$E$2:$E$11,MATCH(F998,Produtos!$A$2:$A$11,0))</f>
        <v>1800</v>
      </c>
      <c r="L998" s="5" t="n">
        <f aca="false">H998*K998</f>
        <v>3600</v>
      </c>
    </row>
    <row r="999" customFormat="false" ht="15" hidden="false" customHeight="false" outlineLevel="0" collapsed="false">
      <c r="A999" s="2" t="s">
        <v>1281</v>
      </c>
      <c r="B999" s="8" t="n">
        <v>46106</v>
      </c>
      <c r="C999" s="2" t="s">
        <v>86</v>
      </c>
      <c r="D999" s="3" t="str">
        <f aca="false">INDEX(Vendedores!$C$2:$C$101,MATCH(C999,Vendedores!$A$2:$A$101,0))</f>
        <v>L02</v>
      </c>
      <c r="E999" s="3" t="str">
        <f aca="false">INDEX(Lojas!$E$2:$E$11,MATCH(D999,Lojas!$A$2:$A$11,0))</f>
        <v>Sudeste</v>
      </c>
      <c r="F999" s="2" t="s">
        <v>255</v>
      </c>
      <c r="G999" s="3" t="str">
        <f aca="false">INDEX(Produtos!$B$2:$B$11,MATCH(F999,Produtos!$A$2:$A$11,0))&amp;" "&amp;INDEX(Produtos!$C$2:$C$11,MATCH(F999,Produtos!$A$2:$A$11,0))</f>
        <v>Notebook Positivo</v>
      </c>
      <c r="H999" s="2" t="n">
        <v>2</v>
      </c>
      <c r="I999" s="5" t="n">
        <f aca="false">INDEX(Produtos!$D$2:$D$11,MATCH(F999,Produtos!$A$2:$A$11,0))</f>
        <v>2199</v>
      </c>
      <c r="J999" s="5" t="n">
        <f aca="false">H999*I999</f>
        <v>4398</v>
      </c>
      <c r="K999" s="5" t="n">
        <f aca="false">INDEX(Produtos!$E$2:$E$11,MATCH(F999,Produtos!$A$2:$A$11,0))</f>
        <v>1550</v>
      </c>
      <c r="L999" s="5" t="n">
        <f aca="false">H999*K999</f>
        <v>3100</v>
      </c>
    </row>
    <row r="1000" customFormat="false" ht="15" hidden="false" customHeight="false" outlineLevel="0" collapsed="false">
      <c r="A1000" s="2" t="s">
        <v>1282</v>
      </c>
      <c r="B1000" s="8" t="n">
        <v>46106</v>
      </c>
      <c r="C1000" s="2" t="s">
        <v>133</v>
      </c>
      <c r="D1000" s="3" t="str">
        <f aca="false">INDEX(Vendedores!$C$2:$C$101,MATCH(C1000,Vendedores!$A$2:$A$101,0))</f>
        <v>L05</v>
      </c>
      <c r="E1000" s="3" t="str">
        <f aca="false">INDEX(Lojas!$E$2:$E$11,MATCH(D1000,Lojas!$A$2:$A$11,0))</f>
        <v>Sul</v>
      </c>
      <c r="F1000" s="2" t="s">
        <v>273</v>
      </c>
      <c r="G1000" s="3" t="str">
        <f aca="false">INDEX(Produtos!$B$2:$B$11,MATCH(F1000,Produtos!$A$2:$A$11,0))&amp;" "&amp;INDEX(Produtos!$C$2:$C$11,MATCH(F1000,Produtos!$A$2:$A$11,0))</f>
        <v>Controle de Videogame PS4</v>
      </c>
      <c r="H1000" s="2" t="n">
        <v>1</v>
      </c>
      <c r="I1000" s="5" t="n">
        <f aca="false">INDEX(Produtos!$D$2:$D$11,MATCH(F1000,Produtos!$A$2:$A$11,0))</f>
        <v>299.9</v>
      </c>
      <c r="J1000" s="5" t="n">
        <f aca="false">H1000*I1000</f>
        <v>299.9</v>
      </c>
      <c r="K1000" s="5" t="n">
        <f aca="false">INDEX(Produtos!$E$2:$E$11,MATCH(F1000,Produtos!$A$2:$A$11,0))</f>
        <v>175</v>
      </c>
      <c r="L1000" s="5" t="n">
        <f aca="false">H1000*K1000</f>
        <v>175</v>
      </c>
    </row>
    <row r="1001" customFormat="false" ht="15" hidden="false" customHeight="false" outlineLevel="0" collapsed="false">
      <c r="A1001" s="2" t="s">
        <v>1283</v>
      </c>
      <c r="B1001" s="8" t="n">
        <v>46106</v>
      </c>
      <c r="C1001" s="2" t="s">
        <v>162</v>
      </c>
      <c r="D1001" s="3" t="str">
        <f aca="false">INDEX(Vendedores!$C$2:$C$101,MATCH(C1001,Vendedores!$A$2:$A$101,0))</f>
        <v>L06</v>
      </c>
      <c r="E1001" s="3" t="str">
        <f aca="false">INDEX(Lojas!$E$2:$E$11,MATCH(D1001,Lojas!$A$2:$A$11,0))</f>
        <v>Sul</v>
      </c>
      <c r="F1001" s="2" t="s">
        <v>262</v>
      </c>
      <c r="G1001" s="3" t="str">
        <f aca="false">INDEX(Produtos!$B$2:$B$11,MATCH(F1001,Produtos!$A$2:$A$11,0))&amp;" "&amp;INDEX(Produtos!$C$2:$C$11,MATCH(F1001,Produtos!$A$2:$A$11,0))</f>
        <v>Fone de Ouvido De Celular</v>
      </c>
      <c r="H1001" s="2" t="n">
        <v>2</v>
      </c>
      <c r="I1001" s="5" t="n">
        <f aca="false">INDEX(Produtos!$D$2:$D$11,MATCH(F1001,Produtos!$A$2:$A$11,0))</f>
        <v>59.9</v>
      </c>
      <c r="J1001" s="5" t="n">
        <f aca="false">H1001*I1001</f>
        <v>119.8</v>
      </c>
      <c r="K1001" s="5" t="n">
        <f aca="false">INDEX(Produtos!$E$2:$E$11,MATCH(F1001,Produtos!$A$2:$A$11,0))</f>
        <v>28</v>
      </c>
      <c r="L1001" s="5" t="n">
        <f aca="false">H1001*K1001</f>
        <v>56</v>
      </c>
    </row>
    <row r="1002" customFormat="false" ht="15" hidden="false" customHeight="false" outlineLevel="0" collapsed="false">
      <c r="A1002" s="2" t="s">
        <v>1284</v>
      </c>
      <c r="B1002" s="8" t="n">
        <v>46106</v>
      </c>
      <c r="C1002" s="2" t="s">
        <v>179</v>
      </c>
      <c r="D1002" s="3" t="str">
        <f aca="false">INDEX(Vendedores!$C$2:$C$101,MATCH(C1002,Vendedores!$A$2:$A$101,0))</f>
        <v>L07</v>
      </c>
      <c r="E1002" s="3" t="str">
        <f aca="false">INDEX(Lojas!$E$2:$E$11,MATCH(D1002,Lojas!$A$2:$A$11,0))</f>
        <v>Sul</v>
      </c>
      <c r="F1002" s="2" t="s">
        <v>262</v>
      </c>
      <c r="G1002" s="3" t="str">
        <f aca="false">INDEX(Produtos!$B$2:$B$11,MATCH(F1002,Produtos!$A$2:$A$11,0))&amp;" "&amp;INDEX(Produtos!$C$2:$C$11,MATCH(F1002,Produtos!$A$2:$A$11,0))</f>
        <v>Fone de Ouvido De Celular</v>
      </c>
      <c r="H1002" s="2" t="n">
        <v>1</v>
      </c>
      <c r="I1002" s="5" t="n">
        <f aca="false">INDEX(Produtos!$D$2:$D$11,MATCH(F1002,Produtos!$A$2:$A$11,0))</f>
        <v>59.9</v>
      </c>
      <c r="J1002" s="5" t="n">
        <f aca="false">H1002*I1002</f>
        <v>59.9</v>
      </c>
      <c r="K1002" s="5" t="n">
        <f aca="false">INDEX(Produtos!$E$2:$E$11,MATCH(F1002,Produtos!$A$2:$A$11,0))</f>
        <v>28</v>
      </c>
      <c r="L1002" s="5" t="n">
        <f aca="false">H1002*K1002</f>
        <v>28</v>
      </c>
    </row>
    <row r="1003" customFormat="false" ht="15" hidden="false" customHeight="false" outlineLevel="0" collapsed="false">
      <c r="A1003" s="2" t="s">
        <v>1285</v>
      </c>
      <c r="B1003" s="8" t="n">
        <v>46106</v>
      </c>
      <c r="C1003" s="2" t="s">
        <v>178</v>
      </c>
      <c r="D1003" s="3" t="str">
        <f aca="false">INDEX(Vendedores!$C$2:$C$101,MATCH(C1003,Vendedores!$A$2:$A$101,0))</f>
        <v>L07</v>
      </c>
      <c r="E1003" s="3" t="str">
        <f aca="false">INDEX(Lojas!$E$2:$E$11,MATCH(D1003,Lojas!$A$2:$A$11,0))</f>
        <v>Sul</v>
      </c>
      <c r="F1003" s="2" t="s">
        <v>270</v>
      </c>
      <c r="G1003" s="3" t="str">
        <f aca="false">INDEX(Produtos!$B$2:$B$11,MATCH(F1003,Produtos!$A$2:$A$11,0))&amp;" "&amp;INDEX(Produtos!$C$2:$C$11,MATCH(F1003,Produtos!$A$2:$A$11,0))</f>
        <v>Controle de Videogame Xbox</v>
      </c>
      <c r="H1003" s="2" t="n">
        <v>1</v>
      </c>
      <c r="I1003" s="5" t="n">
        <f aca="false">INDEX(Produtos!$D$2:$D$11,MATCH(F1003,Produtos!$A$2:$A$11,0))</f>
        <v>349.9</v>
      </c>
      <c r="J1003" s="5" t="n">
        <f aca="false">H1003*I1003</f>
        <v>349.9</v>
      </c>
      <c r="K1003" s="5" t="n">
        <f aca="false">INDEX(Produtos!$E$2:$E$11,MATCH(F1003,Produtos!$A$2:$A$11,0))</f>
        <v>215</v>
      </c>
      <c r="L1003" s="5" t="n">
        <f aca="false">H1003*K1003</f>
        <v>215</v>
      </c>
    </row>
    <row r="1004" customFormat="false" ht="15" hidden="false" customHeight="false" outlineLevel="0" collapsed="false">
      <c r="A1004" s="2" t="s">
        <v>1286</v>
      </c>
      <c r="B1004" s="8" t="n">
        <v>46106</v>
      </c>
      <c r="C1004" s="2" t="s">
        <v>135</v>
      </c>
      <c r="D1004" s="3" t="str">
        <f aca="false">INDEX(Vendedores!$C$2:$C$101,MATCH(C1004,Vendedores!$A$2:$A$101,0))</f>
        <v>L05</v>
      </c>
      <c r="E1004" s="3" t="str">
        <f aca="false">INDEX(Lojas!$E$2:$E$11,MATCH(D1004,Lojas!$A$2:$A$11,0))</f>
        <v>Sul</v>
      </c>
      <c r="F1004" s="2" t="s">
        <v>270</v>
      </c>
      <c r="G1004" s="3" t="str">
        <f aca="false">INDEX(Produtos!$B$2:$B$11,MATCH(F1004,Produtos!$A$2:$A$11,0))&amp;" "&amp;INDEX(Produtos!$C$2:$C$11,MATCH(F1004,Produtos!$A$2:$A$11,0))</f>
        <v>Controle de Videogame Xbox</v>
      </c>
      <c r="H1004" s="2" t="n">
        <v>1</v>
      </c>
      <c r="I1004" s="5" t="n">
        <f aca="false">INDEX(Produtos!$D$2:$D$11,MATCH(F1004,Produtos!$A$2:$A$11,0))</f>
        <v>349.9</v>
      </c>
      <c r="J1004" s="5" t="n">
        <f aca="false">H1004*I1004</f>
        <v>349.9</v>
      </c>
      <c r="K1004" s="5" t="n">
        <f aca="false">INDEX(Produtos!$E$2:$E$11,MATCH(F1004,Produtos!$A$2:$A$11,0))</f>
        <v>215</v>
      </c>
      <c r="L1004" s="5" t="n">
        <f aca="false">H1004*K1004</f>
        <v>215</v>
      </c>
    </row>
    <row r="1005" customFormat="false" ht="15" hidden="false" customHeight="false" outlineLevel="0" collapsed="false">
      <c r="A1005" s="2" t="s">
        <v>1287</v>
      </c>
      <c r="B1005" s="8" t="n">
        <v>46107</v>
      </c>
      <c r="C1005" s="2" t="s">
        <v>118</v>
      </c>
      <c r="D1005" s="3" t="str">
        <f aca="false">INDEX(Vendedores!$C$2:$C$101,MATCH(C1005,Vendedores!$A$2:$A$101,0))</f>
        <v>L04</v>
      </c>
      <c r="E1005" s="3" t="str">
        <f aca="false">INDEX(Lojas!$E$2:$E$11,MATCH(D1005,Lojas!$A$2:$A$11,0))</f>
        <v>Sudeste</v>
      </c>
      <c r="F1005" s="2" t="s">
        <v>252</v>
      </c>
      <c r="G1005" s="3" t="str">
        <f aca="false">INDEX(Produtos!$B$2:$B$11,MATCH(F1005,Produtos!$A$2:$A$11,0))&amp;" "&amp;INDEX(Produtos!$C$2:$C$11,MATCH(F1005,Produtos!$A$2:$A$11,0))</f>
        <v>Notebook Lenovo</v>
      </c>
      <c r="H1005" s="2" t="n">
        <v>2</v>
      </c>
      <c r="I1005" s="5" t="n">
        <f aca="false">INDEX(Produtos!$D$2:$D$11,MATCH(F1005,Produtos!$A$2:$A$11,0))</f>
        <v>3199</v>
      </c>
      <c r="J1005" s="5" t="n">
        <f aca="false">H1005*I1005</f>
        <v>6398</v>
      </c>
      <c r="K1005" s="5" t="n">
        <f aca="false">INDEX(Produtos!$E$2:$E$11,MATCH(F1005,Produtos!$A$2:$A$11,0))</f>
        <v>2350</v>
      </c>
      <c r="L1005" s="5" t="n">
        <f aca="false">H1005*K1005</f>
        <v>4700</v>
      </c>
    </row>
    <row r="1006" customFormat="false" ht="15" hidden="false" customHeight="false" outlineLevel="0" collapsed="false">
      <c r="A1006" s="2" t="s">
        <v>1288</v>
      </c>
      <c r="B1006" s="8" t="n">
        <v>46107</v>
      </c>
      <c r="C1006" s="2" t="s">
        <v>158</v>
      </c>
      <c r="D1006" s="3" t="str">
        <f aca="false">INDEX(Vendedores!$C$2:$C$101,MATCH(C1006,Vendedores!$A$2:$A$101,0))</f>
        <v>L06</v>
      </c>
      <c r="E1006" s="3" t="str">
        <f aca="false">INDEX(Lojas!$E$2:$E$11,MATCH(D1006,Lojas!$A$2:$A$11,0))</f>
        <v>Sul</v>
      </c>
      <c r="F1006" s="2" t="s">
        <v>265</v>
      </c>
      <c r="G1006" s="3" t="str">
        <f aca="false">INDEX(Produtos!$B$2:$B$11,MATCH(F1006,Produtos!$A$2:$A$11,0))&amp;" "&amp;INDEX(Produtos!$C$2:$C$11,MATCH(F1006,Produtos!$A$2:$A$11,0))</f>
        <v>Fone de Ouvido Headset</v>
      </c>
      <c r="H1006" s="2" t="n">
        <v>1</v>
      </c>
      <c r="I1006" s="5" t="n">
        <f aca="false">INDEX(Produtos!$D$2:$D$11,MATCH(F1006,Produtos!$A$2:$A$11,0))</f>
        <v>249.9</v>
      </c>
      <c r="J1006" s="5" t="n">
        <f aca="false">H1006*I1006</f>
        <v>249.9</v>
      </c>
      <c r="K1006" s="5" t="n">
        <f aca="false">INDEX(Produtos!$E$2:$E$11,MATCH(F1006,Produtos!$A$2:$A$11,0))</f>
        <v>145</v>
      </c>
      <c r="L1006" s="5" t="n">
        <f aca="false">H1006*K1006</f>
        <v>145</v>
      </c>
    </row>
    <row r="1007" customFormat="false" ht="15" hidden="false" customHeight="false" outlineLevel="0" collapsed="false">
      <c r="A1007" s="2" t="s">
        <v>1289</v>
      </c>
      <c r="B1007" s="8" t="n">
        <v>46107</v>
      </c>
      <c r="C1007" s="2" t="s">
        <v>102</v>
      </c>
      <c r="D1007" s="3" t="str">
        <f aca="false">INDEX(Vendedores!$C$2:$C$101,MATCH(C1007,Vendedores!$A$2:$A$101,0))</f>
        <v>L03</v>
      </c>
      <c r="E1007" s="3" t="str">
        <f aca="false">INDEX(Lojas!$E$2:$E$11,MATCH(D1007,Lojas!$A$2:$A$11,0))</f>
        <v>Sudeste</v>
      </c>
      <c r="F1007" s="2" t="s">
        <v>257</v>
      </c>
      <c r="G1007" s="3" t="str">
        <f aca="false">INDEX(Produtos!$B$2:$B$11,MATCH(F1007,Produtos!$A$2:$A$11,0))&amp;" "&amp;INDEX(Produtos!$C$2:$C$11,MATCH(F1007,Produtos!$A$2:$A$11,0))</f>
        <v>Celular Samsung</v>
      </c>
      <c r="H1007" s="2" t="n">
        <v>1</v>
      </c>
      <c r="I1007" s="5" t="n">
        <f aca="false">INDEX(Produtos!$D$2:$D$11,MATCH(F1007,Produtos!$A$2:$A$11,0))</f>
        <v>2499</v>
      </c>
      <c r="J1007" s="5" t="n">
        <f aca="false">H1007*I1007</f>
        <v>2499</v>
      </c>
      <c r="K1007" s="5" t="n">
        <f aca="false">INDEX(Produtos!$E$2:$E$11,MATCH(F1007,Produtos!$A$2:$A$11,0))</f>
        <v>1800</v>
      </c>
      <c r="L1007" s="5" t="n">
        <f aca="false">H1007*K1007</f>
        <v>1800</v>
      </c>
    </row>
    <row r="1008" customFormat="false" ht="15" hidden="false" customHeight="false" outlineLevel="0" collapsed="false">
      <c r="A1008" s="2" t="s">
        <v>1290</v>
      </c>
      <c r="B1008" s="8" t="n">
        <v>46107</v>
      </c>
      <c r="C1008" s="2" t="s">
        <v>235</v>
      </c>
      <c r="D1008" s="3" t="str">
        <f aca="false">INDEX(Vendedores!$C$2:$C$101,MATCH(C1008,Vendedores!$A$2:$A$101,0))</f>
        <v>L10</v>
      </c>
      <c r="E1008" s="3" t="str">
        <f aca="false">INDEX(Lojas!$E$2:$E$11,MATCH(D1008,Lojas!$A$2:$A$11,0))</f>
        <v>Nordeste</v>
      </c>
      <c r="F1008" s="2" t="s">
        <v>262</v>
      </c>
      <c r="G1008" s="3" t="str">
        <f aca="false">INDEX(Produtos!$B$2:$B$11,MATCH(F1008,Produtos!$A$2:$A$11,0))&amp;" "&amp;INDEX(Produtos!$C$2:$C$11,MATCH(F1008,Produtos!$A$2:$A$11,0))</f>
        <v>Fone de Ouvido De Celular</v>
      </c>
      <c r="H1008" s="2" t="n">
        <v>1</v>
      </c>
      <c r="I1008" s="5" t="n">
        <f aca="false">INDEX(Produtos!$D$2:$D$11,MATCH(F1008,Produtos!$A$2:$A$11,0))</f>
        <v>59.9</v>
      </c>
      <c r="J1008" s="5" t="n">
        <f aca="false">H1008*I1008</f>
        <v>59.9</v>
      </c>
      <c r="K1008" s="5" t="n">
        <f aca="false">INDEX(Produtos!$E$2:$E$11,MATCH(F1008,Produtos!$A$2:$A$11,0))</f>
        <v>28</v>
      </c>
      <c r="L1008" s="5" t="n">
        <f aca="false">H1008*K1008</f>
        <v>28</v>
      </c>
    </row>
    <row r="1009" customFormat="false" ht="15" hidden="false" customHeight="false" outlineLevel="0" collapsed="false">
      <c r="A1009" s="2" t="s">
        <v>1291</v>
      </c>
      <c r="B1009" s="8" t="n">
        <v>46107</v>
      </c>
      <c r="C1009" s="2" t="s">
        <v>152</v>
      </c>
      <c r="D1009" s="3" t="str">
        <f aca="false">INDEX(Vendedores!$C$2:$C$101,MATCH(C1009,Vendedores!$A$2:$A$101,0))</f>
        <v>L06</v>
      </c>
      <c r="E1009" s="3" t="str">
        <f aca="false">INDEX(Lojas!$E$2:$E$11,MATCH(D1009,Lojas!$A$2:$A$11,0))</f>
        <v>Sul</v>
      </c>
      <c r="F1009" s="2" t="s">
        <v>252</v>
      </c>
      <c r="G1009" s="3" t="str">
        <f aca="false">INDEX(Produtos!$B$2:$B$11,MATCH(F1009,Produtos!$A$2:$A$11,0))&amp;" "&amp;INDEX(Produtos!$C$2:$C$11,MATCH(F1009,Produtos!$A$2:$A$11,0))</f>
        <v>Notebook Lenovo</v>
      </c>
      <c r="H1009" s="2" t="n">
        <v>1</v>
      </c>
      <c r="I1009" s="5" t="n">
        <f aca="false">INDEX(Produtos!$D$2:$D$11,MATCH(F1009,Produtos!$A$2:$A$11,0))</f>
        <v>3199</v>
      </c>
      <c r="J1009" s="5" t="n">
        <f aca="false">H1009*I1009</f>
        <v>3199</v>
      </c>
      <c r="K1009" s="5" t="n">
        <f aca="false">INDEX(Produtos!$E$2:$E$11,MATCH(F1009,Produtos!$A$2:$A$11,0))</f>
        <v>2350</v>
      </c>
      <c r="L1009" s="5" t="n">
        <f aca="false">H1009*K1009</f>
        <v>2350</v>
      </c>
    </row>
    <row r="1010" customFormat="false" ht="15" hidden="false" customHeight="false" outlineLevel="0" collapsed="false">
      <c r="A1010" s="2" t="s">
        <v>1292</v>
      </c>
      <c r="B1010" s="8" t="n">
        <v>46107</v>
      </c>
      <c r="C1010" s="2" t="s">
        <v>84</v>
      </c>
      <c r="D1010" s="3" t="str">
        <f aca="false">INDEX(Vendedores!$C$2:$C$101,MATCH(C1010,Vendedores!$A$2:$A$101,0))</f>
        <v>L02</v>
      </c>
      <c r="E1010" s="3" t="str">
        <f aca="false">INDEX(Lojas!$E$2:$E$11,MATCH(D1010,Lojas!$A$2:$A$11,0))</f>
        <v>Sudeste</v>
      </c>
      <c r="F1010" s="2" t="s">
        <v>257</v>
      </c>
      <c r="G1010" s="3" t="str">
        <f aca="false">INDEX(Produtos!$B$2:$B$11,MATCH(F1010,Produtos!$A$2:$A$11,0))&amp;" "&amp;INDEX(Produtos!$C$2:$C$11,MATCH(F1010,Produtos!$A$2:$A$11,0))</f>
        <v>Celular Samsung</v>
      </c>
      <c r="H1010" s="2" t="n">
        <v>1</v>
      </c>
      <c r="I1010" s="5" t="n">
        <f aca="false">INDEX(Produtos!$D$2:$D$11,MATCH(F1010,Produtos!$A$2:$A$11,0))</f>
        <v>2499</v>
      </c>
      <c r="J1010" s="5" t="n">
        <f aca="false">H1010*I1010</f>
        <v>2499</v>
      </c>
      <c r="K1010" s="5" t="n">
        <f aca="false">INDEX(Produtos!$E$2:$E$11,MATCH(F1010,Produtos!$A$2:$A$11,0))</f>
        <v>1800</v>
      </c>
      <c r="L1010" s="5" t="n">
        <f aca="false">H1010*K1010</f>
        <v>1800</v>
      </c>
    </row>
    <row r="1011" customFormat="false" ht="15" hidden="false" customHeight="false" outlineLevel="0" collapsed="false">
      <c r="A1011" s="2" t="s">
        <v>1293</v>
      </c>
      <c r="B1011" s="8" t="n">
        <v>46107</v>
      </c>
      <c r="C1011" s="2" t="s">
        <v>180</v>
      </c>
      <c r="D1011" s="3" t="str">
        <f aca="false">INDEX(Vendedores!$C$2:$C$101,MATCH(C1011,Vendedores!$A$2:$A$101,0))</f>
        <v>L07</v>
      </c>
      <c r="E1011" s="3" t="str">
        <f aca="false">INDEX(Lojas!$E$2:$E$11,MATCH(D1011,Lojas!$A$2:$A$11,0))</f>
        <v>Sul</v>
      </c>
      <c r="F1011" s="2" t="s">
        <v>260</v>
      </c>
      <c r="G1011" s="3" t="str">
        <f aca="false">INDEX(Produtos!$B$2:$B$11,MATCH(F1011,Produtos!$A$2:$A$11,0))&amp;" "&amp;INDEX(Produtos!$C$2:$C$11,MATCH(F1011,Produtos!$A$2:$A$11,0))</f>
        <v>Celular Motorola</v>
      </c>
      <c r="H1011" s="2" t="n">
        <v>1</v>
      </c>
      <c r="I1011" s="5" t="n">
        <f aca="false">INDEX(Produtos!$D$2:$D$11,MATCH(F1011,Produtos!$A$2:$A$11,0))</f>
        <v>1799</v>
      </c>
      <c r="J1011" s="5" t="n">
        <f aca="false">H1011*I1011</f>
        <v>1799</v>
      </c>
      <c r="K1011" s="5" t="n">
        <f aca="false">INDEX(Produtos!$E$2:$E$11,MATCH(F1011,Produtos!$A$2:$A$11,0))</f>
        <v>1250</v>
      </c>
      <c r="L1011" s="5" t="n">
        <f aca="false">H1011*K1011</f>
        <v>1250</v>
      </c>
    </row>
    <row r="1012" customFormat="false" ht="15" hidden="false" customHeight="false" outlineLevel="0" collapsed="false">
      <c r="A1012" s="2" t="s">
        <v>1294</v>
      </c>
      <c r="B1012" s="8" t="n">
        <v>46107</v>
      </c>
      <c r="C1012" s="2" t="s">
        <v>219</v>
      </c>
      <c r="D1012" s="3" t="str">
        <f aca="false">INDEX(Vendedores!$C$2:$C$101,MATCH(C1012,Vendedores!$A$2:$A$101,0))</f>
        <v>L09</v>
      </c>
      <c r="E1012" s="3" t="str">
        <f aca="false">INDEX(Lojas!$E$2:$E$11,MATCH(D1012,Lojas!$A$2:$A$11,0))</f>
        <v>Nordeste</v>
      </c>
      <c r="F1012" s="2" t="s">
        <v>255</v>
      </c>
      <c r="G1012" s="3" t="str">
        <f aca="false">INDEX(Produtos!$B$2:$B$11,MATCH(F1012,Produtos!$A$2:$A$11,0))&amp;" "&amp;INDEX(Produtos!$C$2:$C$11,MATCH(F1012,Produtos!$A$2:$A$11,0))</f>
        <v>Notebook Positivo</v>
      </c>
      <c r="H1012" s="2" t="n">
        <v>1</v>
      </c>
      <c r="I1012" s="5" t="n">
        <f aca="false">INDEX(Produtos!$D$2:$D$11,MATCH(F1012,Produtos!$A$2:$A$11,0))</f>
        <v>2199</v>
      </c>
      <c r="J1012" s="5" t="n">
        <f aca="false">H1012*I1012</f>
        <v>2199</v>
      </c>
      <c r="K1012" s="5" t="n">
        <f aca="false">INDEX(Produtos!$E$2:$E$11,MATCH(F1012,Produtos!$A$2:$A$11,0))</f>
        <v>1550</v>
      </c>
      <c r="L1012" s="5" t="n">
        <f aca="false">H1012*K1012</f>
        <v>1550</v>
      </c>
    </row>
    <row r="1013" customFormat="false" ht="15" hidden="false" customHeight="false" outlineLevel="0" collapsed="false">
      <c r="A1013" s="2" t="s">
        <v>1295</v>
      </c>
      <c r="B1013" s="8" t="n">
        <v>46107</v>
      </c>
      <c r="C1013" s="2" t="s">
        <v>62</v>
      </c>
      <c r="D1013" s="3" t="str">
        <f aca="false">INDEX(Vendedores!$C$2:$C$101,MATCH(C1013,Vendedores!$A$2:$A$101,0))</f>
        <v>L01</v>
      </c>
      <c r="E1013" s="3" t="str">
        <f aca="false">INDEX(Lojas!$E$2:$E$11,MATCH(D1013,Lojas!$A$2:$A$11,0))</f>
        <v>Sudeste</v>
      </c>
      <c r="F1013" s="2" t="s">
        <v>262</v>
      </c>
      <c r="G1013" s="3" t="str">
        <f aca="false">INDEX(Produtos!$B$2:$B$11,MATCH(F1013,Produtos!$A$2:$A$11,0))&amp;" "&amp;INDEX(Produtos!$C$2:$C$11,MATCH(F1013,Produtos!$A$2:$A$11,0))</f>
        <v>Fone de Ouvido De Celular</v>
      </c>
      <c r="H1013" s="2" t="n">
        <v>1</v>
      </c>
      <c r="I1013" s="5" t="n">
        <f aca="false">INDEX(Produtos!$D$2:$D$11,MATCH(F1013,Produtos!$A$2:$A$11,0))</f>
        <v>59.9</v>
      </c>
      <c r="J1013" s="5" t="n">
        <f aca="false">H1013*I1013</f>
        <v>59.9</v>
      </c>
      <c r="K1013" s="5" t="n">
        <f aca="false">INDEX(Produtos!$E$2:$E$11,MATCH(F1013,Produtos!$A$2:$A$11,0))</f>
        <v>28</v>
      </c>
      <c r="L1013" s="5" t="n">
        <f aca="false">H1013*K1013</f>
        <v>28</v>
      </c>
    </row>
    <row r="1014" customFormat="false" ht="15" hidden="false" customHeight="false" outlineLevel="0" collapsed="false">
      <c r="A1014" s="2" t="s">
        <v>1296</v>
      </c>
      <c r="B1014" s="8" t="n">
        <v>46107</v>
      </c>
      <c r="C1014" s="2" t="s">
        <v>152</v>
      </c>
      <c r="D1014" s="3" t="str">
        <f aca="false">INDEX(Vendedores!$C$2:$C$101,MATCH(C1014,Vendedores!$A$2:$A$101,0))</f>
        <v>L06</v>
      </c>
      <c r="E1014" s="3" t="str">
        <f aca="false">INDEX(Lojas!$E$2:$E$11,MATCH(D1014,Lojas!$A$2:$A$11,0))</f>
        <v>Sul</v>
      </c>
      <c r="F1014" s="2" t="s">
        <v>262</v>
      </c>
      <c r="G1014" s="3" t="str">
        <f aca="false">INDEX(Produtos!$B$2:$B$11,MATCH(F1014,Produtos!$A$2:$A$11,0))&amp;" "&amp;INDEX(Produtos!$C$2:$C$11,MATCH(F1014,Produtos!$A$2:$A$11,0))</f>
        <v>Fone de Ouvido De Celular</v>
      </c>
      <c r="H1014" s="2" t="n">
        <v>1</v>
      </c>
      <c r="I1014" s="5" t="n">
        <f aca="false">INDEX(Produtos!$D$2:$D$11,MATCH(F1014,Produtos!$A$2:$A$11,0))</f>
        <v>59.9</v>
      </c>
      <c r="J1014" s="5" t="n">
        <f aca="false">H1014*I1014</f>
        <v>59.9</v>
      </c>
      <c r="K1014" s="5" t="n">
        <f aca="false">INDEX(Produtos!$E$2:$E$11,MATCH(F1014,Produtos!$A$2:$A$11,0))</f>
        <v>28</v>
      </c>
      <c r="L1014" s="5" t="n">
        <f aca="false">H1014*K1014</f>
        <v>28</v>
      </c>
    </row>
    <row r="1015" customFormat="false" ht="15" hidden="false" customHeight="false" outlineLevel="0" collapsed="false">
      <c r="A1015" s="2" t="s">
        <v>1297</v>
      </c>
      <c r="B1015" s="8" t="n">
        <v>46107</v>
      </c>
      <c r="C1015" s="2" t="s">
        <v>124</v>
      </c>
      <c r="D1015" s="3" t="str">
        <f aca="false">INDEX(Vendedores!$C$2:$C$101,MATCH(C1015,Vendedores!$A$2:$A$101,0))</f>
        <v>L04</v>
      </c>
      <c r="E1015" s="3" t="str">
        <f aca="false">INDEX(Lojas!$E$2:$E$11,MATCH(D1015,Lojas!$A$2:$A$11,0))</f>
        <v>Sudeste</v>
      </c>
      <c r="F1015" s="2" t="s">
        <v>255</v>
      </c>
      <c r="G1015" s="3" t="str">
        <f aca="false">INDEX(Produtos!$B$2:$B$11,MATCH(F1015,Produtos!$A$2:$A$11,0))&amp;" "&amp;INDEX(Produtos!$C$2:$C$11,MATCH(F1015,Produtos!$A$2:$A$11,0))</f>
        <v>Notebook Positivo</v>
      </c>
      <c r="H1015" s="2" t="n">
        <v>2</v>
      </c>
      <c r="I1015" s="5" t="n">
        <f aca="false">INDEX(Produtos!$D$2:$D$11,MATCH(F1015,Produtos!$A$2:$A$11,0))</f>
        <v>2199</v>
      </c>
      <c r="J1015" s="5" t="n">
        <f aca="false">H1015*I1015</f>
        <v>4398</v>
      </c>
      <c r="K1015" s="5" t="n">
        <f aca="false">INDEX(Produtos!$E$2:$E$11,MATCH(F1015,Produtos!$A$2:$A$11,0))</f>
        <v>1550</v>
      </c>
      <c r="L1015" s="5" t="n">
        <f aca="false">H1015*K1015</f>
        <v>3100</v>
      </c>
    </row>
    <row r="1016" customFormat="false" ht="15" hidden="false" customHeight="false" outlineLevel="0" collapsed="false">
      <c r="A1016" s="2" t="s">
        <v>1298</v>
      </c>
      <c r="B1016" s="8" t="n">
        <v>46107</v>
      </c>
      <c r="C1016" s="2" t="s">
        <v>176</v>
      </c>
      <c r="D1016" s="3" t="str">
        <f aca="false">INDEX(Vendedores!$C$2:$C$101,MATCH(C1016,Vendedores!$A$2:$A$101,0))</f>
        <v>L07</v>
      </c>
      <c r="E1016" s="3" t="str">
        <f aca="false">INDEX(Lojas!$E$2:$E$11,MATCH(D1016,Lojas!$A$2:$A$11,0))</f>
        <v>Sul</v>
      </c>
      <c r="F1016" s="2" t="s">
        <v>260</v>
      </c>
      <c r="G1016" s="3" t="str">
        <f aca="false">INDEX(Produtos!$B$2:$B$11,MATCH(F1016,Produtos!$A$2:$A$11,0))&amp;" "&amp;INDEX(Produtos!$C$2:$C$11,MATCH(F1016,Produtos!$A$2:$A$11,0))</f>
        <v>Celular Motorola</v>
      </c>
      <c r="H1016" s="2" t="n">
        <v>3</v>
      </c>
      <c r="I1016" s="5" t="n">
        <f aca="false">INDEX(Produtos!$D$2:$D$11,MATCH(F1016,Produtos!$A$2:$A$11,0))</f>
        <v>1799</v>
      </c>
      <c r="J1016" s="5" t="n">
        <f aca="false">H1016*I1016</f>
        <v>5397</v>
      </c>
      <c r="K1016" s="5" t="n">
        <f aca="false">INDEX(Produtos!$E$2:$E$11,MATCH(F1016,Produtos!$A$2:$A$11,0))</f>
        <v>1250</v>
      </c>
      <c r="L1016" s="5" t="n">
        <f aca="false">H1016*K1016</f>
        <v>3750</v>
      </c>
    </row>
    <row r="1017" customFormat="false" ht="15" hidden="false" customHeight="false" outlineLevel="0" collapsed="false">
      <c r="A1017" s="2" t="s">
        <v>1299</v>
      </c>
      <c r="B1017" s="8" t="n">
        <v>46107</v>
      </c>
      <c r="C1017" s="2" t="s">
        <v>138</v>
      </c>
      <c r="D1017" s="3" t="str">
        <f aca="false">INDEX(Vendedores!$C$2:$C$101,MATCH(C1017,Vendedores!$A$2:$A$101,0))</f>
        <v>L05</v>
      </c>
      <c r="E1017" s="3" t="str">
        <f aca="false">INDEX(Lojas!$E$2:$E$11,MATCH(D1017,Lojas!$A$2:$A$11,0))</f>
        <v>Sul</v>
      </c>
      <c r="F1017" s="2" t="s">
        <v>262</v>
      </c>
      <c r="G1017" s="3" t="str">
        <f aca="false">INDEX(Produtos!$B$2:$B$11,MATCH(F1017,Produtos!$A$2:$A$11,0))&amp;" "&amp;INDEX(Produtos!$C$2:$C$11,MATCH(F1017,Produtos!$A$2:$A$11,0))</f>
        <v>Fone de Ouvido De Celular</v>
      </c>
      <c r="H1017" s="2" t="n">
        <v>1</v>
      </c>
      <c r="I1017" s="5" t="n">
        <f aca="false">INDEX(Produtos!$D$2:$D$11,MATCH(F1017,Produtos!$A$2:$A$11,0))</f>
        <v>59.9</v>
      </c>
      <c r="J1017" s="5" t="n">
        <f aca="false">H1017*I1017</f>
        <v>59.9</v>
      </c>
      <c r="K1017" s="5" t="n">
        <f aca="false">INDEX(Produtos!$E$2:$E$11,MATCH(F1017,Produtos!$A$2:$A$11,0))</f>
        <v>28</v>
      </c>
      <c r="L1017" s="5" t="n">
        <f aca="false">H1017*K1017</f>
        <v>28</v>
      </c>
    </row>
    <row r="1018" customFormat="false" ht="15" hidden="false" customHeight="false" outlineLevel="0" collapsed="false">
      <c r="A1018" s="2" t="s">
        <v>1300</v>
      </c>
      <c r="B1018" s="8" t="n">
        <v>46107</v>
      </c>
      <c r="C1018" s="2" t="s">
        <v>114</v>
      </c>
      <c r="D1018" s="3" t="str">
        <f aca="false">INDEX(Vendedores!$C$2:$C$101,MATCH(C1018,Vendedores!$A$2:$A$101,0))</f>
        <v>L04</v>
      </c>
      <c r="E1018" s="3" t="str">
        <f aca="false">INDEX(Lojas!$E$2:$E$11,MATCH(D1018,Lojas!$A$2:$A$11,0))</f>
        <v>Sudeste</v>
      </c>
      <c r="F1018" s="2" t="s">
        <v>273</v>
      </c>
      <c r="G1018" s="3" t="str">
        <f aca="false">INDEX(Produtos!$B$2:$B$11,MATCH(F1018,Produtos!$A$2:$A$11,0))&amp;" "&amp;INDEX(Produtos!$C$2:$C$11,MATCH(F1018,Produtos!$A$2:$A$11,0))</f>
        <v>Controle de Videogame PS4</v>
      </c>
      <c r="H1018" s="2" t="n">
        <v>1</v>
      </c>
      <c r="I1018" s="5" t="n">
        <f aca="false">INDEX(Produtos!$D$2:$D$11,MATCH(F1018,Produtos!$A$2:$A$11,0))</f>
        <v>299.9</v>
      </c>
      <c r="J1018" s="5" t="n">
        <f aca="false">H1018*I1018</f>
        <v>299.9</v>
      </c>
      <c r="K1018" s="5" t="n">
        <f aca="false">INDEX(Produtos!$E$2:$E$11,MATCH(F1018,Produtos!$A$2:$A$11,0))</f>
        <v>175</v>
      </c>
      <c r="L1018" s="5" t="n">
        <f aca="false">H1018*K1018</f>
        <v>175</v>
      </c>
    </row>
    <row r="1019" customFormat="false" ht="15" hidden="false" customHeight="false" outlineLevel="0" collapsed="false">
      <c r="A1019" s="2" t="s">
        <v>1301</v>
      </c>
      <c r="B1019" s="8" t="n">
        <v>46107</v>
      </c>
      <c r="C1019" s="2" t="s">
        <v>140</v>
      </c>
      <c r="D1019" s="3" t="str">
        <f aca="false">INDEX(Vendedores!$C$2:$C$101,MATCH(C1019,Vendedores!$A$2:$A$101,0))</f>
        <v>L05</v>
      </c>
      <c r="E1019" s="3" t="str">
        <f aca="false">INDEX(Lojas!$E$2:$E$11,MATCH(D1019,Lojas!$A$2:$A$11,0))</f>
        <v>Sul</v>
      </c>
      <c r="F1019" s="2" t="s">
        <v>260</v>
      </c>
      <c r="G1019" s="3" t="str">
        <f aca="false">INDEX(Produtos!$B$2:$B$11,MATCH(F1019,Produtos!$A$2:$A$11,0))&amp;" "&amp;INDEX(Produtos!$C$2:$C$11,MATCH(F1019,Produtos!$A$2:$A$11,0))</f>
        <v>Celular Motorola</v>
      </c>
      <c r="H1019" s="2" t="n">
        <v>1</v>
      </c>
      <c r="I1019" s="5" t="n">
        <f aca="false">INDEX(Produtos!$D$2:$D$11,MATCH(F1019,Produtos!$A$2:$A$11,0))</f>
        <v>1799</v>
      </c>
      <c r="J1019" s="5" t="n">
        <f aca="false">H1019*I1019</f>
        <v>1799</v>
      </c>
      <c r="K1019" s="5" t="n">
        <f aca="false">INDEX(Produtos!$E$2:$E$11,MATCH(F1019,Produtos!$A$2:$A$11,0))</f>
        <v>1250</v>
      </c>
      <c r="L1019" s="5" t="n">
        <f aca="false">H1019*K1019</f>
        <v>1250</v>
      </c>
    </row>
    <row r="1020" customFormat="false" ht="15" hidden="false" customHeight="false" outlineLevel="0" collapsed="false">
      <c r="A1020" s="2" t="s">
        <v>1302</v>
      </c>
      <c r="B1020" s="8" t="n">
        <v>46107</v>
      </c>
      <c r="C1020" s="2" t="s">
        <v>70</v>
      </c>
      <c r="D1020" s="3" t="str">
        <f aca="false">INDEX(Vendedores!$C$2:$C$101,MATCH(C1020,Vendedores!$A$2:$A$101,0))</f>
        <v>L02</v>
      </c>
      <c r="E1020" s="3" t="str">
        <f aca="false">INDEX(Lojas!$E$2:$E$11,MATCH(D1020,Lojas!$A$2:$A$11,0))</f>
        <v>Sudeste</v>
      </c>
      <c r="F1020" s="2" t="s">
        <v>255</v>
      </c>
      <c r="G1020" s="3" t="str">
        <f aca="false">INDEX(Produtos!$B$2:$B$11,MATCH(F1020,Produtos!$A$2:$A$11,0))&amp;" "&amp;INDEX(Produtos!$C$2:$C$11,MATCH(F1020,Produtos!$A$2:$A$11,0))</f>
        <v>Notebook Positivo</v>
      </c>
      <c r="H1020" s="2" t="n">
        <v>1</v>
      </c>
      <c r="I1020" s="5" t="n">
        <f aca="false">INDEX(Produtos!$D$2:$D$11,MATCH(F1020,Produtos!$A$2:$A$11,0))</f>
        <v>2199</v>
      </c>
      <c r="J1020" s="5" t="n">
        <f aca="false">H1020*I1020</f>
        <v>2199</v>
      </c>
      <c r="K1020" s="5" t="n">
        <f aca="false">INDEX(Produtos!$E$2:$E$11,MATCH(F1020,Produtos!$A$2:$A$11,0))</f>
        <v>1550</v>
      </c>
      <c r="L1020" s="5" t="n">
        <f aca="false">H1020*K1020</f>
        <v>1550</v>
      </c>
    </row>
    <row r="1021" customFormat="false" ht="15" hidden="false" customHeight="false" outlineLevel="0" collapsed="false">
      <c r="A1021" s="2" t="s">
        <v>1303</v>
      </c>
      <c r="B1021" s="8" t="n">
        <v>46107</v>
      </c>
      <c r="C1021" s="2" t="s">
        <v>92</v>
      </c>
      <c r="D1021" s="3" t="str">
        <f aca="false">INDEX(Vendedores!$C$2:$C$101,MATCH(C1021,Vendedores!$A$2:$A$101,0))</f>
        <v>L03</v>
      </c>
      <c r="E1021" s="3" t="str">
        <f aca="false">INDEX(Lojas!$E$2:$E$11,MATCH(D1021,Lojas!$A$2:$A$11,0))</f>
        <v>Sudeste</v>
      </c>
      <c r="F1021" s="2" t="s">
        <v>265</v>
      </c>
      <c r="G1021" s="3" t="str">
        <f aca="false">INDEX(Produtos!$B$2:$B$11,MATCH(F1021,Produtos!$A$2:$A$11,0))&amp;" "&amp;INDEX(Produtos!$C$2:$C$11,MATCH(F1021,Produtos!$A$2:$A$11,0))</f>
        <v>Fone de Ouvido Headset</v>
      </c>
      <c r="H1021" s="2" t="n">
        <v>1</v>
      </c>
      <c r="I1021" s="5" t="n">
        <f aca="false">INDEX(Produtos!$D$2:$D$11,MATCH(F1021,Produtos!$A$2:$A$11,0))</f>
        <v>249.9</v>
      </c>
      <c r="J1021" s="5" t="n">
        <f aca="false">H1021*I1021</f>
        <v>249.9</v>
      </c>
      <c r="K1021" s="5" t="n">
        <f aca="false">INDEX(Produtos!$E$2:$E$11,MATCH(F1021,Produtos!$A$2:$A$11,0))</f>
        <v>145</v>
      </c>
      <c r="L1021" s="5" t="n">
        <f aca="false">H1021*K1021</f>
        <v>145</v>
      </c>
    </row>
    <row r="1022" customFormat="false" ht="15" hidden="false" customHeight="false" outlineLevel="0" collapsed="false">
      <c r="A1022" s="2" t="s">
        <v>1304</v>
      </c>
      <c r="B1022" s="8" t="n">
        <v>46107</v>
      </c>
      <c r="C1022" s="2" t="s">
        <v>239</v>
      </c>
      <c r="D1022" s="3" t="str">
        <f aca="false">INDEX(Vendedores!$C$2:$C$101,MATCH(C1022,Vendedores!$A$2:$A$101,0))</f>
        <v>L10</v>
      </c>
      <c r="E1022" s="3" t="str">
        <f aca="false">INDEX(Lojas!$E$2:$E$11,MATCH(D1022,Lojas!$A$2:$A$11,0))</f>
        <v>Nordeste</v>
      </c>
      <c r="F1022" s="2" t="s">
        <v>255</v>
      </c>
      <c r="G1022" s="3" t="str">
        <f aca="false">INDEX(Produtos!$B$2:$B$11,MATCH(F1022,Produtos!$A$2:$A$11,0))&amp;" "&amp;INDEX(Produtos!$C$2:$C$11,MATCH(F1022,Produtos!$A$2:$A$11,0))</f>
        <v>Notebook Positivo</v>
      </c>
      <c r="H1022" s="2" t="n">
        <v>2</v>
      </c>
      <c r="I1022" s="5" t="n">
        <f aca="false">INDEX(Produtos!$D$2:$D$11,MATCH(F1022,Produtos!$A$2:$A$11,0))</f>
        <v>2199</v>
      </c>
      <c r="J1022" s="5" t="n">
        <f aca="false">H1022*I1022</f>
        <v>4398</v>
      </c>
      <c r="K1022" s="5" t="n">
        <f aca="false">INDEX(Produtos!$E$2:$E$11,MATCH(F1022,Produtos!$A$2:$A$11,0))</f>
        <v>1550</v>
      </c>
      <c r="L1022" s="5" t="n">
        <f aca="false">H1022*K1022</f>
        <v>3100</v>
      </c>
    </row>
    <row r="1023" customFormat="false" ht="15" hidden="false" customHeight="false" outlineLevel="0" collapsed="false">
      <c r="A1023" s="2" t="s">
        <v>1305</v>
      </c>
      <c r="B1023" s="8" t="n">
        <v>46108</v>
      </c>
      <c r="C1023" s="2" t="s">
        <v>144</v>
      </c>
      <c r="D1023" s="3" t="str">
        <f aca="false">INDEX(Vendedores!$C$2:$C$101,MATCH(C1023,Vendedores!$A$2:$A$101,0))</f>
        <v>L05</v>
      </c>
      <c r="E1023" s="3" t="str">
        <f aca="false">INDEX(Lojas!$E$2:$E$11,MATCH(D1023,Lojas!$A$2:$A$11,0))</f>
        <v>Sul</v>
      </c>
      <c r="F1023" s="2" t="s">
        <v>270</v>
      </c>
      <c r="G1023" s="3" t="str">
        <f aca="false">INDEX(Produtos!$B$2:$B$11,MATCH(F1023,Produtos!$A$2:$A$11,0))&amp;" "&amp;INDEX(Produtos!$C$2:$C$11,MATCH(F1023,Produtos!$A$2:$A$11,0))</f>
        <v>Controle de Videogame Xbox</v>
      </c>
      <c r="H1023" s="2" t="n">
        <v>1</v>
      </c>
      <c r="I1023" s="5" t="n">
        <f aca="false">INDEX(Produtos!$D$2:$D$11,MATCH(F1023,Produtos!$A$2:$A$11,0))</f>
        <v>349.9</v>
      </c>
      <c r="J1023" s="5" t="n">
        <f aca="false">H1023*I1023</f>
        <v>349.9</v>
      </c>
      <c r="K1023" s="5" t="n">
        <f aca="false">INDEX(Produtos!$E$2:$E$11,MATCH(F1023,Produtos!$A$2:$A$11,0))</f>
        <v>215</v>
      </c>
      <c r="L1023" s="5" t="n">
        <f aca="false">H1023*K1023</f>
        <v>215</v>
      </c>
    </row>
    <row r="1024" customFormat="false" ht="15" hidden="false" customHeight="false" outlineLevel="0" collapsed="false">
      <c r="A1024" s="2" t="s">
        <v>1306</v>
      </c>
      <c r="B1024" s="8" t="n">
        <v>46108</v>
      </c>
      <c r="C1024" s="2" t="s">
        <v>211</v>
      </c>
      <c r="D1024" s="3" t="str">
        <f aca="false">INDEX(Vendedores!$C$2:$C$101,MATCH(C1024,Vendedores!$A$2:$A$101,0))</f>
        <v>L09</v>
      </c>
      <c r="E1024" s="3" t="str">
        <f aca="false">INDEX(Lojas!$E$2:$E$11,MATCH(D1024,Lojas!$A$2:$A$11,0))</f>
        <v>Nordeste</v>
      </c>
      <c r="F1024" s="2" t="s">
        <v>255</v>
      </c>
      <c r="G1024" s="3" t="str">
        <f aca="false">INDEX(Produtos!$B$2:$B$11,MATCH(F1024,Produtos!$A$2:$A$11,0))&amp;" "&amp;INDEX(Produtos!$C$2:$C$11,MATCH(F1024,Produtos!$A$2:$A$11,0))</f>
        <v>Notebook Positivo</v>
      </c>
      <c r="H1024" s="2" t="n">
        <v>1</v>
      </c>
      <c r="I1024" s="5" t="n">
        <f aca="false">INDEX(Produtos!$D$2:$D$11,MATCH(F1024,Produtos!$A$2:$A$11,0))</f>
        <v>2199</v>
      </c>
      <c r="J1024" s="5" t="n">
        <f aca="false">H1024*I1024</f>
        <v>2199</v>
      </c>
      <c r="K1024" s="5" t="n">
        <f aca="false">INDEX(Produtos!$E$2:$E$11,MATCH(F1024,Produtos!$A$2:$A$11,0))</f>
        <v>1550</v>
      </c>
      <c r="L1024" s="5" t="n">
        <f aca="false">H1024*K1024</f>
        <v>1550</v>
      </c>
    </row>
    <row r="1025" customFormat="false" ht="15" hidden="false" customHeight="false" outlineLevel="0" collapsed="false">
      <c r="A1025" s="2" t="s">
        <v>1307</v>
      </c>
      <c r="B1025" s="8" t="n">
        <v>46108</v>
      </c>
      <c r="C1025" s="2" t="s">
        <v>144</v>
      </c>
      <c r="D1025" s="3" t="str">
        <f aca="false">INDEX(Vendedores!$C$2:$C$101,MATCH(C1025,Vendedores!$A$2:$A$101,0))</f>
        <v>L05</v>
      </c>
      <c r="E1025" s="3" t="str">
        <f aca="false">INDEX(Lojas!$E$2:$E$11,MATCH(D1025,Lojas!$A$2:$A$11,0))</f>
        <v>Sul</v>
      </c>
      <c r="F1025" s="2" t="s">
        <v>270</v>
      </c>
      <c r="G1025" s="3" t="str">
        <f aca="false">INDEX(Produtos!$B$2:$B$11,MATCH(F1025,Produtos!$A$2:$A$11,0))&amp;" "&amp;INDEX(Produtos!$C$2:$C$11,MATCH(F1025,Produtos!$A$2:$A$11,0))</f>
        <v>Controle de Videogame Xbox</v>
      </c>
      <c r="H1025" s="2" t="n">
        <v>1</v>
      </c>
      <c r="I1025" s="5" t="n">
        <f aca="false">INDEX(Produtos!$D$2:$D$11,MATCH(F1025,Produtos!$A$2:$A$11,0))</f>
        <v>349.9</v>
      </c>
      <c r="J1025" s="5" t="n">
        <f aca="false">H1025*I1025</f>
        <v>349.9</v>
      </c>
      <c r="K1025" s="5" t="n">
        <f aca="false">INDEX(Produtos!$E$2:$E$11,MATCH(F1025,Produtos!$A$2:$A$11,0))</f>
        <v>215</v>
      </c>
      <c r="L1025" s="5" t="n">
        <f aca="false">H1025*K1025</f>
        <v>215</v>
      </c>
    </row>
    <row r="1026" customFormat="false" ht="15" hidden="false" customHeight="false" outlineLevel="0" collapsed="false">
      <c r="A1026" s="2" t="s">
        <v>1308</v>
      </c>
      <c r="B1026" s="8" t="n">
        <v>46108</v>
      </c>
      <c r="C1026" s="2" t="s">
        <v>199</v>
      </c>
      <c r="D1026" s="3" t="str">
        <f aca="false">INDEX(Vendedores!$C$2:$C$101,MATCH(C1026,Vendedores!$A$2:$A$101,0))</f>
        <v>L08</v>
      </c>
      <c r="E1026" s="3" t="str">
        <f aca="false">INDEX(Lojas!$E$2:$E$11,MATCH(D1026,Lojas!$A$2:$A$11,0))</f>
        <v>Nordeste</v>
      </c>
      <c r="F1026" s="2" t="s">
        <v>255</v>
      </c>
      <c r="G1026" s="3" t="str">
        <f aca="false">INDEX(Produtos!$B$2:$B$11,MATCH(F1026,Produtos!$A$2:$A$11,0))&amp;" "&amp;INDEX(Produtos!$C$2:$C$11,MATCH(F1026,Produtos!$A$2:$A$11,0))</f>
        <v>Notebook Positivo</v>
      </c>
      <c r="H1026" s="2" t="n">
        <v>2</v>
      </c>
      <c r="I1026" s="5" t="n">
        <f aca="false">INDEX(Produtos!$D$2:$D$11,MATCH(F1026,Produtos!$A$2:$A$11,0))</f>
        <v>2199</v>
      </c>
      <c r="J1026" s="5" t="n">
        <f aca="false">H1026*I1026</f>
        <v>4398</v>
      </c>
      <c r="K1026" s="5" t="n">
        <f aca="false">INDEX(Produtos!$E$2:$E$11,MATCH(F1026,Produtos!$A$2:$A$11,0))</f>
        <v>1550</v>
      </c>
      <c r="L1026" s="5" t="n">
        <f aca="false">H1026*K1026</f>
        <v>3100</v>
      </c>
    </row>
    <row r="1027" customFormat="false" ht="15" hidden="false" customHeight="false" outlineLevel="0" collapsed="false">
      <c r="A1027" s="2" t="s">
        <v>1309</v>
      </c>
      <c r="B1027" s="8" t="n">
        <v>46108</v>
      </c>
      <c r="C1027" s="2" t="s">
        <v>207</v>
      </c>
      <c r="D1027" s="3" t="str">
        <f aca="false">INDEX(Vendedores!$C$2:$C$101,MATCH(C1027,Vendedores!$A$2:$A$101,0))</f>
        <v>L09</v>
      </c>
      <c r="E1027" s="3" t="str">
        <f aca="false">INDEX(Lojas!$E$2:$E$11,MATCH(D1027,Lojas!$A$2:$A$11,0))</f>
        <v>Nordeste</v>
      </c>
      <c r="F1027" s="2" t="s">
        <v>270</v>
      </c>
      <c r="G1027" s="3" t="str">
        <f aca="false">INDEX(Produtos!$B$2:$B$11,MATCH(F1027,Produtos!$A$2:$A$11,0))&amp;" "&amp;INDEX(Produtos!$C$2:$C$11,MATCH(F1027,Produtos!$A$2:$A$11,0))</f>
        <v>Controle de Videogame Xbox</v>
      </c>
      <c r="H1027" s="2" t="n">
        <v>1</v>
      </c>
      <c r="I1027" s="5" t="n">
        <f aca="false">INDEX(Produtos!$D$2:$D$11,MATCH(F1027,Produtos!$A$2:$A$11,0))</f>
        <v>349.9</v>
      </c>
      <c r="J1027" s="5" t="n">
        <f aca="false">H1027*I1027</f>
        <v>349.9</v>
      </c>
      <c r="K1027" s="5" t="n">
        <f aca="false">INDEX(Produtos!$E$2:$E$11,MATCH(F1027,Produtos!$A$2:$A$11,0))</f>
        <v>215</v>
      </c>
      <c r="L1027" s="5" t="n">
        <f aca="false">H1027*K1027</f>
        <v>215</v>
      </c>
    </row>
    <row r="1028" customFormat="false" ht="15" hidden="false" customHeight="false" outlineLevel="0" collapsed="false">
      <c r="A1028" s="2" t="s">
        <v>1310</v>
      </c>
      <c r="B1028" s="8" t="n">
        <v>46108</v>
      </c>
      <c r="C1028" s="2" t="s">
        <v>203</v>
      </c>
      <c r="D1028" s="3" t="str">
        <f aca="false">INDEX(Vendedores!$C$2:$C$101,MATCH(C1028,Vendedores!$A$2:$A$101,0))</f>
        <v>L08</v>
      </c>
      <c r="E1028" s="3" t="str">
        <f aca="false">INDEX(Lojas!$E$2:$E$11,MATCH(D1028,Lojas!$A$2:$A$11,0))</f>
        <v>Nordeste</v>
      </c>
      <c r="F1028" s="2" t="s">
        <v>267</v>
      </c>
      <c r="G1028" s="3" t="str">
        <f aca="false">INDEX(Produtos!$B$2:$B$11,MATCH(F1028,Produtos!$A$2:$A$11,0))&amp;" "&amp;INDEX(Produtos!$C$2:$C$11,MATCH(F1028,Produtos!$A$2:$A$11,0))</f>
        <v>Carregador de Celular Tipo C</v>
      </c>
      <c r="H1028" s="2" t="n">
        <v>2</v>
      </c>
      <c r="I1028" s="5" t="n">
        <f aca="false">INDEX(Produtos!$D$2:$D$11,MATCH(F1028,Produtos!$A$2:$A$11,0))</f>
        <v>44.9</v>
      </c>
      <c r="J1028" s="5" t="n">
        <f aca="false">H1028*I1028</f>
        <v>89.8</v>
      </c>
      <c r="K1028" s="5" t="n">
        <f aca="false">INDEX(Produtos!$E$2:$E$11,MATCH(F1028,Produtos!$A$2:$A$11,0))</f>
        <v>18</v>
      </c>
      <c r="L1028" s="5" t="n">
        <f aca="false">H1028*K1028</f>
        <v>36</v>
      </c>
    </row>
    <row r="1029" customFormat="false" ht="15" hidden="false" customHeight="false" outlineLevel="0" collapsed="false">
      <c r="A1029" s="2" t="s">
        <v>1311</v>
      </c>
      <c r="B1029" s="8" t="n">
        <v>46108</v>
      </c>
      <c r="C1029" s="2" t="s">
        <v>213</v>
      </c>
      <c r="D1029" s="3" t="str">
        <f aca="false">INDEX(Vendedores!$C$2:$C$101,MATCH(C1029,Vendedores!$A$2:$A$101,0))</f>
        <v>L09</v>
      </c>
      <c r="E1029" s="3" t="str">
        <f aca="false">INDEX(Lojas!$E$2:$E$11,MATCH(D1029,Lojas!$A$2:$A$11,0))</f>
        <v>Nordeste</v>
      </c>
      <c r="F1029" s="2" t="s">
        <v>267</v>
      </c>
      <c r="G1029" s="3" t="str">
        <f aca="false">INDEX(Produtos!$B$2:$B$11,MATCH(F1029,Produtos!$A$2:$A$11,0))&amp;" "&amp;INDEX(Produtos!$C$2:$C$11,MATCH(F1029,Produtos!$A$2:$A$11,0))</f>
        <v>Carregador de Celular Tipo C</v>
      </c>
      <c r="H1029" s="2" t="n">
        <v>1</v>
      </c>
      <c r="I1029" s="5" t="n">
        <f aca="false">INDEX(Produtos!$D$2:$D$11,MATCH(F1029,Produtos!$A$2:$A$11,0))</f>
        <v>44.9</v>
      </c>
      <c r="J1029" s="5" t="n">
        <f aca="false">H1029*I1029</f>
        <v>44.9</v>
      </c>
      <c r="K1029" s="5" t="n">
        <f aca="false">INDEX(Produtos!$E$2:$E$11,MATCH(F1029,Produtos!$A$2:$A$11,0))</f>
        <v>18</v>
      </c>
      <c r="L1029" s="5" t="n">
        <f aca="false">H1029*K1029</f>
        <v>18</v>
      </c>
    </row>
    <row r="1030" customFormat="false" ht="15" hidden="false" customHeight="false" outlineLevel="0" collapsed="false">
      <c r="A1030" s="2" t="s">
        <v>1312</v>
      </c>
      <c r="B1030" s="8" t="n">
        <v>46108</v>
      </c>
      <c r="C1030" s="2" t="s">
        <v>100</v>
      </c>
      <c r="D1030" s="3" t="str">
        <f aca="false">INDEX(Vendedores!$C$2:$C$101,MATCH(C1030,Vendedores!$A$2:$A$101,0))</f>
        <v>L03</v>
      </c>
      <c r="E1030" s="3" t="str">
        <f aca="false">INDEX(Lojas!$E$2:$E$11,MATCH(D1030,Lojas!$A$2:$A$11,0))</f>
        <v>Sudeste</v>
      </c>
      <c r="F1030" s="2" t="s">
        <v>260</v>
      </c>
      <c r="G1030" s="3" t="str">
        <f aca="false">INDEX(Produtos!$B$2:$B$11,MATCH(F1030,Produtos!$A$2:$A$11,0))&amp;" "&amp;INDEX(Produtos!$C$2:$C$11,MATCH(F1030,Produtos!$A$2:$A$11,0))</f>
        <v>Celular Motorola</v>
      </c>
      <c r="H1030" s="2" t="n">
        <v>2</v>
      </c>
      <c r="I1030" s="5" t="n">
        <f aca="false">INDEX(Produtos!$D$2:$D$11,MATCH(F1030,Produtos!$A$2:$A$11,0))</f>
        <v>1799</v>
      </c>
      <c r="J1030" s="5" t="n">
        <f aca="false">H1030*I1030</f>
        <v>3598</v>
      </c>
      <c r="K1030" s="5" t="n">
        <f aca="false">INDEX(Produtos!$E$2:$E$11,MATCH(F1030,Produtos!$A$2:$A$11,0))</f>
        <v>1250</v>
      </c>
      <c r="L1030" s="5" t="n">
        <f aca="false">H1030*K1030</f>
        <v>2500</v>
      </c>
    </row>
    <row r="1031" customFormat="false" ht="15" hidden="false" customHeight="false" outlineLevel="0" collapsed="false">
      <c r="A1031" s="2" t="s">
        <v>1313</v>
      </c>
      <c r="B1031" s="8" t="n">
        <v>46108</v>
      </c>
      <c r="C1031" s="2" t="s">
        <v>243</v>
      </c>
      <c r="D1031" s="3" t="str">
        <f aca="false">INDEX(Vendedores!$C$2:$C$101,MATCH(C1031,Vendedores!$A$2:$A$101,0))</f>
        <v>L10</v>
      </c>
      <c r="E1031" s="3" t="str">
        <f aca="false">INDEX(Lojas!$E$2:$E$11,MATCH(D1031,Lojas!$A$2:$A$11,0))</f>
        <v>Nordeste</v>
      </c>
      <c r="F1031" s="2" t="s">
        <v>267</v>
      </c>
      <c r="G1031" s="3" t="str">
        <f aca="false">INDEX(Produtos!$B$2:$B$11,MATCH(F1031,Produtos!$A$2:$A$11,0))&amp;" "&amp;INDEX(Produtos!$C$2:$C$11,MATCH(F1031,Produtos!$A$2:$A$11,0))</f>
        <v>Carregador de Celular Tipo C</v>
      </c>
      <c r="H1031" s="2" t="n">
        <v>1</v>
      </c>
      <c r="I1031" s="5" t="n">
        <f aca="false">INDEX(Produtos!$D$2:$D$11,MATCH(F1031,Produtos!$A$2:$A$11,0))</f>
        <v>44.9</v>
      </c>
      <c r="J1031" s="5" t="n">
        <f aca="false">H1031*I1031</f>
        <v>44.9</v>
      </c>
      <c r="K1031" s="5" t="n">
        <f aca="false">INDEX(Produtos!$E$2:$E$11,MATCH(F1031,Produtos!$A$2:$A$11,0))</f>
        <v>18</v>
      </c>
      <c r="L1031" s="5" t="n">
        <f aca="false">H1031*K1031</f>
        <v>18</v>
      </c>
    </row>
    <row r="1032" customFormat="false" ht="15" hidden="false" customHeight="false" outlineLevel="0" collapsed="false">
      <c r="A1032" s="2" t="s">
        <v>1314</v>
      </c>
      <c r="B1032" s="8" t="n">
        <v>46108</v>
      </c>
      <c r="C1032" s="2" t="s">
        <v>128</v>
      </c>
      <c r="D1032" s="3" t="str">
        <f aca="false">INDEX(Vendedores!$C$2:$C$101,MATCH(C1032,Vendedores!$A$2:$A$101,0))</f>
        <v>L04</v>
      </c>
      <c r="E1032" s="3" t="str">
        <f aca="false">INDEX(Lojas!$E$2:$E$11,MATCH(D1032,Lojas!$A$2:$A$11,0))</f>
        <v>Sudeste</v>
      </c>
      <c r="F1032" s="2" t="s">
        <v>252</v>
      </c>
      <c r="G1032" s="3" t="str">
        <f aca="false">INDEX(Produtos!$B$2:$B$11,MATCH(F1032,Produtos!$A$2:$A$11,0))&amp;" "&amp;INDEX(Produtos!$C$2:$C$11,MATCH(F1032,Produtos!$A$2:$A$11,0))</f>
        <v>Notebook Lenovo</v>
      </c>
      <c r="H1032" s="2" t="n">
        <v>1</v>
      </c>
      <c r="I1032" s="5" t="n">
        <f aca="false">INDEX(Produtos!$D$2:$D$11,MATCH(F1032,Produtos!$A$2:$A$11,0))</f>
        <v>3199</v>
      </c>
      <c r="J1032" s="5" t="n">
        <f aca="false">H1032*I1032</f>
        <v>3199</v>
      </c>
      <c r="K1032" s="5" t="n">
        <f aca="false">INDEX(Produtos!$E$2:$E$11,MATCH(F1032,Produtos!$A$2:$A$11,0))</f>
        <v>2350</v>
      </c>
      <c r="L1032" s="5" t="n">
        <f aca="false">H1032*K1032</f>
        <v>2350</v>
      </c>
    </row>
    <row r="1033" customFormat="false" ht="15" hidden="false" customHeight="false" outlineLevel="0" collapsed="false">
      <c r="A1033" s="2" t="s">
        <v>1315</v>
      </c>
      <c r="B1033" s="8" t="n">
        <v>46108</v>
      </c>
      <c r="C1033" s="2" t="s">
        <v>239</v>
      </c>
      <c r="D1033" s="3" t="str">
        <f aca="false">INDEX(Vendedores!$C$2:$C$101,MATCH(C1033,Vendedores!$A$2:$A$101,0))</f>
        <v>L10</v>
      </c>
      <c r="E1033" s="3" t="str">
        <f aca="false">INDEX(Lojas!$E$2:$E$11,MATCH(D1033,Lojas!$A$2:$A$11,0))</f>
        <v>Nordeste</v>
      </c>
      <c r="F1033" s="2" t="s">
        <v>260</v>
      </c>
      <c r="G1033" s="3" t="str">
        <f aca="false">INDEX(Produtos!$B$2:$B$11,MATCH(F1033,Produtos!$A$2:$A$11,0))&amp;" "&amp;INDEX(Produtos!$C$2:$C$11,MATCH(F1033,Produtos!$A$2:$A$11,0))</f>
        <v>Celular Motorola</v>
      </c>
      <c r="H1033" s="2" t="n">
        <v>1</v>
      </c>
      <c r="I1033" s="5" t="n">
        <f aca="false">INDEX(Produtos!$D$2:$D$11,MATCH(F1033,Produtos!$A$2:$A$11,0))</f>
        <v>1799</v>
      </c>
      <c r="J1033" s="5" t="n">
        <f aca="false">H1033*I1033</f>
        <v>1799</v>
      </c>
      <c r="K1033" s="5" t="n">
        <f aca="false">INDEX(Produtos!$E$2:$E$11,MATCH(F1033,Produtos!$A$2:$A$11,0))</f>
        <v>1250</v>
      </c>
      <c r="L1033" s="5" t="n">
        <f aca="false">H1033*K1033</f>
        <v>1250</v>
      </c>
    </row>
    <row r="1034" customFormat="false" ht="15" hidden="false" customHeight="false" outlineLevel="0" collapsed="false">
      <c r="A1034" s="2" t="s">
        <v>1316</v>
      </c>
      <c r="B1034" s="8" t="n">
        <v>46109</v>
      </c>
      <c r="C1034" s="2" t="s">
        <v>180</v>
      </c>
      <c r="D1034" s="3" t="str">
        <f aca="false">INDEX(Vendedores!$C$2:$C$101,MATCH(C1034,Vendedores!$A$2:$A$101,0))</f>
        <v>L07</v>
      </c>
      <c r="E1034" s="3" t="str">
        <f aca="false">INDEX(Lojas!$E$2:$E$11,MATCH(D1034,Lojas!$A$2:$A$11,0))</f>
        <v>Sul</v>
      </c>
      <c r="F1034" s="2" t="s">
        <v>255</v>
      </c>
      <c r="G1034" s="3" t="str">
        <f aca="false">INDEX(Produtos!$B$2:$B$11,MATCH(F1034,Produtos!$A$2:$A$11,0))&amp;" "&amp;INDEX(Produtos!$C$2:$C$11,MATCH(F1034,Produtos!$A$2:$A$11,0))</f>
        <v>Notebook Positivo</v>
      </c>
      <c r="H1034" s="2" t="n">
        <v>2</v>
      </c>
      <c r="I1034" s="5" t="n">
        <f aca="false">INDEX(Produtos!$D$2:$D$11,MATCH(F1034,Produtos!$A$2:$A$11,0))</f>
        <v>2199</v>
      </c>
      <c r="J1034" s="5" t="n">
        <f aca="false">H1034*I1034</f>
        <v>4398</v>
      </c>
      <c r="K1034" s="5" t="n">
        <f aca="false">INDEX(Produtos!$E$2:$E$11,MATCH(F1034,Produtos!$A$2:$A$11,0))</f>
        <v>1550</v>
      </c>
      <c r="L1034" s="5" t="n">
        <f aca="false">H1034*K1034</f>
        <v>3100</v>
      </c>
    </row>
    <row r="1035" customFormat="false" ht="15" hidden="false" customHeight="false" outlineLevel="0" collapsed="false">
      <c r="A1035" s="2" t="s">
        <v>1317</v>
      </c>
      <c r="B1035" s="8" t="n">
        <v>46109</v>
      </c>
      <c r="C1035" s="2" t="s">
        <v>227</v>
      </c>
      <c r="D1035" s="3" t="str">
        <f aca="false">INDEX(Vendedores!$C$2:$C$101,MATCH(C1035,Vendedores!$A$2:$A$101,0))</f>
        <v>L10</v>
      </c>
      <c r="E1035" s="3" t="str">
        <f aca="false">INDEX(Lojas!$E$2:$E$11,MATCH(D1035,Lojas!$A$2:$A$11,0))</f>
        <v>Nordeste</v>
      </c>
      <c r="F1035" s="2" t="s">
        <v>273</v>
      </c>
      <c r="G1035" s="3" t="str">
        <f aca="false">INDEX(Produtos!$B$2:$B$11,MATCH(F1035,Produtos!$A$2:$A$11,0))&amp;" "&amp;INDEX(Produtos!$C$2:$C$11,MATCH(F1035,Produtos!$A$2:$A$11,0))</f>
        <v>Controle de Videogame PS4</v>
      </c>
      <c r="H1035" s="2" t="n">
        <v>1</v>
      </c>
      <c r="I1035" s="5" t="n">
        <f aca="false">INDEX(Produtos!$D$2:$D$11,MATCH(F1035,Produtos!$A$2:$A$11,0))</f>
        <v>299.9</v>
      </c>
      <c r="J1035" s="5" t="n">
        <f aca="false">H1035*I1035</f>
        <v>299.9</v>
      </c>
      <c r="K1035" s="5" t="n">
        <f aca="false">INDEX(Produtos!$E$2:$E$11,MATCH(F1035,Produtos!$A$2:$A$11,0))</f>
        <v>175</v>
      </c>
      <c r="L1035" s="5" t="n">
        <f aca="false">H1035*K1035</f>
        <v>175</v>
      </c>
    </row>
    <row r="1036" customFormat="false" ht="15" hidden="false" customHeight="false" outlineLevel="0" collapsed="false">
      <c r="A1036" s="2" t="s">
        <v>1318</v>
      </c>
      <c r="B1036" s="8" t="n">
        <v>46109</v>
      </c>
      <c r="C1036" s="2" t="s">
        <v>76</v>
      </c>
      <c r="D1036" s="3" t="str">
        <f aca="false">INDEX(Vendedores!$C$2:$C$101,MATCH(C1036,Vendedores!$A$2:$A$101,0))</f>
        <v>L02</v>
      </c>
      <c r="E1036" s="3" t="str">
        <f aca="false">INDEX(Lojas!$E$2:$E$11,MATCH(D1036,Lojas!$A$2:$A$11,0))</f>
        <v>Sudeste</v>
      </c>
      <c r="F1036" s="2" t="s">
        <v>273</v>
      </c>
      <c r="G1036" s="3" t="str">
        <f aca="false">INDEX(Produtos!$B$2:$B$11,MATCH(F1036,Produtos!$A$2:$A$11,0))&amp;" "&amp;INDEX(Produtos!$C$2:$C$11,MATCH(F1036,Produtos!$A$2:$A$11,0))</f>
        <v>Controle de Videogame PS4</v>
      </c>
      <c r="H1036" s="2" t="n">
        <v>1</v>
      </c>
      <c r="I1036" s="5" t="n">
        <f aca="false">INDEX(Produtos!$D$2:$D$11,MATCH(F1036,Produtos!$A$2:$A$11,0))</f>
        <v>299.9</v>
      </c>
      <c r="J1036" s="5" t="n">
        <f aca="false">H1036*I1036</f>
        <v>299.9</v>
      </c>
      <c r="K1036" s="5" t="n">
        <f aca="false">INDEX(Produtos!$E$2:$E$11,MATCH(F1036,Produtos!$A$2:$A$11,0))</f>
        <v>175</v>
      </c>
      <c r="L1036" s="5" t="n">
        <f aca="false">H1036*K1036</f>
        <v>175</v>
      </c>
    </row>
    <row r="1037" customFormat="false" ht="15" hidden="false" customHeight="false" outlineLevel="0" collapsed="false">
      <c r="A1037" s="2" t="s">
        <v>1319</v>
      </c>
      <c r="B1037" s="8" t="n">
        <v>46109</v>
      </c>
      <c r="C1037" s="2" t="s">
        <v>52</v>
      </c>
      <c r="D1037" s="3" t="str">
        <f aca="false">INDEX(Vendedores!$C$2:$C$101,MATCH(C1037,Vendedores!$A$2:$A$101,0))</f>
        <v>L01</v>
      </c>
      <c r="E1037" s="3" t="str">
        <f aca="false">INDEX(Lojas!$E$2:$E$11,MATCH(D1037,Lojas!$A$2:$A$11,0))</f>
        <v>Sudeste</v>
      </c>
      <c r="F1037" s="2" t="s">
        <v>267</v>
      </c>
      <c r="G1037" s="3" t="str">
        <f aca="false">INDEX(Produtos!$B$2:$B$11,MATCH(F1037,Produtos!$A$2:$A$11,0))&amp;" "&amp;INDEX(Produtos!$C$2:$C$11,MATCH(F1037,Produtos!$A$2:$A$11,0))</f>
        <v>Carregador de Celular Tipo C</v>
      </c>
      <c r="H1037" s="2" t="n">
        <v>3</v>
      </c>
      <c r="I1037" s="5" t="n">
        <f aca="false">INDEX(Produtos!$D$2:$D$11,MATCH(F1037,Produtos!$A$2:$A$11,0))</f>
        <v>44.9</v>
      </c>
      <c r="J1037" s="5" t="n">
        <f aca="false">H1037*I1037</f>
        <v>134.7</v>
      </c>
      <c r="K1037" s="5" t="n">
        <f aca="false">INDEX(Produtos!$E$2:$E$11,MATCH(F1037,Produtos!$A$2:$A$11,0))</f>
        <v>18</v>
      </c>
      <c r="L1037" s="5" t="n">
        <f aca="false">H1037*K1037</f>
        <v>54</v>
      </c>
    </row>
    <row r="1038" customFormat="false" ht="15" hidden="false" customHeight="false" outlineLevel="0" collapsed="false">
      <c r="A1038" s="2" t="s">
        <v>1320</v>
      </c>
      <c r="B1038" s="8" t="n">
        <v>46109</v>
      </c>
      <c r="C1038" s="2" t="s">
        <v>170</v>
      </c>
      <c r="D1038" s="3" t="str">
        <f aca="false">INDEX(Vendedores!$C$2:$C$101,MATCH(C1038,Vendedores!$A$2:$A$101,0))</f>
        <v>L07</v>
      </c>
      <c r="E1038" s="3" t="str">
        <f aca="false">INDEX(Lojas!$E$2:$E$11,MATCH(D1038,Lojas!$A$2:$A$11,0))</f>
        <v>Sul</v>
      </c>
      <c r="F1038" s="2" t="s">
        <v>262</v>
      </c>
      <c r="G1038" s="3" t="str">
        <f aca="false">INDEX(Produtos!$B$2:$B$11,MATCH(F1038,Produtos!$A$2:$A$11,0))&amp;" "&amp;INDEX(Produtos!$C$2:$C$11,MATCH(F1038,Produtos!$A$2:$A$11,0))</f>
        <v>Fone de Ouvido De Celular</v>
      </c>
      <c r="H1038" s="2" t="n">
        <v>1</v>
      </c>
      <c r="I1038" s="5" t="n">
        <f aca="false">INDEX(Produtos!$D$2:$D$11,MATCH(F1038,Produtos!$A$2:$A$11,0))</f>
        <v>59.9</v>
      </c>
      <c r="J1038" s="5" t="n">
        <f aca="false">H1038*I1038</f>
        <v>59.9</v>
      </c>
      <c r="K1038" s="5" t="n">
        <f aca="false">INDEX(Produtos!$E$2:$E$11,MATCH(F1038,Produtos!$A$2:$A$11,0))</f>
        <v>28</v>
      </c>
      <c r="L1038" s="5" t="n">
        <f aca="false">H1038*K1038</f>
        <v>28</v>
      </c>
    </row>
    <row r="1039" customFormat="false" ht="15" hidden="false" customHeight="false" outlineLevel="0" collapsed="false">
      <c r="A1039" s="2" t="s">
        <v>1321</v>
      </c>
      <c r="B1039" s="8" t="n">
        <v>46109</v>
      </c>
      <c r="C1039" s="2" t="s">
        <v>146</v>
      </c>
      <c r="D1039" s="3" t="str">
        <f aca="false">INDEX(Vendedores!$C$2:$C$101,MATCH(C1039,Vendedores!$A$2:$A$101,0))</f>
        <v>L05</v>
      </c>
      <c r="E1039" s="3" t="str">
        <f aca="false">INDEX(Lojas!$E$2:$E$11,MATCH(D1039,Lojas!$A$2:$A$11,0))</f>
        <v>Sul</v>
      </c>
      <c r="F1039" s="2" t="s">
        <v>260</v>
      </c>
      <c r="G1039" s="3" t="str">
        <f aca="false">INDEX(Produtos!$B$2:$B$11,MATCH(F1039,Produtos!$A$2:$A$11,0))&amp;" "&amp;INDEX(Produtos!$C$2:$C$11,MATCH(F1039,Produtos!$A$2:$A$11,0))</f>
        <v>Celular Motorola</v>
      </c>
      <c r="H1039" s="2" t="n">
        <v>1</v>
      </c>
      <c r="I1039" s="5" t="n">
        <f aca="false">INDEX(Produtos!$D$2:$D$11,MATCH(F1039,Produtos!$A$2:$A$11,0))</f>
        <v>1799</v>
      </c>
      <c r="J1039" s="5" t="n">
        <f aca="false">H1039*I1039</f>
        <v>1799</v>
      </c>
      <c r="K1039" s="5" t="n">
        <f aca="false">INDEX(Produtos!$E$2:$E$11,MATCH(F1039,Produtos!$A$2:$A$11,0))</f>
        <v>1250</v>
      </c>
      <c r="L1039" s="5" t="n">
        <f aca="false">H1039*K1039</f>
        <v>1250</v>
      </c>
    </row>
    <row r="1040" customFormat="false" ht="15" hidden="false" customHeight="false" outlineLevel="0" collapsed="false">
      <c r="A1040" s="2" t="s">
        <v>1322</v>
      </c>
      <c r="B1040" s="8" t="n">
        <v>46109</v>
      </c>
      <c r="C1040" s="2" t="s">
        <v>211</v>
      </c>
      <c r="D1040" s="3" t="str">
        <f aca="false">INDEX(Vendedores!$C$2:$C$101,MATCH(C1040,Vendedores!$A$2:$A$101,0))</f>
        <v>L09</v>
      </c>
      <c r="E1040" s="3" t="str">
        <f aca="false">INDEX(Lojas!$E$2:$E$11,MATCH(D1040,Lojas!$A$2:$A$11,0))</f>
        <v>Nordeste</v>
      </c>
      <c r="F1040" s="2" t="s">
        <v>255</v>
      </c>
      <c r="G1040" s="3" t="str">
        <f aca="false">INDEX(Produtos!$B$2:$B$11,MATCH(F1040,Produtos!$A$2:$A$11,0))&amp;" "&amp;INDEX(Produtos!$C$2:$C$11,MATCH(F1040,Produtos!$A$2:$A$11,0))</f>
        <v>Notebook Positivo</v>
      </c>
      <c r="H1040" s="2" t="n">
        <v>2</v>
      </c>
      <c r="I1040" s="5" t="n">
        <f aca="false">INDEX(Produtos!$D$2:$D$11,MATCH(F1040,Produtos!$A$2:$A$11,0))</f>
        <v>2199</v>
      </c>
      <c r="J1040" s="5" t="n">
        <f aca="false">H1040*I1040</f>
        <v>4398</v>
      </c>
      <c r="K1040" s="5" t="n">
        <f aca="false">INDEX(Produtos!$E$2:$E$11,MATCH(F1040,Produtos!$A$2:$A$11,0))</f>
        <v>1550</v>
      </c>
      <c r="L1040" s="5" t="n">
        <f aca="false">H1040*K1040</f>
        <v>3100</v>
      </c>
    </row>
    <row r="1041" customFormat="false" ht="15" hidden="false" customHeight="false" outlineLevel="0" collapsed="false">
      <c r="A1041" s="2" t="s">
        <v>1323</v>
      </c>
      <c r="B1041" s="8" t="n">
        <v>46109</v>
      </c>
      <c r="C1041" s="2" t="s">
        <v>128</v>
      </c>
      <c r="D1041" s="3" t="str">
        <f aca="false">INDEX(Vendedores!$C$2:$C$101,MATCH(C1041,Vendedores!$A$2:$A$101,0))</f>
        <v>L04</v>
      </c>
      <c r="E1041" s="3" t="str">
        <f aca="false">INDEX(Lojas!$E$2:$E$11,MATCH(D1041,Lojas!$A$2:$A$11,0))</f>
        <v>Sudeste</v>
      </c>
      <c r="F1041" s="2" t="s">
        <v>267</v>
      </c>
      <c r="G1041" s="3" t="str">
        <f aca="false">INDEX(Produtos!$B$2:$B$11,MATCH(F1041,Produtos!$A$2:$A$11,0))&amp;" "&amp;INDEX(Produtos!$C$2:$C$11,MATCH(F1041,Produtos!$A$2:$A$11,0))</f>
        <v>Carregador de Celular Tipo C</v>
      </c>
      <c r="H1041" s="2" t="n">
        <v>2</v>
      </c>
      <c r="I1041" s="5" t="n">
        <f aca="false">INDEX(Produtos!$D$2:$D$11,MATCH(F1041,Produtos!$A$2:$A$11,0))</f>
        <v>44.9</v>
      </c>
      <c r="J1041" s="5" t="n">
        <f aca="false">H1041*I1041</f>
        <v>89.8</v>
      </c>
      <c r="K1041" s="5" t="n">
        <f aca="false">INDEX(Produtos!$E$2:$E$11,MATCH(F1041,Produtos!$A$2:$A$11,0))</f>
        <v>18</v>
      </c>
      <c r="L1041" s="5" t="n">
        <f aca="false">H1041*K1041</f>
        <v>36</v>
      </c>
    </row>
    <row r="1042" customFormat="false" ht="15" hidden="false" customHeight="false" outlineLevel="0" collapsed="false">
      <c r="A1042" s="2" t="s">
        <v>1324</v>
      </c>
      <c r="B1042" s="8" t="n">
        <v>46109</v>
      </c>
      <c r="C1042" s="2" t="s">
        <v>203</v>
      </c>
      <c r="D1042" s="3" t="str">
        <f aca="false">INDEX(Vendedores!$C$2:$C$101,MATCH(C1042,Vendedores!$A$2:$A$101,0))</f>
        <v>L08</v>
      </c>
      <c r="E1042" s="3" t="str">
        <f aca="false">INDEX(Lojas!$E$2:$E$11,MATCH(D1042,Lojas!$A$2:$A$11,0))</f>
        <v>Nordeste</v>
      </c>
      <c r="F1042" s="2" t="s">
        <v>255</v>
      </c>
      <c r="G1042" s="3" t="str">
        <f aca="false">INDEX(Produtos!$B$2:$B$11,MATCH(F1042,Produtos!$A$2:$A$11,0))&amp;" "&amp;INDEX(Produtos!$C$2:$C$11,MATCH(F1042,Produtos!$A$2:$A$11,0))</f>
        <v>Notebook Positivo</v>
      </c>
      <c r="H1042" s="2" t="n">
        <v>1</v>
      </c>
      <c r="I1042" s="5" t="n">
        <f aca="false">INDEX(Produtos!$D$2:$D$11,MATCH(F1042,Produtos!$A$2:$A$11,0))</f>
        <v>2199</v>
      </c>
      <c r="J1042" s="5" t="n">
        <f aca="false">H1042*I1042</f>
        <v>2199</v>
      </c>
      <c r="K1042" s="5" t="n">
        <f aca="false">INDEX(Produtos!$E$2:$E$11,MATCH(F1042,Produtos!$A$2:$A$11,0))</f>
        <v>1550</v>
      </c>
      <c r="L1042" s="5" t="n">
        <f aca="false">H1042*K1042</f>
        <v>1550</v>
      </c>
    </row>
    <row r="1043" customFormat="false" ht="15" hidden="false" customHeight="false" outlineLevel="0" collapsed="false">
      <c r="A1043" s="2" t="s">
        <v>1325</v>
      </c>
      <c r="B1043" s="8" t="n">
        <v>46109</v>
      </c>
      <c r="C1043" s="2" t="s">
        <v>170</v>
      </c>
      <c r="D1043" s="3" t="str">
        <f aca="false">INDEX(Vendedores!$C$2:$C$101,MATCH(C1043,Vendedores!$A$2:$A$101,0))</f>
        <v>L07</v>
      </c>
      <c r="E1043" s="3" t="str">
        <f aca="false">INDEX(Lojas!$E$2:$E$11,MATCH(D1043,Lojas!$A$2:$A$11,0))</f>
        <v>Sul</v>
      </c>
      <c r="F1043" s="2" t="s">
        <v>275</v>
      </c>
      <c r="G1043" s="3" t="str">
        <f aca="false">INDEX(Produtos!$B$2:$B$11,MATCH(F1043,Produtos!$A$2:$A$11,0))&amp;" "&amp;INDEX(Produtos!$C$2:$C$11,MATCH(F1043,Produtos!$A$2:$A$11,0))</f>
        <v>Controle de Videogame PS5</v>
      </c>
      <c r="H1043" s="2" t="n">
        <v>2</v>
      </c>
      <c r="I1043" s="5" t="n">
        <f aca="false">INDEX(Produtos!$D$2:$D$11,MATCH(F1043,Produtos!$A$2:$A$11,0))</f>
        <v>379.9</v>
      </c>
      <c r="J1043" s="5" t="n">
        <f aca="false">H1043*I1043</f>
        <v>759.8</v>
      </c>
      <c r="K1043" s="5" t="n">
        <f aca="false">INDEX(Produtos!$E$2:$E$11,MATCH(F1043,Produtos!$A$2:$A$11,0))</f>
        <v>235</v>
      </c>
      <c r="L1043" s="5" t="n">
        <f aca="false">H1043*K1043</f>
        <v>470</v>
      </c>
    </row>
    <row r="1044" customFormat="false" ht="15" hidden="false" customHeight="false" outlineLevel="0" collapsed="false">
      <c r="A1044" s="2" t="s">
        <v>1326</v>
      </c>
      <c r="B1044" s="8" t="n">
        <v>46109</v>
      </c>
      <c r="C1044" s="2" t="s">
        <v>96</v>
      </c>
      <c r="D1044" s="3" t="str">
        <f aca="false">INDEX(Vendedores!$C$2:$C$101,MATCH(C1044,Vendedores!$A$2:$A$101,0))</f>
        <v>L03</v>
      </c>
      <c r="E1044" s="3" t="str">
        <f aca="false">INDEX(Lojas!$E$2:$E$11,MATCH(D1044,Lojas!$A$2:$A$11,0))</f>
        <v>Sudeste</v>
      </c>
      <c r="F1044" s="2" t="s">
        <v>257</v>
      </c>
      <c r="G1044" s="3" t="str">
        <f aca="false">INDEX(Produtos!$B$2:$B$11,MATCH(F1044,Produtos!$A$2:$A$11,0))&amp;" "&amp;INDEX(Produtos!$C$2:$C$11,MATCH(F1044,Produtos!$A$2:$A$11,0))</f>
        <v>Celular Samsung</v>
      </c>
      <c r="H1044" s="2" t="n">
        <v>1</v>
      </c>
      <c r="I1044" s="5" t="n">
        <f aca="false">INDEX(Produtos!$D$2:$D$11,MATCH(F1044,Produtos!$A$2:$A$11,0))</f>
        <v>2499</v>
      </c>
      <c r="J1044" s="5" t="n">
        <f aca="false">H1044*I1044</f>
        <v>2499</v>
      </c>
      <c r="K1044" s="5" t="n">
        <f aca="false">INDEX(Produtos!$E$2:$E$11,MATCH(F1044,Produtos!$A$2:$A$11,0))</f>
        <v>1800</v>
      </c>
      <c r="L1044" s="5" t="n">
        <f aca="false">H1044*K1044</f>
        <v>1800</v>
      </c>
    </row>
    <row r="1045" customFormat="false" ht="15" hidden="false" customHeight="false" outlineLevel="0" collapsed="false">
      <c r="A1045" s="2" t="s">
        <v>1327</v>
      </c>
      <c r="B1045" s="8" t="n">
        <v>46109</v>
      </c>
      <c r="C1045" s="2" t="s">
        <v>189</v>
      </c>
      <c r="D1045" s="3" t="str">
        <f aca="false">INDEX(Vendedores!$C$2:$C$101,MATCH(C1045,Vendedores!$A$2:$A$101,0))</f>
        <v>L08</v>
      </c>
      <c r="E1045" s="3" t="str">
        <f aca="false">INDEX(Lojas!$E$2:$E$11,MATCH(D1045,Lojas!$A$2:$A$11,0))</f>
        <v>Nordeste</v>
      </c>
      <c r="F1045" s="2" t="s">
        <v>262</v>
      </c>
      <c r="G1045" s="3" t="str">
        <f aca="false">INDEX(Produtos!$B$2:$B$11,MATCH(F1045,Produtos!$A$2:$A$11,0))&amp;" "&amp;INDEX(Produtos!$C$2:$C$11,MATCH(F1045,Produtos!$A$2:$A$11,0))</f>
        <v>Fone de Ouvido De Celular</v>
      </c>
      <c r="H1045" s="2" t="n">
        <v>1</v>
      </c>
      <c r="I1045" s="5" t="n">
        <f aca="false">INDEX(Produtos!$D$2:$D$11,MATCH(F1045,Produtos!$A$2:$A$11,0))</f>
        <v>59.9</v>
      </c>
      <c r="J1045" s="5" t="n">
        <f aca="false">H1045*I1045</f>
        <v>59.9</v>
      </c>
      <c r="K1045" s="5" t="n">
        <f aca="false">INDEX(Produtos!$E$2:$E$11,MATCH(F1045,Produtos!$A$2:$A$11,0))</f>
        <v>28</v>
      </c>
      <c r="L1045" s="5" t="n">
        <f aca="false">H1045*K1045</f>
        <v>28</v>
      </c>
    </row>
    <row r="1046" customFormat="false" ht="15" hidden="false" customHeight="false" outlineLevel="0" collapsed="false">
      <c r="A1046" s="2" t="s">
        <v>1328</v>
      </c>
      <c r="B1046" s="8" t="n">
        <v>46110</v>
      </c>
      <c r="C1046" s="2" t="s">
        <v>237</v>
      </c>
      <c r="D1046" s="3" t="str">
        <f aca="false">INDEX(Vendedores!$C$2:$C$101,MATCH(C1046,Vendedores!$A$2:$A$101,0))</f>
        <v>L10</v>
      </c>
      <c r="E1046" s="3" t="str">
        <f aca="false">INDEX(Lojas!$E$2:$E$11,MATCH(D1046,Lojas!$A$2:$A$11,0))</f>
        <v>Nordeste</v>
      </c>
      <c r="F1046" s="2" t="s">
        <v>255</v>
      </c>
      <c r="G1046" s="3" t="str">
        <f aca="false">INDEX(Produtos!$B$2:$B$11,MATCH(F1046,Produtos!$A$2:$A$11,0))&amp;" "&amp;INDEX(Produtos!$C$2:$C$11,MATCH(F1046,Produtos!$A$2:$A$11,0))</f>
        <v>Notebook Positivo</v>
      </c>
      <c r="H1046" s="2" t="n">
        <v>3</v>
      </c>
      <c r="I1046" s="5" t="n">
        <f aca="false">INDEX(Produtos!$D$2:$D$11,MATCH(F1046,Produtos!$A$2:$A$11,0))</f>
        <v>2199</v>
      </c>
      <c r="J1046" s="5" t="n">
        <f aca="false">H1046*I1046</f>
        <v>6597</v>
      </c>
      <c r="K1046" s="5" t="n">
        <f aca="false">INDEX(Produtos!$E$2:$E$11,MATCH(F1046,Produtos!$A$2:$A$11,0))</f>
        <v>1550</v>
      </c>
      <c r="L1046" s="5" t="n">
        <f aca="false">H1046*K1046</f>
        <v>4650</v>
      </c>
    </row>
    <row r="1047" customFormat="false" ht="15" hidden="false" customHeight="false" outlineLevel="0" collapsed="false">
      <c r="A1047" s="2" t="s">
        <v>1329</v>
      </c>
      <c r="B1047" s="8" t="n">
        <v>46110</v>
      </c>
      <c r="C1047" s="2" t="s">
        <v>112</v>
      </c>
      <c r="D1047" s="3" t="str">
        <f aca="false">INDEX(Vendedores!$C$2:$C$101,MATCH(C1047,Vendedores!$A$2:$A$101,0))</f>
        <v>L04</v>
      </c>
      <c r="E1047" s="3" t="str">
        <f aca="false">INDEX(Lojas!$E$2:$E$11,MATCH(D1047,Lojas!$A$2:$A$11,0))</f>
        <v>Sudeste</v>
      </c>
      <c r="F1047" s="2" t="s">
        <v>260</v>
      </c>
      <c r="G1047" s="3" t="str">
        <f aca="false">INDEX(Produtos!$B$2:$B$11,MATCH(F1047,Produtos!$A$2:$A$11,0))&amp;" "&amp;INDEX(Produtos!$C$2:$C$11,MATCH(F1047,Produtos!$A$2:$A$11,0))</f>
        <v>Celular Motorola</v>
      </c>
      <c r="H1047" s="2" t="n">
        <v>2</v>
      </c>
      <c r="I1047" s="5" t="n">
        <f aca="false">INDEX(Produtos!$D$2:$D$11,MATCH(F1047,Produtos!$A$2:$A$11,0))</f>
        <v>1799</v>
      </c>
      <c r="J1047" s="5" t="n">
        <f aca="false">H1047*I1047</f>
        <v>3598</v>
      </c>
      <c r="K1047" s="5" t="n">
        <f aca="false">INDEX(Produtos!$E$2:$E$11,MATCH(F1047,Produtos!$A$2:$A$11,0))</f>
        <v>1250</v>
      </c>
      <c r="L1047" s="5" t="n">
        <f aca="false">H1047*K1047</f>
        <v>2500</v>
      </c>
    </row>
    <row r="1048" customFormat="false" ht="15" hidden="false" customHeight="false" outlineLevel="0" collapsed="false">
      <c r="A1048" s="2" t="s">
        <v>1330</v>
      </c>
      <c r="B1048" s="8" t="n">
        <v>46110</v>
      </c>
      <c r="C1048" s="2" t="s">
        <v>211</v>
      </c>
      <c r="D1048" s="3" t="str">
        <f aca="false">INDEX(Vendedores!$C$2:$C$101,MATCH(C1048,Vendedores!$A$2:$A$101,0))</f>
        <v>L09</v>
      </c>
      <c r="E1048" s="3" t="str">
        <f aca="false">INDEX(Lojas!$E$2:$E$11,MATCH(D1048,Lojas!$A$2:$A$11,0))</f>
        <v>Nordeste</v>
      </c>
      <c r="F1048" s="2" t="s">
        <v>255</v>
      </c>
      <c r="G1048" s="3" t="str">
        <f aca="false">INDEX(Produtos!$B$2:$B$11,MATCH(F1048,Produtos!$A$2:$A$11,0))&amp;" "&amp;INDEX(Produtos!$C$2:$C$11,MATCH(F1048,Produtos!$A$2:$A$11,0))</f>
        <v>Notebook Positivo</v>
      </c>
      <c r="H1048" s="2" t="n">
        <v>2</v>
      </c>
      <c r="I1048" s="5" t="n">
        <f aca="false">INDEX(Produtos!$D$2:$D$11,MATCH(F1048,Produtos!$A$2:$A$11,0))</f>
        <v>2199</v>
      </c>
      <c r="J1048" s="5" t="n">
        <f aca="false">H1048*I1048</f>
        <v>4398</v>
      </c>
      <c r="K1048" s="5" t="n">
        <f aca="false">INDEX(Produtos!$E$2:$E$11,MATCH(F1048,Produtos!$A$2:$A$11,0))</f>
        <v>1550</v>
      </c>
      <c r="L1048" s="5" t="n">
        <f aca="false">H1048*K1048</f>
        <v>3100</v>
      </c>
    </row>
    <row r="1049" customFormat="false" ht="15" hidden="false" customHeight="false" outlineLevel="0" collapsed="false">
      <c r="A1049" s="2" t="s">
        <v>1331</v>
      </c>
      <c r="B1049" s="8" t="n">
        <v>46110</v>
      </c>
      <c r="C1049" s="2" t="s">
        <v>166</v>
      </c>
      <c r="D1049" s="3" t="str">
        <f aca="false">INDEX(Vendedores!$C$2:$C$101,MATCH(C1049,Vendedores!$A$2:$A$101,0))</f>
        <v>L06</v>
      </c>
      <c r="E1049" s="3" t="str">
        <f aca="false">INDEX(Lojas!$E$2:$E$11,MATCH(D1049,Lojas!$A$2:$A$11,0))</f>
        <v>Sul</v>
      </c>
      <c r="F1049" s="2" t="s">
        <v>267</v>
      </c>
      <c r="G1049" s="3" t="str">
        <f aca="false">INDEX(Produtos!$B$2:$B$11,MATCH(F1049,Produtos!$A$2:$A$11,0))&amp;" "&amp;INDEX(Produtos!$C$2:$C$11,MATCH(F1049,Produtos!$A$2:$A$11,0))</f>
        <v>Carregador de Celular Tipo C</v>
      </c>
      <c r="H1049" s="2" t="n">
        <v>1</v>
      </c>
      <c r="I1049" s="5" t="n">
        <f aca="false">INDEX(Produtos!$D$2:$D$11,MATCH(F1049,Produtos!$A$2:$A$11,0))</f>
        <v>44.9</v>
      </c>
      <c r="J1049" s="5" t="n">
        <f aca="false">H1049*I1049</f>
        <v>44.9</v>
      </c>
      <c r="K1049" s="5" t="n">
        <f aca="false">INDEX(Produtos!$E$2:$E$11,MATCH(F1049,Produtos!$A$2:$A$11,0))</f>
        <v>18</v>
      </c>
      <c r="L1049" s="5" t="n">
        <f aca="false">H1049*K1049</f>
        <v>18</v>
      </c>
    </row>
    <row r="1050" customFormat="false" ht="15" hidden="false" customHeight="false" outlineLevel="0" collapsed="false">
      <c r="A1050" s="2" t="s">
        <v>1332</v>
      </c>
      <c r="B1050" s="8" t="n">
        <v>46110</v>
      </c>
      <c r="C1050" s="2" t="s">
        <v>92</v>
      </c>
      <c r="D1050" s="3" t="str">
        <f aca="false">INDEX(Vendedores!$C$2:$C$101,MATCH(C1050,Vendedores!$A$2:$A$101,0))</f>
        <v>L03</v>
      </c>
      <c r="E1050" s="3" t="str">
        <f aca="false">INDEX(Lojas!$E$2:$E$11,MATCH(D1050,Lojas!$A$2:$A$11,0))</f>
        <v>Sudeste</v>
      </c>
      <c r="F1050" s="2" t="s">
        <v>267</v>
      </c>
      <c r="G1050" s="3" t="str">
        <f aca="false">INDEX(Produtos!$B$2:$B$11,MATCH(F1050,Produtos!$A$2:$A$11,0))&amp;" "&amp;INDEX(Produtos!$C$2:$C$11,MATCH(F1050,Produtos!$A$2:$A$11,0))</f>
        <v>Carregador de Celular Tipo C</v>
      </c>
      <c r="H1050" s="2" t="n">
        <v>1</v>
      </c>
      <c r="I1050" s="5" t="n">
        <f aca="false">INDEX(Produtos!$D$2:$D$11,MATCH(F1050,Produtos!$A$2:$A$11,0))</f>
        <v>44.9</v>
      </c>
      <c r="J1050" s="5" t="n">
        <f aca="false">H1050*I1050</f>
        <v>44.9</v>
      </c>
      <c r="K1050" s="5" t="n">
        <f aca="false">INDEX(Produtos!$E$2:$E$11,MATCH(F1050,Produtos!$A$2:$A$11,0))</f>
        <v>18</v>
      </c>
      <c r="L1050" s="5" t="n">
        <f aca="false">H1050*K1050</f>
        <v>18</v>
      </c>
    </row>
    <row r="1051" customFormat="false" ht="15" hidden="false" customHeight="false" outlineLevel="0" collapsed="false">
      <c r="A1051" s="2" t="s">
        <v>1333</v>
      </c>
      <c r="B1051" s="8" t="n">
        <v>46110</v>
      </c>
      <c r="C1051" s="2" t="s">
        <v>76</v>
      </c>
      <c r="D1051" s="3" t="str">
        <f aca="false">INDEX(Vendedores!$C$2:$C$101,MATCH(C1051,Vendedores!$A$2:$A$101,0))</f>
        <v>L02</v>
      </c>
      <c r="E1051" s="3" t="str">
        <f aca="false">INDEX(Lojas!$E$2:$E$11,MATCH(D1051,Lojas!$A$2:$A$11,0))</f>
        <v>Sudeste</v>
      </c>
      <c r="F1051" s="2" t="s">
        <v>257</v>
      </c>
      <c r="G1051" s="3" t="str">
        <f aca="false">INDEX(Produtos!$B$2:$B$11,MATCH(F1051,Produtos!$A$2:$A$11,0))&amp;" "&amp;INDEX(Produtos!$C$2:$C$11,MATCH(F1051,Produtos!$A$2:$A$11,0))</f>
        <v>Celular Samsung</v>
      </c>
      <c r="H1051" s="2" t="n">
        <v>1</v>
      </c>
      <c r="I1051" s="5" t="n">
        <f aca="false">INDEX(Produtos!$D$2:$D$11,MATCH(F1051,Produtos!$A$2:$A$11,0))</f>
        <v>2499</v>
      </c>
      <c r="J1051" s="5" t="n">
        <f aca="false">H1051*I1051</f>
        <v>2499</v>
      </c>
      <c r="K1051" s="5" t="n">
        <f aca="false">INDEX(Produtos!$E$2:$E$11,MATCH(F1051,Produtos!$A$2:$A$11,0))</f>
        <v>1800</v>
      </c>
      <c r="L1051" s="5" t="n">
        <f aca="false">H1051*K1051</f>
        <v>1800</v>
      </c>
    </row>
    <row r="1052" customFormat="false" ht="15" hidden="false" customHeight="false" outlineLevel="0" collapsed="false">
      <c r="A1052" s="2" t="s">
        <v>1334</v>
      </c>
      <c r="B1052" s="8" t="n">
        <v>46110</v>
      </c>
      <c r="C1052" s="2" t="s">
        <v>185</v>
      </c>
      <c r="D1052" s="3" t="str">
        <f aca="false">INDEX(Vendedores!$C$2:$C$101,MATCH(C1052,Vendedores!$A$2:$A$101,0))</f>
        <v>L08</v>
      </c>
      <c r="E1052" s="3" t="str">
        <f aca="false">INDEX(Lojas!$E$2:$E$11,MATCH(D1052,Lojas!$A$2:$A$11,0))</f>
        <v>Nordeste</v>
      </c>
      <c r="F1052" s="2" t="s">
        <v>267</v>
      </c>
      <c r="G1052" s="3" t="str">
        <f aca="false">INDEX(Produtos!$B$2:$B$11,MATCH(F1052,Produtos!$A$2:$A$11,0))&amp;" "&amp;INDEX(Produtos!$C$2:$C$11,MATCH(F1052,Produtos!$A$2:$A$11,0))</f>
        <v>Carregador de Celular Tipo C</v>
      </c>
      <c r="H1052" s="2" t="n">
        <v>1</v>
      </c>
      <c r="I1052" s="5" t="n">
        <f aca="false">INDEX(Produtos!$D$2:$D$11,MATCH(F1052,Produtos!$A$2:$A$11,0))</f>
        <v>44.9</v>
      </c>
      <c r="J1052" s="5" t="n">
        <f aca="false">H1052*I1052</f>
        <v>44.9</v>
      </c>
      <c r="K1052" s="5" t="n">
        <f aca="false">INDEX(Produtos!$E$2:$E$11,MATCH(F1052,Produtos!$A$2:$A$11,0))</f>
        <v>18</v>
      </c>
      <c r="L1052" s="5" t="n">
        <f aca="false">H1052*K1052</f>
        <v>18</v>
      </c>
    </row>
    <row r="1053" customFormat="false" ht="15" hidden="false" customHeight="false" outlineLevel="0" collapsed="false">
      <c r="A1053" s="2" t="s">
        <v>1335</v>
      </c>
      <c r="B1053" s="8" t="n">
        <v>46110</v>
      </c>
      <c r="C1053" s="2" t="s">
        <v>118</v>
      </c>
      <c r="D1053" s="3" t="str">
        <f aca="false">INDEX(Vendedores!$C$2:$C$101,MATCH(C1053,Vendedores!$A$2:$A$101,0))</f>
        <v>L04</v>
      </c>
      <c r="E1053" s="3" t="str">
        <f aca="false">INDEX(Lojas!$E$2:$E$11,MATCH(D1053,Lojas!$A$2:$A$11,0))</f>
        <v>Sudeste</v>
      </c>
      <c r="F1053" s="2" t="s">
        <v>257</v>
      </c>
      <c r="G1053" s="3" t="str">
        <f aca="false">INDEX(Produtos!$B$2:$B$11,MATCH(F1053,Produtos!$A$2:$A$11,0))&amp;" "&amp;INDEX(Produtos!$C$2:$C$11,MATCH(F1053,Produtos!$A$2:$A$11,0))</f>
        <v>Celular Samsung</v>
      </c>
      <c r="H1053" s="2" t="n">
        <v>1</v>
      </c>
      <c r="I1053" s="5" t="n">
        <f aca="false">INDEX(Produtos!$D$2:$D$11,MATCH(F1053,Produtos!$A$2:$A$11,0))</f>
        <v>2499</v>
      </c>
      <c r="J1053" s="5" t="n">
        <f aca="false">H1053*I1053</f>
        <v>2499</v>
      </c>
      <c r="K1053" s="5" t="n">
        <f aca="false">INDEX(Produtos!$E$2:$E$11,MATCH(F1053,Produtos!$A$2:$A$11,0))</f>
        <v>1800</v>
      </c>
      <c r="L1053" s="5" t="n">
        <f aca="false">H1053*K1053</f>
        <v>1800</v>
      </c>
    </row>
    <row r="1054" customFormat="false" ht="15" hidden="false" customHeight="false" outlineLevel="0" collapsed="false">
      <c r="A1054" s="2" t="s">
        <v>1336</v>
      </c>
      <c r="B1054" s="8" t="n">
        <v>46110</v>
      </c>
      <c r="C1054" s="2" t="s">
        <v>138</v>
      </c>
      <c r="D1054" s="3" t="str">
        <f aca="false">INDEX(Vendedores!$C$2:$C$101,MATCH(C1054,Vendedores!$A$2:$A$101,0))</f>
        <v>L05</v>
      </c>
      <c r="E1054" s="3" t="str">
        <f aca="false">INDEX(Lojas!$E$2:$E$11,MATCH(D1054,Lojas!$A$2:$A$11,0))</f>
        <v>Sul</v>
      </c>
      <c r="F1054" s="2" t="s">
        <v>270</v>
      </c>
      <c r="G1054" s="3" t="str">
        <f aca="false">INDEX(Produtos!$B$2:$B$11,MATCH(F1054,Produtos!$A$2:$A$11,0))&amp;" "&amp;INDEX(Produtos!$C$2:$C$11,MATCH(F1054,Produtos!$A$2:$A$11,0))</f>
        <v>Controle de Videogame Xbox</v>
      </c>
      <c r="H1054" s="2" t="n">
        <v>1</v>
      </c>
      <c r="I1054" s="5" t="n">
        <f aca="false">INDEX(Produtos!$D$2:$D$11,MATCH(F1054,Produtos!$A$2:$A$11,0))</f>
        <v>349.9</v>
      </c>
      <c r="J1054" s="5" t="n">
        <f aca="false">H1054*I1054</f>
        <v>349.9</v>
      </c>
      <c r="K1054" s="5" t="n">
        <f aca="false">INDEX(Produtos!$E$2:$E$11,MATCH(F1054,Produtos!$A$2:$A$11,0))</f>
        <v>215</v>
      </c>
      <c r="L1054" s="5" t="n">
        <f aca="false">H1054*K1054</f>
        <v>215</v>
      </c>
    </row>
    <row r="1055" customFormat="false" ht="15" hidden="false" customHeight="false" outlineLevel="0" collapsed="false">
      <c r="A1055" s="2" t="s">
        <v>1337</v>
      </c>
      <c r="B1055" s="8" t="n">
        <v>46110</v>
      </c>
      <c r="C1055" s="2" t="s">
        <v>189</v>
      </c>
      <c r="D1055" s="3" t="str">
        <f aca="false">INDEX(Vendedores!$C$2:$C$101,MATCH(C1055,Vendedores!$A$2:$A$101,0))</f>
        <v>L08</v>
      </c>
      <c r="E1055" s="3" t="str">
        <f aca="false">INDEX(Lojas!$E$2:$E$11,MATCH(D1055,Lojas!$A$2:$A$11,0))</f>
        <v>Nordeste</v>
      </c>
      <c r="F1055" s="2" t="s">
        <v>262</v>
      </c>
      <c r="G1055" s="3" t="str">
        <f aca="false">INDEX(Produtos!$B$2:$B$11,MATCH(F1055,Produtos!$A$2:$A$11,0))&amp;" "&amp;INDEX(Produtos!$C$2:$C$11,MATCH(F1055,Produtos!$A$2:$A$11,0))</f>
        <v>Fone de Ouvido De Celular</v>
      </c>
      <c r="H1055" s="2" t="n">
        <v>1</v>
      </c>
      <c r="I1055" s="5" t="n">
        <f aca="false">INDEX(Produtos!$D$2:$D$11,MATCH(F1055,Produtos!$A$2:$A$11,0))</f>
        <v>59.9</v>
      </c>
      <c r="J1055" s="5" t="n">
        <f aca="false">H1055*I1055</f>
        <v>59.9</v>
      </c>
      <c r="K1055" s="5" t="n">
        <f aca="false">INDEX(Produtos!$E$2:$E$11,MATCH(F1055,Produtos!$A$2:$A$11,0))</f>
        <v>28</v>
      </c>
      <c r="L1055" s="5" t="n">
        <f aca="false">H1055*K1055</f>
        <v>28</v>
      </c>
    </row>
    <row r="1056" customFormat="false" ht="15" hidden="false" customHeight="false" outlineLevel="0" collapsed="false">
      <c r="A1056" s="2" t="s">
        <v>1338</v>
      </c>
      <c r="B1056" s="8" t="n">
        <v>46110</v>
      </c>
      <c r="C1056" s="2" t="s">
        <v>174</v>
      </c>
      <c r="D1056" s="3" t="str">
        <f aca="false">INDEX(Vendedores!$C$2:$C$101,MATCH(C1056,Vendedores!$A$2:$A$101,0))</f>
        <v>L07</v>
      </c>
      <c r="E1056" s="3" t="str">
        <f aca="false">INDEX(Lojas!$E$2:$E$11,MATCH(D1056,Lojas!$A$2:$A$11,0))</f>
        <v>Sul</v>
      </c>
      <c r="F1056" s="2" t="s">
        <v>267</v>
      </c>
      <c r="G1056" s="3" t="str">
        <f aca="false">INDEX(Produtos!$B$2:$B$11,MATCH(F1056,Produtos!$A$2:$A$11,0))&amp;" "&amp;INDEX(Produtos!$C$2:$C$11,MATCH(F1056,Produtos!$A$2:$A$11,0))</f>
        <v>Carregador de Celular Tipo C</v>
      </c>
      <c r="H1056" s="2" t="n">
        <v>1</v>
      </c>
      <c r="I1056" s="5" t="n">
        <f aca="false">INDEX(Produtos!$D$2:$D$11,MATCH(F1056,Produtos!$A$2:$A$11,0))</f>
        <v>44.9</v>
      </c>
      <c r="J1056" s="5" t="n">
        <f aca="false">H1056*I1056</f>
        <v>44.9</v>
      </c>
      <c r="K1056" s="5" t="n">
        <f aca="false">INDEX(Produtos!$E$2:$E$11,MATCH(F1056,Produtos!$A$2:$A$11,0))</f>
        <v>18</v>
      </c>
      <c r="L1056" s="5" t="n">
        <f aca="false">H1056*K1056</f>
        <v>18</v>
      </c>
    </row>
    <row r="1057" customFormat="false" ht="15" hidden="false" customHeight="false" outlineLevel="0" collapsed="false">
      <c r="A1057" s="2" t="s">
        <v>1339</v>
      </c>
      <c r="B1057" s="8" t="n">
        <v>46110</v>
      </c>
      <c r="C1057" s="2" t="s">
        <v>133</v>
      </c>
      <c r="D1057" s="3" t="str">
        <f aca="false">INDEX(Vendedores!$C$2:$C$101,MATCH(C1057,Vendedores!$A$2:$A$101,0))</f>
        <v>L05</v>
      </c>
      <c r="E1057" s="3" t="str">
        <f aca="false">INDEX(Lojas!$E$2:$E$11,MATCH(D1057,Lojas!$A$2:$A$11,0))</f>
        <v>Sul</v>
      </c>
      <c r="F1057" s="2" t="s">
        <v>260</v>
      </c>
      <c r="G1057" s="3" t="str">
        <f aca="false">INDEX(Produtos!$B$2:$B$11,MATCH(F1057,Produtos!$A$2:$A$11,0))&amp;" "&amp;INDEX(Produtos!$C$2:$C$11,MATCH(F1057,Produtos!$A$2:$A$11,0))</f>
        <v>Celular Motorola</v>
      </c>
      <c r="H1057" s="2" t="n">
        <v>1</v>
      </c>
      <c r="I1057" s="5" t="n">
        <f aca="false">INDEX(Produtos!$D$2:$D$11,MATCH(F1057,Produtos!$A$2:$A$11,0))</f>
        <v>1799</v>
      </c>
      <c r="J1057" s="5" t="n">
        <f aca="false">H1057*I1057</f>
        <v>1799</v>
      </c>
      <c r="K1057" s="5" t="n">
        <f aca="false">INDEX(Produtos!$E$2:$E$11,MATCH(F1057,Produtos!$A$2:$A$11,0))</f>
        <v>1250</v>
      </c>
      <c r="L1057" s="5" t="n">
        <f aca="false">H1057*K1057</f>
        <v>1250</v>
      </c>
    </row>
    <row r="1058" customFormat="false" ht="15" hidden="false" customHeight="false" outlineLevel="0" collapsed="false">
      <c r="A1058" s="2" t="s">
        <v>1340</v>
      </c>
      <c r="B1058" s="8" t="n">
        <v>46110</v>
      </c>
      <c r="C1058" s="2" t="s">
        <v>76</v>
      </c>
      <c r="D1058" s="3" t="str">
        <f aca="false">INDEX(Vendedores!$C$2:$C$101,MATCH(C1058,Vendedores!$A$2:$A$101,0))</f>
        <v>L02</v>
      </c>
      <c r="E1058" s="3" t="str">
        <f aca="false">INDEX(Lojas!$E$2:$E$11,MATCH(D1058,Lojas!$A$2:$A$11,0))</f>
        <v>Sudeste</v>
      </c>
      <c r="F1058" s="2" t="s">
        <v>267</v>
      </c>
      <c r="G1058" s="3" t="str">
        <f aca="false">INDEX(Produtos!$B$2:$B$11,MATCH(F1058,Produtos!$A$2:$A$11,0))&amp;" "&amp;INDEX(Produtos!$C$2:$C$11,MATCH(F1058,Produtos!$A$2:$A$11,0))</f>
        <v>Carregador de Celular Tipo C</v>
      </c>
      <c r="H1058" s="2" t="n">
        <v>1</v>
      </c>
      <c r="I1058" s="5" t="n">
        <f aca="false">INDEX(Produtos!$D$2:$D$11,MATCH(F1058,Produtos!$A$2:$A$11,0))</f>
        <v>44.9</v>
      </c>
      <c r="J1058" s="5" t="n">
        <f aca="false">H1058*I1058</f>
        <v>44.9</v>
      </c>
      <c r="K1058" s="5" t="n">
        <f aca="false">INDEX(Produtos!$E$2:$E$11,MATCH(F1058,Produtos!$A$2:$A$11,0))</f>
        <v>18</v>
      </c>
      <c r="L1058" s="5" t="n">
        <f aca="false">H1058*K1058</f>
        <v>18</v>
      </c>
    </row>
    <row r="1059" customFormat="false" ht="15" hidden="false" customHeight="false" outlineLevel="0" collapsed="false">
      <c r="A1059" s="2" t="s">
        <v>1341</v>
      </c>
      <c r="B1059" s="8" t="n">
        <v>46110</v>
      </c>
      <c r="C1059" s="2" t="s">
        <v>221</v>
      </c>
      <c r="D1059" s="3" t="str">
        <f aca="false">INDEX(Vendedores!$C$2:$C$101,MATCH(C1059,Vendedores!$A$2:$A$101,0))</f>
        <v>L09</v>
      </c>
      <c r="E1059" s="3" t="str">
        <f aca="false">INDEX(Lojas!$E$2:$E$11,MATCH(D1059,Lojas!$A$2:$A$11,0))</f>
        <v>Nordeste</v>
      </c>
      <c r="F1059" s="2" t="s">
        <v>270</v>
      </c>
      <c r="G1059" s="3" t="str">
        <f aca="false">INDEX(Produtos!$B$2:$B$11,MATCH(F1059,Produtos!$A$2:$A$11,0))&amp;" "&amp;INDEX(Produtos!$C$2:$C$11,MATCH(F1059,Produtos!$A$2:$A$11,0))</f>
        <v>Controle de Videogame Xbox</v>
      </c>
      <c r="H1059" s="2" t="n">
        <v>1</v>
      </c>
      <c r="I1059" s="5" t="n">
        <f aca="false">INDEX(Produtos!$D$2:$D$11,MATCH(F1059,Produtos!$A$2:$A$11,0))</f>
        <v>349.9</v>
      </c>
      <c r="J1059" s="5" t="n">
        <f aca="false">H1059*I1059</f>
        <v>349.9</v>
      </c>
      <c r="K1059" s="5" t="n">
        <f aca="false">INDEX(Produtos!$E$2:$E$11,MATCH(F1059,Produtos!$A$2:$A$11,0))</f>
        <v>215</v>
      </c>
      <c r="L1059" s="5" t="n">
        <f aca="false">H1059*K1059</f>
        <v>215</v>
      </c>
    </row>
    <row r="1060" customFormat="false" ht="15" hidden="false" customHeight="false" outlineLevel="0" collapsed="false">
      <c r="A1060" s="2" t="s">
        <v>1342</v>
      </c>
      <c r="B1060" s="8" t="n">
        <v>46111</v>
      </c>
      <c r="C1060" s="2" t="s">
        <v>76</v>
      </c>
      <c r="D1060" s="3" t="str">
        <f aca="false">INDEX(Vendedores!$C$2:$C$101,MATCH(C1060,Vendedores!$A$2:$A$101,0))</f>
        <v>L02</v>
      </c>
      <c r="E1060" s="3" t="str">
        <f aca="false">INDEX(Lojas!$E$2:$E$11,MATCH(D1060,Lojas!$A$2:$A$11,0))</f>
        <v>Sudeste</v>
      </c>
      <c r="F1060" s="2" t="s">
        <v>273</v>
      </c>
      <c r="G1060" s="3" t="str">
        <f aca="false">INDEX(Produtos!$B$2:$B$11,MATCH(F1060,Produtos!$A$2:$A$11,0))&amp;" "&amp;INDEX(Produtos!$C$2:$C$11,MATCH(F1060,Produtos!$A$2:$A$11,0))</f>
        <v>Controle de Videogame PS4</v>
      </c>
      <c r="H1060" s="2" t="n">
        <v>2</v>
      </c>
      <c r="I1060" s="5" t="n">
        <f aca="false">INDEX(Produtos!$D$2:$D$11,MATCH(F1060,Produtos!$A$2:$A$11,0))</f>
        <v>299.9</v>
      </c>
      <c r="J1060" s="5" t="n">
        <f aca="false">H1060*I1060</f>
        <v>599.8</v>
      </c>
      <c r="K1060" s="5" t="n">
        <f aca="false">INDEX(Produtos!$E$2:$E$11,MATCH(F1060,Produtos!$A$2:$A$11,0))</f>
        <v>175</v>
      </c>
      <c r="L1060" s="5" t="n">
        <f aca="false">H1060*K1060</f>
        <v>350</v>
      </c>
    </row>
    <row r="1061" customFormat="false" ht="15" hidden="false" customHeight="false" outlineLevel="0" collapsed="false">
      <c r="A1061" s="2" t="s">
        <v>1343</v>
      </c>
      <c r="B1061" s="8" t="n">
        <v>46111</v>
      </c>
      <c r="C1061" s="2" t="s">
        <v>229</v>
      </c>
      <c r="D1061" s="3" t="str">
        <f aca="false">INDEX(Vendedores!$C$2:$C$101,MATCH(C1061,Vendedores!$A$2:$A$101,0))</f>
        <v>L10</v>
      </c>
      <c r="E1061" s="3" t="str">
        <f aca="false">INDEX(Lojas!$E$2:$E$11,MATCH(D1061,Lojas!$A$2:$A$11,0))</f>
        <v>Nordeste</v>
      </c>
      <c r="F1061" s="2" t="s">
        <v>270</v>
      </c>
      <c r="G1061" s="3" t="str">
        <f aca="false">INDEX(Produtos!$B$2:$B$11,MATCH(F1061,Produtos!$A$2:$A$11,0))&amp;" "&amp;INDEX(Produtos!$C$2:$C$11,MATCH(F1061,Produtos!$A$2:$A$11,0))</f>
        <v>Controle de Videogame Xbox</v>
      </c>
      <c r="H1061" s="2" t="n">
        <v>3</v>
      </c>
      <c r="I1061" s="5" t="n">
        <f aca="false">INDEX(Produtos!$D$2:$D$11,MATCH(F1061,Produtos!$A$2:$A$11,0))</f>
        <v>349.9</v>
      </c>
      <c r="J1061" s="5" t="n">
        <f aca="false">H1061*I1061</f>
        <v>1049.7</v>
      </c>
      <c r="K1061" s="5" t="n">
        <f aca="false">INDEX(Produtos!$E$2:$E$11,MATCH(F1061,Produtos!$A$2:$A$11,0))</f>
        <v>215</v>
      </c>
      <c r="L1061" s="5" t="n">
        <f aca="false">H1061*K1061</f>
        <v>645</v>
      </c>
    </row>
    <row r="1062" customFormat="false" ht="15" hidden="false" customHeight="false" outlineLevel="0" collapsed="false">
      <c r="A1062" s="2" t="s">
        <v>1344</v>
      </c>
      <c r="B1062" s="8" t="n">
        <v>46111</v>
      </c>
      <c r="C1062" s="2" t="s">
        <v>90</v>
      </c>
      <c r="D1062" s="3" t="str">
        <f aca="false">INDEX(Vendedores!$C$2:$C$101,MATCH(C1062,Vendedores!$A$2:$A$101,0))</f>
        <v>L03</v>
      </c>
      <c r="E1062" s="3" t="str">
        <f aca="false">INDEX(Lojas!$E$2:$E$11,MATCH(D1062,Lojas!$A$2:$A$11,0))</f>
        <v>Sudeste</v>
      </c>
      <c r="F1062" s="2" t="s">
        <v>257</v>
      </c>
      <c r="G1062" s="3" t="str">
        <f aca="false">INDEX(Produtos!$B$2:$B$11,MATCH(F1062,Produtos!$A$2:$A$11,0))&amp;" "&amp;INDEX(Produtos!$C$2:$C$11,MATCH(F1062,Produtos!$A$2:$A$11,0))</f>
        <v>Celular Samsung</v>
      </c>
      <c r="H1062" s="2" t="n">
        <v>3</v>
      </c>
      <c r="I1062" s="5" t="n">
        <f aca="false">INDEX(Produtos!$D$2:$D$11,MATCH(F1062,Produtos!$A$2:$A$11,0))</f>
        <v>2499</v>
      </c>
      <c r="J1062" s="5" t="n">
        <f aca="false">H1062*I1062</f>
        <v>7497</v>
      </c>
      <c r="K1062" s="5" t="n">
        <f aca="false">INDEX(Produtos!$E$2:$E$11,MATCH(F1062,Produtos!$A$2:$A$11,0))</f>
        <v>1800</v>
      </c>
      <c r="L1062" s="5" t="n">
        <f aca="false">H1062*K1062</f>
        <v>5400</v>
      </c>
    </row>
    <row r="1063" customFormat="false" ht="15" hidden="false" customHeight="false" outlineLevel="0" collapsed="false">
      <c r="A1063" s="2" t="s">
        <v>1345</v>
      </c>
      <c r="B1063" s="8" t="n">
        <v>46111</v>
      </c>
      <c r="C1063" s="2" t="s">
        <v>207</v>
      </c>
      <c r="D1063" s="3" t="str">
        <f aca="false">INDEX(Vendedores!$C$2:$C$101,MATCH(C1063,Vendedores!$A$2:$A$101,0))</f>
        <v>L09</v>
      </c>
      <c r="E1063" s="3" t="str">
        <f aca="false">INDEX(Lojas!$E$2:$E$11,MATCH(D1063,Lojas!$A$2:$A$11,0))</f>
        <v>Nordeste</v>
      </c>
      <c r="F1063" s="2" t="s">
        <v>267</v>
      </c>
      <c r="G1063" s="3" t="str">
        <f aca="false">INDEX(Produtos!$B$2:$B$11,MATCH(F1063,Produtos!$A$2:$A$11,0))&amp;" "&amp;INDEX(Produtos!$C$2:$C$11,MATCH(F1063,Produtos!$A$2:$A$11,0))</f>
        <v>Carregador de Celular Tipo C</v>
      </c>
      <c r="H1063" s="2" t="n">
        <v>3</v>
      </c>
      <c r="I1063" s="5" t="n">
        <f aca="false">INDEX(Produtos!$D$2:$D$11,MATCH(F1063,Produtos!$A$2:$A$11,0))</f>
        <v>44.9</v>
      </c>
      <c r="J1063" s="5" t="n">
        <f aca="false">H1063*I1063</f>
        <v>134.7</v>
      </c>
      <c r="K1063" s="5" t="n">
        <f aca="false">INDEX(Produtos!$E$2:$E$11,MATCH(F1063,Produtos!$A$2:$A$11,0))</f>
        <v>18</v>
      </c>
      <c r="L1063" s="5" t="n">
        <f aca="false">H1063*K1063</f>
        <v>54</v>
      </c>
    </row>
    <row r="1064" customFormat="false" ht="15" hidden="false" customHeight="false" outlineLevel="0" collapsed="false">
      <c r="A1064" s="2" t="s">
        <v>1346</v>
      </c>
      <c r="B1064" s="8" t="n">
        <v>46111</v>
      </c>
      <c r="C1064" s="2" t="s">
        <v>174</v>
      </c>
      <c r="D1064" s="3" t="str">
        <f aca="false">INDEX(Vendedores!$C$2:$C$101,MATCH(C1064,Vendedores!$A$2:$A$101,0))</f>
        <v>L07</v>
      </c>
      <c r="E1064" s="3" t="str">
        <f aca="false">INDEX(Lojas!$E$2:$E$11,MATCH(D1064,Lojas!$A$2:$A$11,0))</f>
        <v>Sul</v>
      </c>
      <c r="F1064" s="2" t="s">
        <v>265</v>
      </c>
      <c r="G1064" s="3" t="str">
        <f aca="false">INDEX(Produtos!$B$2:$B$11,MATCH(F1064,Produtos!$A$2:$A$11,0))&amp;" "&amp;INDEX(Produtos!$C$2:$C$11,MATCH(F1064,Produtos!$A$2:$A$11,0))</f>
        <v>Fone de Ouvido Headset</v>
      </c>
      <c r="H1064" s="2" t="n">
        <v>1</v>
      </c>
      <c r="I1064" s="5" t="n">
        <f aca="false">INDEX(Produtos!$D$2:$D$11,MATCH(F1064,Produtos!$A$2:$A$11,0))</f>
        <v>249.9</v>
      </c>
      <c r="J1064" s="5" t="n">
        <f aca="false">H1064*I1064</f>
        <v>249.9</v>
      </c>
      <c r="K1064" s="5" t="n">
        <f aca="false">INDEX(Produtos!$E$2:$E$11,MATCH(F1064,Produtos!$A$2:$A$11,0))</f>
        <v>145</v>
      </c>
      <c r="L1064" s="5" t="n">
        <f aca="false">H1064*K1064</f>
        <v>145</v>
      </c>
    </row>
    <row r="1065" customFormat="false" ht="15" hidden="false" customHeight="false" outlineLevel="0" collapsed="false">
      <c r="A1065" s="2" t="s">
        <v>1347</v>
      </c>
      <c r="B1065" s="8" t="n">
        <v>46111</v>
      </c>
      <c r="C1065" s="2" t="s">
        <v>233</v>
      </c>
      <c r="D1065" s="3" t="str">
        <f aca="false">INDEX(Vendedores!$C$2:$C$101,MATCH(C1065,Vendedores!$A$2:$A$101,0))</f>
        <v>L10</v>
      </c>
      <c r="E1065" s="3" t="str">
        <f aca="false">INDEX(Lojas!$E$2:$E$11,MATCH(D1065,Lojas!$A$2:$A$11,0))</f>
        <v>Nordeste</v>
      </c>
      <c r="F1065" s="2" t="s">
        <v>267</v>
      </c>
      <c r="G1065" s="3" t="str">
        <f aca="false">INDEX(Produtos!$B$2:$B$11,MATCH(F1065,Produtos!$A$2:$A$11,0))&amp;" "&amp;INDEX(Produtos!$C$2:$C$11,MATCH(F1065,Produtos!$A$2:$A$11,0))</f>
        <v>Carregador de Celular Tipo C</v>
      </c>
      <c r="H1065" s="2" t="n">
        <v>2</v>
      </c>
      <c r="I1065" s="5" t="n">
        <f aca="false">INDEX(Produtos!$D$2:$D$11,MATCH(F1065,Produtos!$A$2:$A$11,0))</f>
        <v>44.9</v>
      </c>
      <c r="J1065" s="5" t="n">
        <f aca="false">H1065*I1065</f>
        <v>89.8</v>
      </c>
      <c r="K1065" s="5" t="n">
        <f aca="false">INDEX(Produtos!$E$2:$E$11,MATCH(F1065,Produtos!$A$2:$A$11,0))</f>
        <v>18</v>
      </c>
      <c r="L1065" s="5" t="n">
        <f aca="false">H1065*K1065</f>
        <v>36</v>
      </c>
    </row>
    <row r="1066" customFormat="false" ht="15" hidden="false" customHeight="false" outlineLevel="0" collapsed="false">
      <c r="A1066" s="2" t="s">
        <v>1348</v>
      </c>
      <c r="B1066" s="8" t="n">
        <v>46111</v>
      </c>
      <c r="C1066" s="2" t="s">
        <v>106</v>
      </c>
      <c r="D1066" s="3" t="str">
        <f aca="false">INDEX(Vendedores!$C$2:$C$101,MATCH(C1066,Vendedores!$A$2:$A$101,0))</f>
        <v>L03</v>
      </c>
      <c r="E1066" s="3" t="str">
        <f aca="false">INDEX(Lojas!$E$2:$E$11,MATCH(D1066,Lojas!$A$2:$A$11,0))</f>
        <v>Sudeste</v>
      </c>
      <c r="F1066" s="2" t="s">
        <v>255</v>
      </c>
      <c r="G1066" s="3" t="str">
        <f aca="false">INDEX(Produtos!$B$2:$B$11,MATCH(F1066,Produtos!$A$2:$A$11,0))&amp;" "&amp;INDEX(Produtos!$C$2:$C$11,MATCH(F1066,Produtos!$A$2:$A$11,0))</f>
        <v>Notebook Positivo</v>
      </c>
      <c r="H1066" s="2" t="n">
        <v>3</v>
      </c>
      <c r="I1066" s="5" t="n">
        <f aca="false">INDEX(Produtos!$D$2:$D$11,MATCH(F1066,Produtos!$A$2:$A$11,0))</f>
        <v>2199</v>
      </c>
      <c r="J1066" s="5" t="n">
        <f aca="false">H1066*I1066</f>
        <v>6597</v>
      </c>
      <c r="K1066" s="5" t="n">
        <f aca="false">INDEX(Produtos!$E$2:$E$11,MATCH(F1066,Produtos!$A$2:$A$11,0))</f>
        <v>1550</v>
      </c>
      <c r="L1066" s="5" t="n">
        <f aca="false">H1066*K1066</f>
        <v>4650</v>
      </c>
    </row>
    <row r="1067" customFormat="false" ht="15" hidden="false" customHeight="false" outlineLevel="0" collapsed="false">
      <c r="A1067" s="2" t="s">
        <v>1349</v>
      </c>
      <c r="B1067" s="8" t="n">
        <v>46111</v>
      </c>
      <c r="C1067" s="2" t="s">
        <v>168</v>
      </c>
      <c r="D1067" s="3" t="str">
        <f aca="false">INDEX(Vendedores!$C$2:$C$101,MATCH(C1067,Vendedores!$A$2:$A$101,0))</f>
        <v>L07</v>
      </c>
      <c r="E1067" s="3" t="str">
        <f aca="false">INDEX(Lojas!$E$2:$E$11,MATCH(D1067,Lojas!$A$2:$A$11,0))</f>
        <v>Sul</v>
      </c>
      <c r="F1067" s="2" t="s">
        <v>275</v>
      </c>
      <c r="G1067" s="3" t="str">
        <f aca="false">INDEX(Produtos!$B$2:$B$11,MATCH(F1067,Produtos!$A$2:$A$11,0))&amp;" "&amp;INDEX(Produtos!$C$2:$C$11,MATCH(F1067,Produtos!$A$2:$A$11,0))</f>
        <v>Controle de Videogame PS5</v>
      </c>
      <c r="H1067" s="2" t="n">
        <v>1</v>
      </c>
      <c r="I1067" s="5" t="n">
        <f aca="false">INDEX(Produtos!$D$2:$D$11,MATCH(F1067,Produtos!$A$2:$A$11,0))</f>
        <v>379.9</v>
      </c>
      <c r="J1067" s="5" t="n">
        <f aca="false">H1067*I1067</f>
        <v>379.9</v>
      </c>
      <c r="K1067" s="5" t="n">
        <f aca="false">INDEX(Produtos!$E$2:$E$11,MATCH(F1067,Produtos!$A$2:$A$11,0))</f>
        <v>235</v>
      </c>
      <c r="L1067" s="5" t="n">
        <f aca="false">H1067*K1067</f>
        <v>235</v>
      </c>
    </row>
    <row r="1068" customFormat="false" ht="15" hidden="false" customHeight="false" outlineLevel="0" collapsed="false">
      <c r="A1068" s="2" t="s">
        <v>1350</v>
      </c>
      <c r="B1068" s="8" t="n">
        <v>46111</v>
      </c>
      <c r="C1068" s="2" t="s">
        <v>54</v>
      </c>
      <c r="D1068" s="3" t="str">
        <f aca="false">INDEX(Vendedores!$C$2:$C$101,MATCH(C1068,Vendedores!$A$2:$A$101,0))</f>
        <v>L01</v>
      </c>
      <c r="E1068" s="3" t="str">
        <f aca="false">INDEX(Lojas!$E$2:$E$11,MATCH(D1068,Lojas!$A$2:$A$11,0))</f>
        <v>Sudeste</v>
      </c>
      <c r="F1068" s="2" t="s">
        <v>252</v>
      </c>
      <c r="G1068" s="3" t="str">
        <f aca="false">INDEX(Produtos!$B$2:$B$11,MATCH(F1068,Produtos!$A$2:$A$11,0))&amp;" "&amp;INDEX(Produtos!$C$2:$C$11,MATCH(F1068,Produtos!$A$2:$A$11,0))</f>
        <v>Notebook Lenovo</v>
      </c>
      <c r="H1068" s="2" t="n">
        <v>1</v>
      </c>
      <c r="I1068" s="5" t="n">
        <f aca="false">INDEX(Produtos!$D$2:$D$11,MATCH(F1068,Produtos!$A$2:$A$11,0))</f>
        <v>3199</v>
      </c>
      <c r="J1068" s="5" t="n">
        <f aca="false">H1068*I1068</f>
        <v>3199</v>
      </c>
      <c r="K1068" s="5" t="n">
        <f aca="false">INDEX(Produtos!$E$2:$E$11,MATCH(F1068,Produtos!$A$2:$A$11,0))</f>
        <v>2350</v>
      </c>
      <c r="L1068" s="5" t="n">
        <f aca="false">H1068*K1068</f>
        <v>2350</v>
      </c>
    </row>
    <row r="1069" customFormat="false" ht="15" hidden="false" customHeight="false" outlineLevel="0" collapsed="false">
      <c r="A1069" s="2" t="s">
        <v>1351</v>
      </c>
      <c r="B1069" s="8" t="n">
        <v>46111</v>
      </c>
      <c r="C1069" s="2" t="s">
        <v>142</v>
      </c>
      <c r="D1069" s="3" t="str">
        <f aca="false">INDEX(Vendedores!$C$2:$C$101,MATCH(C1069,Vendedores!$A$2:$A$101,0))</f>
        <v>L05</v>
      </c>
      <c r="E1069" s="3" t="str">
        <f aca="false">INDEX(Lojas!$E$2:$E$11,MATCH(D1069,Lojas!$A$2:$A$11,0))</f>
        <v>Sul</v>
      </c>
      <c r="F1069" s="2" t="s">
        <v>262</v>
      </c>
      <c r="G1069" s="3" t="str">
        <f aca="false">INDEX(Produtos!$B$2:$B$11,MATCH(F1069,Produtos!$A$2:$A$11,0))&amp;" "&amp;INDEX(Produtos!$C$2:$C$11,MATCH(F1069,Produtos!$A$2:$A$11,0))</f>
        <v>Fone de Ouvido De Celular</v>
      </c>
      <c r="H1069" s="2" t="n">
        <v>3</v>
      </c>
      <c r="I1069" s="5" t="n">
        <f aca="false">INDEX(Produtos!$D$2:$D$11,MATCH(F1069,Produtos!$A$2:$A$11,0))</f>
        <v>59.9</v>
      </c>
      <c r="J1069" s="5" t="n">
        <f aca="false">H1069*I1069</f>
        <v>179.7</v>
      </c>
      <c r="K1069" s="5" t="n">
        <f aca="false">INDEX(Produtos!$E$2:$E$11,MATCH(F1069,Produtos!$A$2:$A$11,0))</f>
        <v>28</v>
      </c>
      <c r="L1069" s="5" t="n">
        <f aca="false">H1069*K1069</f>
        <v>84</v>
      </c>
    </row>
    <row r="1070" customFormat="false" ht="15" hidden="false" customHeight="false" outlineLevel="0" collapsed="false">
      <c r="A1070" s="2" t="s">
        <v>1352</v>
      </c>
      <c r="B1070" s="8" t="n">
        <v>46111</v>
      </c>
      <c r="C1070" s="2" t="s">
        <v>158</v>
      </c>
      <c r="D1070" s="3" t="str">
        <f aca="false">INDEX(Vendedores!$C$2:$C$101,MATCH(C1070,Vendedores!$A$2:$A$101,0))</f>
        <v>L06</v>
      </c>
      <c r="E1070" s="3" t="str">
        <f aca="false">INDEX(Lojas!$E$2:$E$11,MATCH(D1070,Lojas!$A$2:$A$11,0))</f>
        <v>Sul</v>
      </c>
      <c r="F1070" s="2" t="s">
        <v>262</v>
      </c>
      <c r="G1070" s="3" t="str">
        <f aca="false">INDEX(Produtos!$B$2:$B$11,MATCH(F1070,Produtos!$A$2:$A$11,0))&amp;" "&amp;INDEX(Produtos!$C$2:$C$11,MATCH(F1070,Produtos!$A$2:$A$11,0))</f>
        <v>Fone de Ouvido De Celular</v>
      </c>
      <c r="H1070" s="2" t="n">
        <v>1</v>
      </c>
      <c r="I1070" s="5" t="n">
        <f aca="false">INDEX(Produtos!$D$2:$D$11,MATCH(F1070,Produtos!$A$2:$A$11,0))</f>
        <v>59.9</v>
      </c>
      <c r="J1070" s="5" t="n">
        <f aca="false">H1070*I1070</f>
        <v>59.9</v>
      </c>
      <c r="K1070" s="5" t="n">
        <f aca="false">INDEX(Produtos!$E$2:$E$11,MATCH(F1070,Produtos!$A$2:$A$11,0))</f>
        <v>28</v>
      </c>
      <c r="L1070" s="5" t="n">
        <f aca="false">H1070*K1070</f>
        <v>28</v>
      </c>
    </row>
    <row r="1071" customFormat="false" ht="15" hidden="false" customHeight="false" outlineLevel="0" collapsed="false">
      <c r="A1071" s="2" t="s">
        <v>1353</v>
      </c>
      <c r="B1071" s="8" t="n">
        <v>46111</v>
      </c>
      <c r="C1071" s="2" t="s">
        <v>227</v>
      </c>
      <c r="D1071" s="3" t="str">
        <f aca="false">INDEX(Vendedores!$C$2:$C$101,MATCH(C1071,Vendedores!$A$2:$A$101,0))</f>
        <v>L10</v>
      </c>
      <c r="E1071" s="3" t="str">
        <f aca="false">INDEX(Lojas!$E$2:$E$11,MATCH(D1071,Lojas!$A$2:$A$11,0))</f>
        <v>Nordeste</v>
      </c>
      <c r="F1071" s="2" t="s">
        <v>257</v>
      </c>
      <c r="G1071" s="3" t="str">
        <f aca="false">INDEX(Produtos!$B$2:$B$11,MATCH(F1071,Produtos!$A$2:$A$11,0))&amp;" "&amp;INDEX(Produtos!$C$2:$C$11,MATCH(F1071,Produtos!$A$2:$A$11,0))</f>
        <v>Celular Samsung</v>
      </c>
      <c r="H1071" s="2" t="n">
        <v>1</v>
      </c>
      <c r="I1071" s="5" t="n">
        <f aca="false">INDEX(Produtos!$D$2:$D$11,MATCH(F1071,Produtos!$A$2:$A$11,0))</f>
        <v>2499</v>
      </c>
      <c r="J1071" s="5" t="n">
        <f aca="false">H1071*I1071</f>
        <v>2499</v>
      </c>
      <c r="K1071" s="5" t="n">
        <f aca="false">INDEX(Produtos!$E$2:$E$11,MATCH(F1071,Produtos!$A$2:$A$11,0))</f>
        <v>1800</v>
      </c>
      <c r="L1071" s="5" t="n">
        <f aca="false">H1071*K1071</f>
        <v>1800</v>
      </c>
    </row>
    <row r="1072" customFormat="false" ht="15" hidden="false" customHeight="false" outlineLevel="0" collapsed="false">
      <c r="A1072" s="2" t="s">
        <v>1354</v>
      </c>
      <c r="B1072" s="8" t="n">
        <v>46111</v>
      </c>
      <c r="C1072" s="2" t="s">
        <v>243</v>
      </c>
      <c r="D1072" s="3" t="str">
        <f aca="false">INDEX(Vendedores!$C$2:$C$101,MATCH(C1072,Vendedores!$A$2:$A$101,0))</f>
        <v>L10</v>
      </c>
      <c r="E1072" s="3" t="str">
        <f aca="false">INDEX(Lojas!$E$2:$E$11,MATCH(D1072,Lojas!$A$2:$A$11,0))</f>
        <v>Nordeste</v>
      </c>
      <c r="F1072" s="2" t="s">
        <v>267</v>
      </c>
      <c r="G1072" s="3" t="str">
        <f aca="false">INDEX(Produtos!$B$2:$B$11,MATCH(F1072,Produtos!$A$2:$A$11,0))&amp;" "&amp;INDEX(Produtos!$C$2:$C$11,MATCH(F1072,Produtos!$A$2:$A$11,0))</f>
        <v>Carregador de Celular Tipo C</v>
      </c>
      <c r="H1072" s="2" t="n">
        <v>1</v>
      </c>
      <c r="I1072" s="5" t="n">
        <f aca="false">INDEX(Produtos!$D$2:$D$11,MATCH(F1072,Produtos!$A$2:$A$11,0))</f>
        <v>44.9</v>
      </c>
      <c r="J1072" s="5" t="n">
        <f aca="false">H1072*I1072</f>
        <v>44.9</v>
      </c>
      <c r="K1072" s="5" t="n">
        <f aca="false">INDEX(Produtos!$E$2:$E$11,MATCH(F1072,Produtos!$A$2:$A$11,0))</f>
        <v>18</v>
      </c>
      <c r="L1072" s="5" t="n">
        <f aca="false">H1072*K1072</f>
        <v>18</v>
      </c>
    </row>
    <row r="1073" customFormat="false" ht="15" hidden="false" customHeight="false" outlineLevel="0" collapsed="false">
      <c r="A1073" s="2" t="s">
        <v>1355</v>
      </c>
      <c r="B1073" s="8" t="n">
        <v>46111</v>
      </c>
      <c r="C1073" s="2" t="s">
        <v>60</v>
      </c>
      <c r="D1073" s="3" t="str">
        <f aca="false">INDEX(Vendedores!$C$2:$C$101,MATCH(C1073,Vendedores!$A$2:$A$101,0))</f>
        <v>L01</v>
      </c>
      <c r="E1073" s="3" t="str">
        <f aca="false">INDEX(Lojas!$E$2:$E$11,MATCH(D1073,Lojas!$A$2:$A$11,0))</f>
        <v>Sudeste</v>
      </c>
      <c r="F1073" s="2" t="s">
        <v>257</v>
      </c>
      <c r="G1073" s="3" t="str">
        <f aca="false">INDEX(Produtos!$B$2:$B$11,MATCH(F1073,Produtos!$A$2:$A$11,0))&amp;" "&amp;INDEX(Produtos!$C$2:$C$11,MATCH(F1073,Produtos!$A$2:$A$11,0))</f>
        <v>Celular Samsung</v>
      </c>
      <c r="H1073" s="2" t="n">
        <v>2</v>
      </c>
      <c r="I1073" s="5" t="n">
        <f aca="false">INDEX(Produtos!$D$2:$D$11,MATCH(F1073,Produtos!$A$2:$A$11,0))</f>
        <v>2499</v>
      </c>
      <c r="J1073" s="5" t="n">
        <f aca="false">H1073*I1073</f>
        <v>4998</v>
      </c>
      <c r="K1073" s="5" t="n">
        <f aca="false">INDEX(Produtos!$E$2:$E$11,MATCH(F1073,Produtos!$A$2:$A$11,0))</f>
        <v>1800</v>
      </c>
      <c r="L1073" s="5" t="n">
        <f aca="false">H1073*K1073</f>
        <v>3600</v>
      </c>
    </row>
    <row r="1074" customFormat="false" ht="15" hidden="false" customHeight="false" outlineLevel="0" collapsed="false">
      <c r="A1074" s="2" t="s">
        <v>1356</v>
      </c>
      <c r="B1074" s="8" t="n">
        <v>46112</v>
      </c>
      <c r="C1074" s="2" t="s">
        <v>199</v>
      </c>
      <c r="D1074" s="3" t="str">
        <f aca="false">INDEX(Vendedores!$C$2:$C$101,MATCH(C1074,Vendedores!$A$2:$A$101,0))</f>
        <v>L08</v>
      </c>
      <c r="E1074" s="3" t="str">
        <f aca="false">INDEX(Lojas!$E$2:$E$11,MATCH(D1074,Lojas!$A$2:$A$11,0))</f>
        <v>Nordeste</v>
      </c>
      <c r="F1074" s="2" t="s">
        <v>275</v>
      </c>
      <c r="G1074" s="3" t="str">
        <f aca="false">INDEX(Produtos!$B$2:$B$11,MATCH(F1074,Produtos!$A$2:$A$11,0))&amp;" "&amp;INDEX(Produtos!$C$2:$C$11,MATCH(F1074,Produtos!$A$2:$A$11,0))</f>
        <v>Controle de Videogame PS5</v>
      </c>
      <c r="H1074" s="2" t="n">
        <v>1</v>
      </c>
      <c r="I1074" s="5" t="n">
        <f aca="false">INDEX(Produtos!$D$2:$D$11,MATCH(F1074,Produtos!$A$2:$A$11,0))</f>
        <v>379.9</v>
      </c>
      <c r="J1074" s="5" t="n">
        <f aca="false">H1074*I1074</f>
        <v>379.9</v>
      </c>
      <c r="K1074" s="5" t="n">
        <f aca="false">INDEX(Produtos!$E$2:$E$11,MATCH(F1074,Produtos!$A$2:$A$11,0))</f>
        <v>235</v>
      </c>
      <c r="L1074" s="5" t="n">
        <f aca="false">H1074*K1074</f>
        <v>235</v>
      </c>
    </row>
    <row r="1075" customFormat="false" ht="15" hidden="false" customHeight="false" outlineLevel="0" collapsed="false">
      <c r="A1075" s="2" t="s">
        <v>1357</v>
      </c>
      <c r="B1075" s="8" t="n">
        <v>46112</v>
      </c>
      <c r="C1075" s="2" t="s">
        <v>66</v>
      </c>
      <c r="D1075" s="3" t="str">
        <f aca="false">INDEX(Vendedores!$C$2:$C$101,MATCH(C1075,Vendedores!$A$2:$A$101,0))</f>
        <v>L01</v>
      </c>
      <c r="E1075" s="3" t="str">
        <f aca="false">INDEX(Lojas!$E$2:$E$11,MATCH(D1075,Lojas!$A$2:$A$11,0))</f>
        <v>Sudeste</v>
      </c>
      <c r="F1075" s="2" t="s">
        <v>252</v>
      </c>
      <c r="G1075" s="3" t="str">
        <f aca="false">INDEX(Produtos!$B$2:$B$11,MATCH(F1075,Produtos!$A$2:$A$11,0))&amp;" "&amp;INDEX(Produtos!$C$2:$C$11,MATCH(F1075,Produtos!$A$2:$A$11,0))</f>
        <v>Notebook Lenovo</v>
      </c>
      <c r="H1075" s="2" t="n">
        <v>2</v>
      </c>
      <c r="I1075" s="5" t="n">
        <f aca="false">INDEX(Produtos!$D$2:$D$11,MATCH(F1075,Produtos!$A$2:$A$11,0))</f>
        <v>3199</v>
      </c>
      <c r="J1075" s="5" t="n">
        <f aca="false">H1075*I1075</f>
        <v>6398</v>
      </c>
      <c r="K1075" s="5" t="n">
        <f aca="false">INDEX(Produtos!$E$2:$E$11,MATCH(F1075,Produtos!$A$2:$A$11,0))</f>
        <v>2350</v>
      </c>
      <c r="L1075" s="5" t="n">
        <f aca="false">H1075*K1075</f>
        <v>4700</v>
      </c>
    </row>
    <row r="1076" customFormat="false" ht="15" hidden="false" customHeight="false" outlineLevel="0" collapsed="false">
      <c r="A1076" s="2" t="s">
        <v>1358</v>
      </c>
      <c r="B1076" s="8" t="n">
        <v>46112</v>
      </c>
      <c r="C1076" s="2" t="s">
        <v>239</v>
      </c>
      <c r="D1076" s="3" t="str">
        <f aca="false">INDEX(Vendedores!$C$2:$C$101,MATCH(C1076,Vendedores!$A$2:$A$101,0))</f>
        <v>L10</v>
      </c>
      <c r="E1076" s="3" t="str">
        <f aca="false">INDEX(Lojas!$E$2:$E$11,MATCH(D1076,Lojas!$A$2:$A$11,0))</f>
        <v>Nordeste</v>
      </c>
      <c r="F1076" s="2" t="s">
        <v>262</v>
      </c>
      <c r="G1076" s="3" t="str">
        <f aca="false">INDEX(Produtos!$B$2:$B$11,MATCH(F1076,Produtos!$A$2:$A$11,0))&amp;" "&amp;INDEX(Produtos!$C$2:$C$11,MATCH(F1076,Produtos!$A$2:$A$11,0))</f>
        <v>Fone de Ouvido De Celular</v>
      </c>
      <c r="H1076" s="2" t="n">
        <v>1</v>
      </c>
      <c r="I1076" s="5" t="n">
        <f aca="false">INDEX(Produtos!$D$2:$D$11,MATCH(F1076,Produtos!$A$2:$A$11,0))</f>
        <v>59.9</v>
      </c>
      <c r="J1076" s="5" t="n">
        <f aca="false">H1076*I1076</f>
        <v>59.9</v>
      </c>
      <c r="K1076" s="5" t="n">
        <f aca="false">INDEX(Produtos!$E$2:$E$11,MATCH(F1076,Produtos!$A$2:$A$11,0))</f>
        <v>28</v>
      </c>
      <c r="L1076" s="5" t="n">
        <f aca="false">H1076*K1076</f>
        <v>28</v>
      </c>
    </row>
    <row r="1077" customFormat="false" ht="15" hidden="false" customHeight="false" outlineLevel="0" collapsed="false">
      <c r="A1077" s="2" t="s">
        <v>1359</v>
      </c>
      <c r="B1077" s="8" t="n">
        <v>46112</v>
      </c>
      <c r="C1077" s="2" t="s">
        <v>207</v>
      </c>
      <c r="D1077" s="3" t="str">
        <f aca="false">INDEX(Vendedores!$C$2:$C$101,MATCH(C1077,Vendedores!$A$2:$A$101,0))</f>
        <v>L09</v>
      </c>
      <c r="E1077" s="3" t="str">
        <f aca="false">INDEX(Lojas!$E$2:$E$11,MATCH(D1077,Lojas!$A$2:$A$11,0))</f>
        <v>Nordeste</v>
      </c>
      <c r="F1077" s="2" t="s">
        <v>255</v>
      </c>
      <c r="G1077" s="3" t="str">
        <f aca="false">INDEX(Produtos!$B$2:$B$11,MATCH(F1077,Produtos!$A$2:$A$11,0))&amp;" "&amp;INDEX(Produtos!$C$2:$C$11,MATCH(F1077,Produtos!$A$2:$A$11,0))</f>
        <v>Notebook Positivo</v>
      </c>
      <c r="H1077" s="2" t="n">
        <v>2</v>
      </c>
      <c r="I1077" s="5" t="n">
        <f aca="false">INDEX(Produtos!$D$2:$D$11,MATCH(F1077,Produtos!$A$2:$A$11,0))</f>
        <v>2199</v>
      </c>
      <c r="J1077" s="5" t="n">
        <f aca="false">H1077*I1077</f>
        <v>4398</v>
      </c>
      <c r="K1077" s="5" t="n">
        <f aca="false">INDEX(Produtos!$E$2:$E$11,MATCH(F1077,Produtos!$A$2:$A$11,0))</f>
        <v>1550</v>
      </c>
      <c r="L1077" s="5" t="n">
        <f aca="false">H1077*K1077</f>
        <v>3100</v>
      </c>
    </row>
    <row r="1078" customFormat="false" ht="15" hidden="false" customHeight="false" outlineLevel="0" collapsed="false">
      <c r="A1078" s="2" t="s">
        <v>1360</v>
      </c>
      <c r="B1078" s="8" t="n">
        <v>46112</v>
      </c>
      <c r="C1078" s="2" t="s">
        <v>131</v>
      </c>
      <c r="D1078" s="3" t="str">
        <f aca="false">INDEX(Vendedores!$C$2:$C$101,MATCH(C1078,Vendedores!$A$2:$A$101,0))</f>
        <v>L05</v>
      </c>
      <c r="E1078" s="3" t="str">
        <f aca="false">INDEX(Lojas!$E$2:$E$11,MATCH(D1078,Lojas!$A$2:$A$11,0))</f>
        <v>Sul</v>
      </c>
      <c r="F1078" s="2" t="s">
        <v>252</v>
      </c>
      <c r="G1078" s="3" t="str">
        <f aca="false">INDEX(Produtos!$B$2:$B$11,MATCH(F1078,Produtos!$A$2:$A$11,0))&amp;" "&amp;INDEX(Produtos!$C$2:$C$11,MATCH(F1078,Produtos!$A$2:$A$11,0))</f>
        <v>Notebook Lenovo</v>
      </c>
      <c r="H1078" s="2" t="n">
        <v>1</v>
      </c>
      <c r="I1078" s="5" t="n">
        <f aca="false">INDEX(Produtos!$D$2:$D$11,MATCH(F1078,Produtos!$A$2:$A$11,0))</f>
        <v>3199</v>
      </c>
      <c r="J1078" s="5" t="n">
        <f aca="false">H1078*I1078</f>
        <v>3199</v>
      </c>
      <c r="K1078" s="5" t="n">
        <f aca="false">INDEX(Produtos!$E$2:$E$11,MATCH(F1078,Produtos!$A$2:$A$11,0))</f>
        <v>2350</v>
      </c>
      <c r="L1078" s="5" t="n">
        <f aca="false">H1078*K1078</f>
        <v>2350</v>
      </c>
    </row>
    <row r="1079" customFormat="false" ht="15" hidden="false" customHeight="false" outlineLevel="0" collapsed="false">
      <c r="A1079" s="2" t="s">
        <v>1361</v>
      </c>
      <c r="B1079" s="8" t="n">
        <v>46112</v>
      </c>
      <c r="C1079" s="2" t="s">
        <v>84</v>
      </c>
      <c r="D1079" s="3" t="str">
        <f aca="false">INDEX(Vendedores!$C$2:$C$101,MATCH(C1079,Vendedores!$A$2:$A$101,0))</f>
        <v>L02</v>
      </c>
      <c r="E1079" s="3" t="str">
        <f aca="false">INDEX(Lojas!$E$2:$E$11,MATCH(D1079,Lojas!$A$2:$A$11,0))</f>
        <v>Sudeste</v>
      </c>
      <c r="F1079" s="2" t="s">
        <v>252</v>
      </c>
      <c r="G1079" s="3" t="str">
        <f aca="false">INDEX(Produtos!$B$2:$B$11,MATCH(F1079,Produtos!$A$2:$A$11,0))&amp;" "&amp;INDEX(Produtos!$C$2:$C$11,MATCH(F1079,Produtos!$A$2:$A$11,0))</f>
        <v>Notebook Lenovo</v>
      </c>
      <c r="H1079" s="2" t="n">
        <v>1</v>
      </c>
      <c r="I1079" s="5" t="n">
        <f aca="false">INDEX(Produtos!$D$2:$D$11,MATCH(F1079,Produtos!$A$2:$A$11,0))</f>
        <v>3199</v>
      </c>
      <c r="J1079" s="5" t="n">
        <f aca="false">H1079*I1079</f>
        <v>3199</v>
      </c>
      <c r="K1079" s="5" t="n">
        <f aca="false">INDEX(Produtos!$E$2:$E$11,MATCH(F1079,Produtos!$A$2:$A$11,0))</f>
        <v>2350</v>
      </c>
      <c r="L1079" s="5" t="n">
        <f aca="false">H1079*K1079</f>
        <v>2350</v>
      </c>
    </row>
    <row r="1080" customFormat="false" ht="15" hidden="false" customHeight="false" outlineLevel="0" collapsed="false">
      <c r="A1080" s="2" t="s">
        <v>1362</v>
      </c>
      <c r="B1080" s="8" t="n">
        <v>46112</v>
      </c>
      <c r="C1080" s="2" t="s">
        <v>133</v>
      </c>
      <c r="D1080" s="3" t="str">
        <f aca="false">INDEX(Vendedores!$C$2:$C$101,MATCH(C1080,Vendedores!$A$2:$A$101,0))</f>
        <v>L05</v>
      </c>
      <c r="E1080" s="3" t="str">
        <f aca="false">INDEX(Lojas!$E$2:$E$11,MATCH(D1080,Lojas!$A$2:$A$11,0))</f>
        <v>Sul</v>
      </c>
      <c r="F1080" s="2" t="s">
        <v>262</v>
      </c>
      <c r="G1080" s="3" t="str">
        <f aca="false">INDEX(Produtos!$B$2:$B$11,MATCH(F1080,Produtos!$A$2:$A$11,0))&amp;" "&amp;INDEX(Produtos!$C$2:$C$11,MATCH(F1080,Produtos!$A$2:$A$11,0))</f>
        <v>Fone de Ouvido De Celular</v>
      </c>
      <c r="H1080" s="2" t="n">
        <v>1</v>
      </c>
      <c r="I1080" s="5" t="n">
        <f aca="false">INDEX(Produtos!$D$2:$D$11,MATCH(F1080,Produtos!$A$2:$A$11,0))</f>
        <v>59.9</v>
      </c>
      <c r="J1080" s="5" t="n">
        <f aca="false">H1080*I1080</f>
        <v>59.9</v>
      </c>
      <c r="K1080" s="5" t="n">
        <f aca="false">INDEX(Produtos!$E$2:$E$11,MATCH(F1080,Produtos!$A$2:$A$11,0))</f>
        <v>28</v>
      </c>
      <c r="L1080" s="5" t="n">
        <f aca="false">H1080*K1080</f>
        <v>28</v>
      </c>
    </row>
    <row r="1081" customFormat="false" ht="15" hidden="false" customHeight="false" outlineLevel="0" collapsed="false">
      <c r="A1081" s="2" t="s">
        <v>1363</v>
      </c>
      <c r="B1081" s="8" t="n">
        <v>46112</v>
      </c>
      <c r="C1081" s="2" t="s">
        <v>118</v>
      </c>
      <c r="D1081" s="3" t="str">
        <f aca="false">INDEX(Vendedores!$C$2:$C$101,MATCH(C1081,Vendedores!$A$2:$A$101,0))</f>
        <v>L04</v>
      </c>
      <c r="E1081" s="3" t="str">
        <f aca="false">INDEX(Lojas!$E$2:$E$11,MATCH(D1081,Lojas!$A$2:$A$11,0))</f>
        <v>Sudeste</v>
      </c>
      <c r="F1081" s="2" t="s">
        <v>267</v>
      </c>
      <c r="G1081" s="3" t="str">
        <f aca="false">INDEX(Produtos!$B$2:$B$11,MATCH(F1081,Produtos!$A$2:$A$11,0))&amp;" "&amp;INDEX(Produtos!$C$2:$C$11,MATCH(F1081,Produtos!$A$2:$A$11,0))</f>
        <v>Carregador de Celular Tipo C</v>
      </c>
      <c r="H1081" s="2" t="n">
        <v>1</v>
      </c>
      <c r="I1081" s="5" t="n">
        <f aca="false">INDEX(Produtos!$D$2:$D$11,MATCH(F1081,Produtos!$A$2:$A$11,0))</f>
        <v>44.9</v>
      </c>
      <c r="J1081" s="5" t="n">
        <f aca="false">H1081*I1081</f>
        <v>44.9</v>
      </c>
      <c r="K1081" s="5" t="n">
        <f aca="false">INDEX(Produtos!$E$2:$E$11,MATCH(F1081,Produtos!$A$2:$A$11,0))</f>
        <v>18</v>
      </c>
      <c r="L1081" s="5" t="n">
        <f aca="false">H1081*K1081</f>
        <v>18</v>
      </c>
    </row>
    <row r="1082" customFormat="false" ht="15" hidden="false" customHeight="false" outlineLevel="0" collapsed="false">
      <c r="A1082" s="2" t="s">
        <v>1364</v>
      </c>
      <c r="B1082" s="8" t="n">
        <v>46112</v>
      </c>
      <c r="C1082" s="2" t="s">
        <v>213</v>
      </c>
      <c r="D1082" s="3" t="str">
        <f aca="false">INDEX(Vendedores!$C$2:$C$101,MATCH(C1082,Vendedores!$A$2:$A$101,0))</f>
        <v>L09</v>
      </c>
      <c r="E1082" s="3" t="str">
        <f aca="false">INDEX(Lojas!$E$2:$E$11,MATCH(D1082,Lojas!$A$2:$A$11,0))</f>
        <v>Nordeste</v>
      </c>
      <c r="F1082" s="2" t="s">
        <v>260</v>
      </c>
      <c r="G1082" s="3" t="str">
        <f aca="false">INDEX(Produtos!$B$2:$B$11,MATCH(F1082,Produtos!$A$2:$A$11,0))&amp;" "&amp;INDEX(Produtos!$C$2:$C$11,MATCH(F1082,Produtos!$A$2:$A$11,0))</f>
        <v>Celular Motorola</v>
      </c>
      <c r="H1082" s="2" t="n">
        <v>2</v>
      </c>
      <c r="I1082" s="5" t="n">
        <f aca="false">INDEX(Produtos!$D$2:$D$11,MATCH(F1082,Produtos!$A$2:$A$11,0))</f>
        <v>1799</v>
      </c>
      <c r="J1082" s="5" t="n">
        <f aca="false">H1082*I1082</f>
        <v>3598</v>
      </c>
      <c r="K1082" s="5" t="n">
        <f aca="false">INDEX(Produtos!$E$2:$E$11,MATCH(F1082,Produtos!$A$2:$A$11,0))</f>
        <v>1250</v>
      </c>
      <c r="L1082" s="5" t="n">
        <f aca="false">H1082*K1082</f>
        <v>2500</v>
      </c>
    </row>
    <row r="1083" customFormat="false" ht="15" hidden="false" customHeight="false" outlineLevel="0" collapsed="false">
      <c r="A1083" s="2" t="s">
        <v>1365</v>
      </c>
      <c r="B1083" s="8" t="n">
        <v>46112</v>
      </c>
      <c r="C1083" s="2" t="s">
        <v>60</v>
      </c>
      <c r="D1083" s="3" t="str">
        <f aca="false">INDEX(Vendedores!$C$2:$C$101,MATCH(C1083,Vendedores!$A$2:$A$101,0))</f>
        <v>L01</v>
      </c>
      <c r="E1083" s="3" t="str">
        <f aca="false">INDEX(Lojas!$E$2:$E$11,MATCH(D1083,Lojas!$A$2:$A$11,0))</f>
        <v>Sudeste</v>
      </c>
      <c r="F1083" s="2" t="s">
        <v>265</v>
      </c>
      <c r="G1083" s="3" t="str">
        <f aca="false">INDEX(Produtos!$B$2:$B$11,MATCH(F1083,Produtos!$A$2:$A$11,0))&amp;" "&amp;INDEX(Produtos!$C$2:$C$11,MATCH(F1083,Produtos!$A$2:$A$11,0))</f>
        <v>Fone de Ouvido Headset</v>
      </c>
      <c r="H1083" s="2" t="n">
        <v>1</v>
      </c>
      <c r="I1083" s="5" t="n">
        <f aca="false">INDEX(Produtos!$D$2:$D$11,MATCH(F1083,Produtos!$A$2:$A$11,0))</f>
        <v>249.9</v>
      </c>
      <c r="J1083" s="5" t="n">
        <f aca="false">H1083*I1083</f>
        <v>249.9</v>
      </c>
      <c r="K1083" s="5" t="n">
        <f aca="false">INDEX(Produtos!$E$2:$E$11,MATCH(F1083,Produtos!$A$2:$A$11,0))</f>
        <v>145</v>
      </c>
      <c r="L1083" s="5" t="n">
        <f aca="false">H1083*K1083</f>
        <v>145</v>
      </c>
    </row>
    <row r="1084" customFormat="false" ht="15" hidden="false" customHeight="false" outlineLevel="0" collapsed="false">
      <c r="A1084" s="2" t="s">
        <v>1366</v>
      </c>
      <c r="B1084" s="8" t="n">
        <v>46112</v>
      </c>
      <c r="C1084" s="2" t="s">
        <v>221</v>
      </c>
      <c r="D1084" s="3" t="str">
        <f aca="false">INDEX(Vendedores!$C$2:$C$101,MATCH(C1084,Vendedores!$A$2:$A$101,0))</f>
        <v>L09</v>
      </c>
      <c r="E1084" s="3" t="str">
        <f aca="false">INDEX(Lojas!$E$2:$E$11,MATCH(D1084,Lojas!$A$2:$A$11,0))</f>
        <v>Nordeste</v>
      </c>
      <c r="F1084" s="2" t="s">
        <v>260</v>
      </c>
      <c r="G1084" s="3" t="str">
        <f aca="false">INDEX(Produtos!$B$2:$B$11,MATCH(F1084,Produtos!$A$2:$A$11,0))&amp;" "&amp;INDEX(Produtos!$C$2:$C$11,MATCH(F1084,Produtos!$A$2:$A$11,0))</f>
        <v>Celular Motorola</v>
      </c>
      <c r="H1084" s="2" t="n">
        <v>1</v>
      </c>
      <c r="I1084" s="5" t="n">
        <f aca="false">INDEX(Produtos!$D$2:$D$11,MATCH(F1084,Produtos!$A$2:$A$11,0))</f>
        <v>1799</v>
      </c>
      <c r="J1084" s="5" t="n">
        <f aca="false">H1084*I1084</f>
        <v>1799</v>
      </c>
      <c r="K1084" s="5" t="n">
        <f aca="false">INDEX(Produtos!$E$2:$E$11,MATCH(F1084,Produtos!$A$2:$A$11,0))</f>
        <v>1250</v>
      </c>
      <c r="L1084" s="5" t="n">
        <f aca="false">H1084*K1084</f>
        <v>1250</v>
      </c>
    </row>
    <row r="1085" customFormat="false" ht="15" hidden="false" customHeight="false" outlineLevel="0" collapsed="false">
      <c r="A1085" s="2" t="s">
        <v>1367</v>
      </c>
      <c r="B1085" s="8" t="n">
        <v>46113</v>
      </c>
      <c r="C1085" s="2" t="s">
        <v>231</v>
      </c>
      <c r="D1085" s="3" t="str">
        <f aca="false">INDEX(Vendedores!$C$2:$C$101,MATCH(C1085,Vendedores!$A$2:$A$101,0))</f>
        <v>L10</v>
      </c>
      <c r="E1085" s="3" t="str">
        <f aca="false">INDEX(Lojas!$E$2:$E$11,MATCH(D1085,Lojas!$A$2:$A$11,0))</f>
        <v>Nordeste</v>
      </c>
      <c r="F1085" s="2" t="s">
        <v>260</v>
      </c>
      <c r="G1085" s="3" t="str">
        <f aca="false">INDEX(Produtos!$B$2:$B$11,MATCH(F1085,Produtos!$A$2:$A$11,0))&amp;" "&amp;INDEX(Produtos!$C$2:$C$11,MATCH(F1085,Produtos!$A$2:$A$11,0))</f>
        <v>Celular Motorola</v>
      </c>
      <c r="H1085" s="2" t="n">
        <v>1</v>
      </c>
      <c r="I1085" s="5" t="n">
        <f aca="false">INDEX(Produtos!$D$2:$D$11,MATCH(F1085,Produtos!$A$2:$A$11,0))</f>
        <v>1799</v>
      </c>
      <c r="J1085" s="5" t="n">
        <f aca="false">H1085*I1085</f>
        <v>1799</v>
      </c>
      <c r="K1085" s="5" t="n">
        <f aca="false">INDEX(Produtos!$E$2:$E$11,MATCH(F1085,Produtos!$A$2:$A$11,0))</f>
        <v>1250</v>
      </c>
      <c r="L1085" s="5" t="n">
        <f aca="false">H1085*K1085</f>
        <v>1250</v>
      </c>
    </row>
    <row r="1086" customFormat="false" ht="15" hidden="false" customHeight="false" outlineLevel="0" collapsed="false">
      <c r="A1086" s="2" t="s">
        <v>1368</v>
      </c>
      <c r="B1086" s="8" t="n">
        <v>46113</v>
      </c>
      <c r="C1086" s="2" t="s">
        <v>176</v>
      </c>
      <c r="D1086" s="3" t="str">
        <f aca="false">INDEX(Vendedores!$C$2:$C$101,MATCH(C1086,Vendedores!$A$2:$A$101,0))</f>
        <v>L07</v>
      </c>
      <c r="E1086" s="3" t="str">
        <f aca="false">INDEX(Lojas!$E$2:$E$11,MATCH(D1086,Lojas!$A$2:$A$11,0))</f>
        <v>Sul</v>
      </c>
      <c r="F1086" s="2" t="s">
        <v>265</v>
      </c>
      <c r="G1086" s="3" t="str">
        <f aca="false">INDEX(Produtos!$B$2:$B$11,MATCH(F1086,Produtos!$A$2:$A$11,0))&amp;" "&amp;INDEX(Produtos!$C$2:$C$11,MATCH(F1086,Produtos!$A$2:$A$11,0))</f>
        <v>Fone de Ouvido Headset</v>
      </c>
      <c r="H1086" s="2" t="n">
        <v>1</v>
      </c>
      <c r="I1086" s="5" t="n">
        <f aca="false">INDEX(Produtos!$D$2:$D$11,MATCH(F1086,Produtos!$A$2:$A$11,0))</f>
        <v>249.9</v>
      </c>
      <c r="J1086" s="5" t="n">
        <f aca="false">H1086*I1086</f>
        <v>249.9</v>
      </c>
      <c r="K1086" s="5" t="n">
        <f aca="false">INDEX(Produtos!$E$2:$E$11,MATCH(F1086,Produtos!$A$2:$A$11,0))</f>
        <v>145</v>
      </c>
      <c r="L1086" s="5" t="n">
        <f aca="false">H1086*K1086</f>
        <v>145</v>
      </c>
    </row>
    <row r="1087" customFormat="false" ht="15" hidden="false" customHeight="false" outlineLevel="0" collapsed="false">
      <c r="A1087" s="2" t="s">
        <v>1369</v>
      </c>
      <c r="B1087" s="8" t="n">
        <v>46113</v>
      </c>
      <c r="C1087" s="2" t="s">
        <v>104</v>
      </c>
      <c r="D1087" s="3" t="str">
        <f aca="false">INDEX(Vendedores!$C$2:$C$101,MATCH(C1087,Vendedores!$A$2:$A$101,0))</f>
        <v>L03</v>
      </c>
      <c r="E1087" s="3" t="str">
        <f aca="false">INDEX(Lojas!$E$2:$E$11,MATCH(D1087,Lojas!$A$2:$A$11,0))</f>
        <v>Sudeste</v>
      </c>
      <c r="F1087" s="2" t="s">
        <v>252</v>
      </c>
      <c r="G1087" s="3" t="str">
        <f aca="false">INDEX(Produtos!$B$2:$B$11,MATCH(F1087,Produtos!$A$2:$A$11,0))&amp;" "&amp;INDEX(Produtos!$C$2:$C$11,MATCH(F1087,Produtos!$A$2:$A$11,0))</f>
        <v>Notebook Lenovo</v>
      </c>
      <c r="H1087" s="2" t="n">
        <v>1</v>
      </c>
      <c r="I1087" s="5" t="n">
        <f aca="false">INDEX(Produtos!$D$2:$D$11,MATCH(F1087,Produtos!$A$2:$A$11,0))</f>
        <v>3199</v>
      </c>
      <c r="J1087" s="5" t="n">
        <f aca="false">H1087*I1087</f>
        <v>3199</v>
      </c>
      <c r="K1087" s="5" t="n">
        <f aca="false">INDEX(Produtos!$E$2:$E$11,MATCH(F1087,Produtos!$A$2:$A$11,0))</f>
        <v>2350</v>
      </c>
      <c r="L1087" s="5" t="n">
        <f aca="false">H1087*K1087</f>
        <v>2350</v>
      </c>
    </row>
    <row r="1088" customFormat="false" ht="15" hidden="false" customHeight="false" outlineLevel="0" collapsed="false">
      <c r="A1088" s="2" t="s">
        <v>1370</v>
      </c>
      <c r="B1088" s="8" t="n">
        <v>46113</v>
      </c>
      <c r="C1088" s="2" t="s">
        <v>178</v>
      </c>
      <c r="D1088" s="3" t="str">
        <f aca="false">INDEX(Vendedores!$C$2:$C$101,MATCH(C1088,Vendedores!$A$2:$A$101,0))</f>
        <v>L07</v>
      </c>
      <c r="E1088" s="3" t="str">
        <f aca="false">INDEX(Lojas!$E$2:$E$11,MATCH(D1088,Lojas!$A$2:$A$11,0))</f>
        <v>Sul</v>
      </c>
      <c r="F1088" s="2" t="s">
        <v>255</v>
      </c>
      <c r="G1088" s="3" t="str">
        <f aca="false">INDEX(Produtos!$B$2:$B$11,MATCH(F1088,Produtos!$A$2:$A$11,0))&amp;" "&amp;INDEX(Produtos!$C$2:$C$11,MATCH(F1088,Produtos!$A$2:$A$11,0))</f>
        <v>Notebook Positivo</v>
      </c>
      <c r="H1088" s="2" t="n">
        <v>1</v>
      </c>
      <c r="I1088" s="5" t="n">
        <f aca="false">INDEX(Produtos!$D$2:$D$11,MATCH(F1088,Produtos!$A$2:$A$11,0))</f>
        <v>2199</v>
      </c>
      <c r="J1088" s="5" t="n">
        <f aca="false">H1088*I1088</f>
        <v>2199</v>
      </c>
      <c r="K1088" s="5" t="n">
        <f aca="false">INDEX(Produtos!$E$2:$E$11,MATCH(F1088,Produtos!$A$2:$A$11,0))</f>
        <v>1550</v>
      </c>
      <c r="L1088" s="5" t="n">
        <f aca="false">H1088*K1088</f>
        <v>1550</v>
      </c>
    </row>
    <row r="1089" customFormat="false" ht="15" hidden="false" customHeight="false" outlineLevel="0" collapsed="false">
      <c r="A1089" s="2" t="s">
        <v>1371</v>
      </c>
      <c r="B1089" s="8" t="n">
        <v>46113</v>
      </c>
      <c r="C1089" s="2" t="s">
        <v>86</v>
      </c>
      <c r="D1089" s="3" t="str">
        <f aca="false">INDEX(Vendedores!$C$2:$C$101,MATCH(C1089,Vendedores!$A$2:$A$101,0))</f>
        <v>L02</v>
      </c>
      <c r="E1089" s="3" t="str">
        <f aca="false">INDEX(Lojas!$E$2:$E$11,MATCH(D1089,Lojas!$A$2:$A$11,0))</f>
        <v>Sudeste</v>
      </c>
      <c r="F1089" s="2" t="s">
        <v>267</v>
      </c>
      <c r="G1089" s="3" t="str">
        <f aca="false">INDEX(Produtos!$B$2:$B$11,MATCH(F1089,Produtos!$A$2:$A$11,0))&amp;" "&amp;INDEX(Produtos!$C$2:$C$11,MATCH(F1089,Produtos!$A$2:$A$11,0))</f>
        <v>Carregador de Celular Tipo C</v>
      </c>
      <c r="H1089" s="2" t="n">
        <v>1</v>
      </c>
      <c r="I1089" s="5" t="n">
        <f aca="false">INDEX(Produtos!$D$2:$D$11,MATCH(F1089,Produtos!$A$2:$A$11,0))</f>
        <v>44.9</v>
      </c>
      <c r="J1089" s="5" t="n">
        <f aca="false">H1089*I1089</f>
        <v>44.9</v>
      </c>
      <c r="K1089" s="5" t="n">
        <f aca="false">INDEX(Produtos!$E$2:$E$11,MATCH(F1089,Produtos!$A$2:$A$11,0))</f>
        <v>18</v>
      </c>
      <c r="L1089" s="5" t="n">
        <f aca="false">H1089*K1089</f>
        <v>18</v>
      </c>
    </row>
    <row r="1090" customFormat="false" ht="15" hidden="false" customHeight="false" outlineLevel="0" collapsed="false">
      <c r="A1090" s="2" t="s">
        <v>1372</v>
      </c>
      <c r="B1090" s="8" t="n">
        <v>46113</v>
      </c>
      <c r="C1090" s="2" t="s">
        <v>124</v>
      </c>
      <c r="D1090" s="3" t="str">
        <f aca="false">INDEX(Vendedores!$C$2:$C$101,MATCH(C1090,Vendedores!$A$2:$A$101,0))</f>
        <v>L04</v>
      </c>
      <c r="E1090" s="3" t="str">
        <f aca="false">INDEX(Lojas!$E$2:$E$11,MATCH(D1090,Lojas!$A$2:$A$11,0))</f>
        <v>Sudeste</v>
      </c>
      <c r="F1090" s="2" t="s">
        <v>257</v>
      </c>
      <c r="G1090" s="3" t="str">
        <f aca="false">INDEX(Produtos!$B$2:$B$11,MATCH(F1090,Produtos!$A$2:$A$11,0))&amp;" "&amp;INDEX(Produtos!$C$2:$C$11,MATCH(F1090,Produtos!$A$2:$A$11,0))</f>
        <v>Celular Samsung</v>
      </c>
      <c r="H1090" s="2" t="n">
        <v>1</v>
      </c>
      <c r="I1090" s="5" t="n">
        <f aca="false">INDEX(Produtos!$D$2:$D$11,MATCH(F1090,Produtos!$A$2:$A$11,0))</f>
        <v>2499</v>
      </c>
      <c r="J1090" s="5" t="n">
        <f aca="false">H1090*I1090</f>
        <v>2499</v>
      </c>
      <c r="K1090" s="5" t="n">
        <f aca="false">INDEX(Produtos!$E$2:$E$11,MATCH(F1090,Produtos!$A$2:$A$11,0))</f>
        <v>1800</v>
      </c>
      <c r="L1090" s="5" t="n">
        <f aca="false">H1090*K1090</f>
        <v>1800</v>
      </c>
    </row>
    <row r="1091" customFormat="false" ht="15" hidden="false" customHeight="false" outlineLevel="0" collapsed="false">
      <c r="A1091" s="2" t="s">
        <v>1373</v>
      </c>
      <c r="B1091" s="8" t="n">
        <v>46113</v>
      </c>
      <c r="C1091" s="2" t="s">
        <v>170</v>
      </c>
      <c r="D1091" s="3" t="str">
        <f aca="false">INDEX(Vendedores!$C$2:$C$101,MATCH(C1091,Vendedores!$A$2:$A$101,0))</f>
        <v>L07</v>
      </c>
      <c r="E1091" s="3" t="str">
        <f aca="false">INDEX(Lojas!$E$2:$E$11,MATCH(D1091,Lojas!$A$2:$A$11,0))</f>
        <v>Sul</v>
      </c>
      <c r="F1091" s="2" t="s">
        <v>260</v>
      </c>
      <c r="G1091" s="3" t="str">
        <f aca="false">INDEX(Produtos!$B$2:$B$11,MATCH(F1091,Produtos!$A$2:$A$11,0))&amp;" "&amp;INDEX(Produtos!$C$2:$C$11,MATCH(F1091,Produtos!$A$2:$A$11,0))</f>
        <v>Celular Motorola</v>
      </c>
      <c r="H1091" s="2" t="n">
        <v>1</v>
      </c>
      <c r="I1091" s="5" t="n">
        <f aca="false">INDEX(Produtos!$D$2:$D$11,MATCH(F1091,Produtos!$A$2:$A$11,0))</f>
        <v>1799</v>
      </c>
      <c r="J1091" s="5" t="n">
        <f aca="false">H1091*I1091</f>
        <v>1799</v>
      </c>
      <c r="K1091" s="5" t="n">
        <f aca="false">INDEX(Produtos!$E$2:$E$11,MATCH(F1091,Produtos!$A$2:$A$11,0))</f>
        <v>1250</v>
      </c>
      <c r="L1091" s="5" t="n">
        <f aca="false">H1091*K1091</f>
        <v>1250</v>
      </c>
    </row>
    <row r="1092" customFormat="false" ht="15" hidden="false" customHeight="false" outlineLevel="0" collapsed="false">
      <c r="A1092" s="2" t="s">
        <v>1374</v>
      </c>
      <c r="B1092" s="8" t="n">
        <v>46113</v>
      </c>
      <c r="C1092" s="2" t="s">
        <v>237</v>
      </c>
      <c r="D1092" s="3" t="str">
        <f aca="false">INDEX(Vendedores!$C$2:$C$101,MATCH(C1092,Vendedores!$A$2:$A$101,0))</f>
        <v>L10</v>
      </c>
      <c r="E1092" s="3" t="str">
        <f aca="false">INDEX(Lojas!$E$2:$E$11,MATCH(D1092,Lojas!$A$2:$A$11,0))</f>
        <v>Nordeste</v>
      </c>
      <c r="F1092" s="2" t="s">
        <v>260</v>
      </c>
      <c r="G1092" s="3" t="str">
        <f aca="false">INDEX(Produtos!$B$2:$B$11,MATCH(F1092,Produtos!$A$2:$A$11,0))&amp;" "&amp;INDEX(Produtos!$C$2:$C$11,MATCH(F1092,Produtos!$A$2:$A$11,0))</f>
        <v>Celular Motorola</v>
      </c>
      <c r="H1092" s="2" t="n">
        <v>1</v>
      </c>
      <c r="I1092" s="5" t="n">
        <f aca="false">INDEX(Produtos!$D$2:$D$11,MATCH(F1092,Produtos!$A$2:$A$11,0))</f>
        <v>1799</v>
      </c>
      <c r="J1092" s="5" t="n">
        <f aca="false">H1092*I1092</f>
        <v>1799</v>
      </c>
      <c r="K1092" s="5" t="n">
        <f aca="false">INDEX(Produtos!$E$2:$E$11,MATCH(F1092,Produtos!$A$2:$A$11,0))</f>
        <v>1250</v>
      </c>
      <c r="L1092" s="5" t="n">
        <f aca="false">H1092*K1092</f>
        <v>1250</v>
      </c>
    </row>
    <row r="1093" customFormat="false" ht="15" hidden="false" customHeight="false" outlineLevel="0" collapsed="false">
      <c r="A1093" s="2" t="s">
        <v>1375</v>
      </c>
      <c r="B1093" s="8" t="n">
        <v>46113</v>
      </c>
      <c r="C1093" s="2" t="s">
        <v>205</v>
      </c>
      <c r="D1093" s="3" t="str">
        <f aca="false">INDEX(Vendedores!$C$2:$C$101,MATCH(C1093,Vendedores!$A$2:$A$101,0))</f>
        <v>L09</v>
      </c>
      <c r="E1093" s="3" t="str">
        <f aca="false">INDEX(Lojas!$E$2:$E$11,MATCH(D1093,Lojas!$A$2:$A$11,0))</f>
        <v>Nordeste</v>
      </c>
      <c r="F1093" s="2" t="s">
        <v>267</v>
      </c>
      <c r="G1093" s="3" t="str">
        <f aca="false">INDEX(Produtos!$B$2:$B$11,MATCH(F1093,Produtos!$A$2:$A$11,0))&amp;" "&amp;INDEX(Produtos!$C$2:$C$11,MATCH(F1093,Produtos!$A$2:$A$11,0))</f>
        <v>Carregador de Celular Tipo C</v>
      </c>
      <c r="H1093" s="2" t="n">
        <v>1</v>
      </c>
      <c r="I1093" s="5" t="n">
        <f aca="false">INDEX(Produtos!$D$2:$D$11,MATCH(F1093,Produtos!$A$2:$A$11,0))</f>
        <v>44.9</v>
      </c>
      <c r="J1093" s="5" t="n">
        <f aca="false">H1093*I1093</f>
        <v>44.9</v>
      </c>
      <c r="K1093" s="5" t="n">
        <f aca="false">INDEX(Produtos!$E$2:$E$11,MATCH(F1093,Produtos!$A$2:$A$11,0))</f>
        <v>18</v>
      </c>
      <c r="L1093" s="5" t="n">
        <f aca="false">H1093*K1093</f>
        <v>18</v>
      </c>
    </row>
    <row r="1094" customFormat="false" ht="15" hidden="false" customHeight="false" outlineLevel="0" collapsed="false">
      <c r="A1094" s="2" t="s">
        <v>1376</v>
      </c>
      <c r="B1094" s="8" t="n">
        <v>46113</v>
      </c>
      <c r="C1094" s="2" t="s">
        <v>54</v>
      </c>
      <c r="D1094" s="3" t="str">
        <f aca="false">INDEX(Vendedores!$C$2:$C$101,MATCH(C1094,Vendedores!$A$2:$A$101,0))</f>
        <v>L01</v>
      </c>
      <c r="E1094" s="3" t="str">
        <f aca="false">INDEX(Lojas!$E$2:$E$11,MATCH(D1094,Lojas!$A$2:$A$11,0))</f>
        <v>Sudeste</v>
      </c>
      <c r="F1094" s="2" t="s">
        <v>257</v>
      </c>
      <c r="G1094" s="3" t="str">
        <f aca="false">INDEX(Produtos!$B$2:$B$11,MATCH(F1094,Produtos!$A$2:$A$11,0))&amp;" "&amp;INDEX(Produtos!$C$2:$C$11,MATCH(F1094,Produtos!$A$2:$A$11,0))</f>
        <v>Celular Samsung</v>
      </c>
      <c r="H1094" s="2" t="n">
        <v>1</v>
      </c>
      <c r="I1094" s="5" t="n">
        <f aca="false">INDEX(Produtos!$D$2:$D$11,MATCH(F1094,Produtos!$A$2:$A$11,0))</f>
        <v>2499</v>
      </c>
      <c r="J1094" s="5" t="n">
        <f aca="false">H1094*I1094</f>
        <v>2499</v>
      </c>
      <c r="K1094" s="5" t="n">
        <f aca="false">INDEX(Produtos!$E$2:$E$11,MATCH(F1094,Produtos!$A$2:$A$11,0))</f>
        <v>1800</v>
      </c>
      <c r="L1094" s="5" t="n">
        <f aca="false">H1094*K1094</f>
        <v>1800</v>
      </c>
    </row>
    <row r="1095" customFormat="false" ht="15" hidden="false" customHeight="false" outlineLevel="0" collapsed="false">
      <c r="A1095" s="2" t="s">
        <v>1377</v>
      </c>
      <c r="B1095" s="8" t="n">
        <v>46113</v>
      </c>
      <c r="C1095" s="2" t="s">
        <v>76</v>
      </c>
      <c r="D1095" s="3" t="str">
        <f aca="false">INDEX(Vendedores!$C$2:$C$101,MATCH(C1095,Vendedores!$A$2:$A$101,0))</f>
        <v>L02</v>
      </c>
      <c r="E1095" s="3" t="str">
        <f aca="false">INDEX(Lojas!$E$2:$E$11,MATCH(D1095,Lojas!$A$2:$A$11,0))</f>
        <v>Sudeste</v>
      </c>
      <c r="F1095" s="2" t="s">
        <v>252</v>
      </c>
      <c r="G1095" s="3" t="str">
        <f aca="false">INDEX(Produtos!$B$2:$B$11,MATCH(F1095,Produtos!$A$2:$A$11,0))&amp;" "&amp;INDEX(Produtos!$C$2:$C$11,MATCH(F1095,Produtos!$A$2:$A$11,0))</f>
        <v>Notebook Lenovo</v>
      </c>
      <c r="H1095" s="2" t="n">
        <v>2</v>
      </c>
      <c r="I1095" s="5" t="n">
        <f aca="false">INDEX(Produtos!$D$2:$D$11,MATCH(F1095,Produtos!$A$2:$A$11,0))</f>
        <v>3199</v>
      </c>
      <c r="J1095" s="5" t="n">
        <f aca="false">H1095*I1095</f>
        <v>6398</v>
      </c>
      <c r="K1095" s="5" t="n">
        <f aca="false">INDEX(Produtos!$E$2:$E$11,MATCH(F1095,Produtos!$A$2:$A$11,0))</f>
        <v>2350</v>
      </c>
      <c r="L1095" s="5" t="n">
        <f aca="false">H1095*K1095</f>
        <v>4700</v>
      </c>
    </row>
    <row r="1096" customFormat="false" ht="15" hidden="false" customHeight="false" outlineLevel="0" collapsed="false">
      <c r="A1096" s="2" t="s">
        <v>1378</v>
      </c>
      <c r="B1096" s="8" t="n">
        <v>46114</v>
      </c>
      <c r="C1096" s="2" t="s">
        <v>94</v>
      </c>
      <c r="D1096" s="3" t="str">
        <f aca="false">INDEX(Vendedores!$C$2:$C$101,MATCH(C1096,Vendedores!$A$2:$A$101,0))</f>
        <v>L03</v>
      </c>
      <c r="E1096" s="3" t="str">
        <f aca="false">INDEX(Lojas!$E$2:$E$11,MATCH(D1096,Lojas!$A$2:$A$11,0))</f>
        <v>Sudeste</v>
      </c>
      <c r="F1096" s="2" t="s">
        <v>273</v>
      </c>
      <c r="G1096" s="3" t="str">
        <f aca="false">INDEX(Produtos!$B$2:$B$11,MATCH(F1096,Produtos!$A$2:$A$11,0))&amp;" "&amp;INDEX(Produtos!$C$2:$C$11,MATCH(F1096,Produtos!$A$2:$A$11,0))</f>
        <v>Controle de Videogame PS4</v>
      </c>
      <c r="H1096" s="2" t="n">
        <v>1</v>
      </c>
      <c r="I1096" s="5" t="n">
        <f aca="false">INDEX(Produtos!$D$2:$D$11,MATCH(F1096,Produtos!$A$2:$A$11,0))</f>
        <v>299.9</v>
      </c>
      <c r="J1096" s="5" t="n">
        <f aca="false">H1096*I1096</f>
        <v>299.9</v>
      </c>
      <c r="K1096" s="5" t="n">
        <f aca="false">INDEX(Produtos!$E$2:$E$11,MATCH(F1096,Produtos!$A$2:$A$11,0))</f>
        <v>175</v>
      </c>
      <c r="L1096" s="5" t="n">
        <f aca="false">H1096*K1096</f>
        <v>175</v>
      </c>
    </row>
    <row r="1097" customFormat="false" ht="15" hidden="false" customHeight="false" outlineLevel="0" collapsed="false">
      <c r="A1097" s="2" t="s">
        <v>1379</v>
      </c>
      <c r="B1097" s="8" t="n">
        <v>46114</v>
      </c>
      <c r="C1097" s="2" t="s">
        <v>162</v>
      </c>
      <c r="D1097" s="3" t="str">
        <f aca="false">INDEX(Vendedores!$C$2:$C$101,MATCH(C1097,Vendedores!$A$2:$A$101,0))</f>
        <v>L06</v>
      </c>
      <c r="E1097" s="3" t="str">
        <f aca="false">INDEX(Lojas!$E$2:$E$11,MATCH(D1097,Lojas!$A$2:$A$11,0))</f>
        <v>Sul</v>
      </c>
      <c r="F1097" s="2" t="s">
        <v>265</v>
      </c>
      <c r="G1097" s="3" t="str">
        <f aca="false">INDEX(Produtos!$B$2:$B$11,MATCH(F1097,Produtos!$A$2:$A$11,0))&amp;" "&amp;INDEX(Produtos!$C$2:$C$11,MATCH(F1097,Produtos!$A$2:$A$11,0))</f>
        <v>Fone de Ouvido Headset</v>
      </c>
      <c r="H1097" s="2" t="n">
        <v>1</v>
      </c>
      <c r="I1097" s="5" t="n">
        <f aca="false">INDEX(Produtos!$D$2:$D$11,MATCH(F1097,Produtos!$A$2:$A$11,0))</f>
        <v>249.9</v>
      </c>
      <c r="J1097" s="5" t="n">
        <f aca="false">H1097*I1097</f>
        <v>249.9</v>
      </c>
      <c r="K1097" s="5" t="n">
        <f aca="false">INDEX(Produtos!$E$2:$E$11,MATCH(F1097,Produtos!$A$2:$A$11,0))</f>
        <v>145</v>
      </c>
      <c r="L1097" s="5" t="n">
        <f aca="false">H1097*K1097</f>
        <v>145</v>
      </c>
    </row>
    <row r="1098" customFormat="false" ht="15" hidden="false" customHeight="false" outlineLevel="0" collapsed="false">
      <c r="A1098" s="2" t="s">
        <v>1380</v>
      </c>
      <c r="B1098" s="8" t="n">
        <v>46114</v>
      </c>
      <c r="C1098" s="2" t="s">
        <v>110</v>
      </c>
      <c r="D1098" s="3" t="str">
        <f aca="false">INDEX(Vendedores!$C$2:$C$101,MATCH(C1098,Vendedores!$A$2:$A$101,0))</f>
        <v>L04</v>
      </c>
      <c r="E1098" s="3" t="str">
        <f aca="false">INDEX(Lojas!$E$2:$E$11,MATCH(D1098,Lojas!$A$2:$A$11,0))</f>
        <v>Sudeste</v>
      </c>
      <c r="F1098" s="2" t="s">
        <v>265</v>
      </c>
      <c r="G1098" s="3" t="str">
        <f aca="false">INDEX(Produtos!$B$2:$B$11,MATCH(F1098,Produtos!$A$2:$A$11,0))&amp;" "&amp;INDEX(Produtos!$C$2:$C$11,MATCH(F1098,Produtos!$A$2:$A$11,0))</f>
        <v>Fone de Ouvido Headset</v>
      </c>
      <c r="H1098" s="2" t="n">
        <v>1</v>
      </c>
      <c r="I1098" s="5" t="n">
        <f aca="false">INDEX(Produtos!$D$2:$D$11,MATCH(F1098,Produtos!$A$2:$A$11,0))</f>
        <v>249.9</v>
      </c>
      <c r="J1098" s="5" t="n">
        <f aca="false">H1098*I1098</f>
        <v>249.9</v>
      </c>
      <c r="K1098" s="5" t="n">
        <f aca="false">INDEX(Produtos!$E$2:$E$11,MATCH(F1098,Produtos!$A$2:$A$11,0))</f>
        <v>145</v>
      </c>
      <c r="L1098" s="5" t="n">
        <f aca="false">H1098*K1098</f>
        <v>145</v>
      </c>
    </row>
    <row r="1099" customFormat="false" ht="15" hidden="false" customHeight="false" outlineLevel="0" collapsed="false">
      <c r="A1099" s="2" t="s">
        <v>1381</v>
      </c>
      <c r="B1099" s="8" t="n">
        <v>46114</v>
      </c>
      <c r="C1099" s="2" t="s">
        <v>217</v>
      </c>
      <c r="D1099" s="3" t="str">
        <f aca="false">INDEX(Vendedores!$C$2:$C$101,MATCH(C1099,Vendedores!$A$2:$A$101,0))</f>
        <v>L09</v>
      </c>
      <c r="E1099" s="3" t="str">
        <f aca="false">INDEX(Lojas!$E$2:$E$11,MATCH(D1099,Lojas!$A$2:$A$11,0))</f>
        <v>Nordeste</v>
      </c>
      <c r="F1099" s="2" t="s">
        <v>262</v>
      </c>
      <c r="G1099" s="3" t="str">
        <f aca="false">INDEX(Produtos!$B$2:$B$11,MATCH(F1099,Produtos!$A$2:$A$11,0))&amp;" "&amp;INDEX(Produtos!$C$2:$C$11,MATCH(F1099,Produtos!$A$2:$A$11,0))</f>
        <v>Fone de Ouvido De Celular</v>
      </c>
      <c r="H1099" s="2" t="n">
        <v>2</v>
      </c>
      <c r="I1099" s="5" t="n">
        <f aca="false">INDEX(Produtos!$D$2:$D$11,MATCH(F1099,Produtos!$A$2:$A$11,0))</f>
        <v>59.9</v>
      </c>
      <c r="J1099" s="5" t="n">
        <f aca="false">H1099*I1099</f>
        <v>119.8</v>
      </c>
      <c r="K1099" s="5" t="n">
        <f aca="false">INDEX(Produtos!$E$2:$E$11,MATCH(F1099,Produtos!$A$2:$A$11,0))</f>
        <v>28</v>
      </c>
      <c r="L1099" s="5" t="n">
        <f aca="false">H1099*K1099</f>
        <v>56</v>
      </c>
    </row>
    <row r="1100" customFormat="false" ht="15" hidden="false" customHeight="false" outlineLevel="0" collapsed="false">
      <c r="A1100" s="2" t="s">
        <v>1382</v>
      </c>
      <c r="B1100" s="8" t="n">
        <v>46114</v>
      </c>
      <c r="C1100" s="2" t="s">
        <v>193</v>
      </c>
      <c r="D1100" s="3" t="str">
        <f aca="false">INDEX(Vendedores!$C$2:$C$101,MATCH(C1100,Vendedores!$A$2:$A$101,0))</f>
        <v>L08</v>
      </c>
      <c r="E1100" s="3" t="str">
        <f aca="false">INDEX(Lojas!$E$2:$E$11,MATCH(D1100,Lojas!$A$2:$A$11,0))</f>
        <v>Nordeste</v>
      </c>
      <c r="F1100" s="2" t="s">
        <v>273</v>
      </c>
      <c r="G1100" s="3" t="str">
        <f aca="false">INDEX(Produtos!$B$2:$B$11,MATCH(F1100,Produtos!$A$2:$A$11,0))&amp;" "&amp;INDEX(Produtos!$C$2:$C$11,MATCH(F1100,Produtos!$A$2:$A$11,0))</f>
        <v>Controle de Videogame PS4</v>
      </c>
      <c r="H1100" s="2" t="n">
        <v>1</v>
      </c>
      <c r="I1100" s="5" t="n">
        <f aca="false">INDEX(Produtos!$D$2:$D$11,MATCH(F1100,Produtos!$A$2:$A$11,0))</f>
        <v>299.9</v>
      </c>
      <c r="J1100" s="5" t="n">
        <f aca="false">H1100*I1100</f>
        <v>299.9</v>
      </c>
      <c r="K1100" s="5" t="n">
        <f aca="false">INDEX(Produtos!$E$2:$E$11,MATCH(F1100,Produtos!$A$2:$A$11,0))</f>
        <v>175</v>
      </c>
      <c r="L1100" s="5" t="n">
        <f aca="false">H1100*K1100</f>
        <v>175</v>
      </c>
    </row>
    <row r="1101" customFormat="false" ht="15" hidden="false" customHeight="false" outlineLevel="0" collapsed="false">
      <c r="A1101" s="2" t="s">
        <v>1383</v>
      </c>
      <c r="B1101" s="8" t="n">
        <v>46114</v>
      </c>
      <c r="C1101" s="2" t="s">
        <v>168</v>
      </c>
      <c r="D1101" s="3" t="str">
        <f aca="false">INDEX(Vendedores!$C$2:$C$101,MATCH(C1101,Vendedores!$A$2:$A$101,0))</f>
        <v>L07</v>
      </c>
      <c r="E1101" s="3" t="str">
        <f aca="false">INDEX(Lojas!$E$2:$E$11,MATCH(D1101,Lojas!$A$2:$A$11,0))</f>
        <v>Sul</v>
      </c>
      <c r="F1101" s="2" t="s">
        <v>270</v>
      </c>
      <c r="G1101" s="3" t="str">
        <f aca="false">INDEX(Produtos!$B$2:$B$11,MATCH(F1101,Produtos!$A$2:$A$11,0))&amp;" "&amp;INDEX(Produtos!$C$2:$C$11,MATCH(F1101,Produtos!$A$2:$A$11,0))</f>
        <v>Controle de Videogame Xbox</v>
      </c>
      <c r="H1101" s="2" t="n">
        <v>3</v>
      </c>
      <c r="I1101" s="5" t="n">
        <f aca="false">INDEX(Produtos!$D$2:$D$11,MATCH(F1101,Produtos!$A$2:$A$11,0))</f>
        <v>349.9</v>
      </c>
      <c r="J1101" s="5" t="n">
        <f aca="false">H1101*I1101</f>
        <v>1049.7</v>
      </c>
      <c r="K1101" s="5" t="n">
        <f aca="false">INDEX(Produtos!$E$2:$E$11,MATCH(F1101,Produtos!$A$2:$A$11,0))</f>
        <v>215</v>
      </c>
      <c r="L1101" s="5" t="n">
        <f aca="false">H1101*K1101</f>
        <v>645</v>
      </c>
    </row>
    <row r="1102" customFormat="false" ht="15" hidden="false" customHeight="false" outlineLevel="0" collapsed="false">
      <c r="A1102" s="2" t="s">
        <v>1384</v>
      </c>
      <c r="B1102" s="8" t="n">
        <v>46114</v>
      </c>
      <c r="C1102" s="2" t="s">
        <v>221</v>
      </c>
      <c r="D1102" s="3" t="str">
        <f aca="false">INDEX(Vendedores!$C$2:$C$101,MATCH(C1102,Vendedores!$A$2:$A$101,0))</f>
        <v>L09</v>
      </c>
      <c r="E1102" s="3" t="str">
        <f aca="false">INDEX(Lojas!$E$2:$E$11,MATCH(D1102,Lojas!$A$2:$A$11,0))</f>
        <v>Nordeste</v>
      </c>
      <c r="F1102" s="2" t="s">
        <v>267</v>
      </c>
      <c r="G1102" s="3" t="str">
        <f aca="false">INDEX(Produtos!$B$2:$B$11,MATCH(F1102,Produtos!$A$2:$A$11,0))&amp;" "&amp;INDEX(Produtos!$C$2:$C$11,MATCH(F1102,Produtos!$A$2:$A$11,0))</f>
        <v>Carregador de Celular Tipo C</v>
      </c>
      <c r="H1102" s="2" t="n">
        <v>1</v>
      </c>
      <c r="I1102" s="5" t="n">
        <f aca="false">INDEX(Produtos!$D$2:$D$11,MATCH(F1102,Produtos!$A$2:$A$11,0))</f>
        <v>44.9</v>
      </c>
      <c r="J1102" s="5" t="n">
        <f aca="false">H1102*I1102</f>
        <v>44.9</v>
      </c>
      <c r="K1102" s="5" t="n">
        <f aca="false">INDEX(Produtos!$E$2:$E$11,MATCH(F1102,Produtos!$A$2:$A$11,0))</f>
        <v>18</v>
      </c>
      <c r="L1102" s="5" t="n">
        <f aca="false">H1102*K1102</f>
        <v>18</v>
      </c>
    </row>
    <row r="1103" customFormat="false" ht="15" hidden="false" customHeight="false" outlineLevel="0" collapsed="false">
      <c r="A1103" s="2" t="s">
        <v>1385</v>
      </c>
      <c r="B1103" s="8" t="n">
        <v>46114</v>
      </c>
      <c r="C1103" s="2" t="s">
        <v>98</v>
      </c>
      <c r="D1103" s="3" t="str">
        <f aca="false">INDEX(Vendedores!$C$2:$C$101,MATCH(C1103,Vendedores!$A$2:$A$101,0))</f>
        <v>L03</v>
      </c>
      <c r="E1103" s="3" t="str">
        <f aca="false">INDEX(Lojas!$E$2:$E$11,MATCH(D1103,Lojas!$A$2:$A$11,0))</f>
        <v>Sudeste</v>
      </c>
      <c r="F1103" s="2" t="s">
        <v>262</v>
      </c>
      <c r="G1103" s="3" t="str">
        <f aca="false">INDEX(Produtos!$B$2:$B$11,MATCH(F1103,Produtos!$A$2:$A$11,0))&amp;" "&amp;INDEX(Produtos!$C$2:$C$11,MATCH(F1103,Produtos!$A$2:$A$11,0))</f>
        <v>Fone de Ouvido De Celular</v>
      </c>
      <c r="H1103" s="2" t="n">
        <v>1</v>
      </c>
      <c r="I1103" s="5" t="n">
        <f aca="false">INDEX(Produtos!$D$2:$D$11,MATCH(F1103,Produtos!$A$2:$A$11,0))</f>
        <v>59.9</v>
      </c>
      <c r="J1103" s="5" t="n">
        <f aca="false">H1103*I1103</f>
        <v>59.9</v>
      </c>
      <c r="K1103" s="5" t="n">
        <f aca="false">INDEX(Produtos!$E$2:$E$11,MATCH(F1103,Produtos!$A$2:$A$11,0))</f>
        <v>28</v>
      </c>
      <c r="L1103" s="5" t="n">
        <f aca="false">H1103*K1103</f>
        <v>28</v>
      </c>
    </row>
    <row r="1104" customFormat="false" ht="15" hidden="false" customHeight="false" outlineLevel="0" collapsed="false">
      <c r="A1104" s="2" t="s">
        <v>1386</v>
      </c>
      <c r="B1104" s="8" t="n">
        <v>46114</v>
      </c>
      <c r="C1104" s="2" t="s">
        <v>213</v>
      </c>
      <c r="D1104" s="3" t="str">
        <f aca="false">INDEX(Vendedores!$C$2:$C$101,MATCH(C1104,Vendedores!$A$2:$A$101,0))</f>
        <v>L09</v>
      </c>
      <c r="E1104" s="3" t="str">
        <f aca="false">INDEX(Lojas!$E$2:$E$11,MATCH(D1104,Lojas!$A$2:$A$11,0))</f>
        <v>Nordeste</v>
      </c>
      <c r="F1104" s="2" t="s">
        <v>273</v>
      </c>
      <c r="G1104" s="3" t="str">
        <f aca="false">INDEX(Produtos!$B$2:$B$11,MATCH(F1104,Produtos!$A$2:$A$11,0))&amp;" "&amp;INDEX(Produtos!$C$2:$C$11,MATCH(F1104,Produtos!$A$2:$A$11,0))</f>
        <v>Controle de Videogame PS4</v>
      </c>
      <c r="H1104" s="2" t="n">
        <v>1</v>
      </c>
      <c r="I1104" s="5" t="n">
        <f aca="false">INDEX(Produtos!$D$2:$D$11,MATCH(F1104,Produtos!$A$2:$A$11,0))</f>
        <v>299.9</v>
      </c>
      <c r="J1104" s="5" t="n">
        <f aca="false">H1104*I1104</f>
        <v>299.9</v>
      </c>
      <c r="K1104" s="5" t="n">
        <f aca="false">INDEX(Produtos!$E$2:$E$11,MATCH(F1104,Produtos!$A$2:$A$11,0))</f>
        <v>175</v>
      </c>
      <c r="L1104" s="5" t="n">
        <f aca="false">H1104*K1104</f>
        <v>175</v>
      </c>
    </row>
    <row r="1105" customFormat="false" ht="15" hidden="false" customHeight="false" outlineLevel="0" collapsed="false">
      <c r="A1105" s="2" t="s">
        <v>1387</v>
      </c>
      <c r="B1105" s="8" t="n">
        <v>46114</v>
      </c>
      <c r="C1105" s="2" t="s">
        <v>52</v>
      </c>
      <c r="D1105" s="3" t="str">
        <f aca="false">INDEX(Vendedores!$C$2:$C$101,MATCH(C1105,Vendedores!$A$2:$A$101,0))</f>
        <v>L01</v>
      </c>
      <c r="E1105" s="3" t="str">
        <f aca="false">INDEX(Lojas!$E$2:$E$11,MATCH(D1105,Lojas!$A$2:$A$11,0))</f>
        <v>Sudeste</v>
      </c>
      <c r="F1105" s="2" t="s">
        <v>257</v>
      </c>
      <c r="G1105" s="3" t="str">
        <f aca="false">INDEX(Produtos!$B$2:$B$11,MATCH(F1105,Produtos!$A$2:$A$11,0))&amp;" "&amp;INDEX(Produtos!$C$2:$C$11,MATCH(F1105,Produtos!$A$2:$A$11,0))</f>
        <v>Celular Samsung</v>
      </c>
      <c r="H1105" s="2" t="n">
        <v>2</v>
      </c>
      <c r="I1105" s="5" t="n">
        <f aca="false">INDEX(Produtos!$D$2:$D$11,MATCH(F1105,Produtos!$A$2:$A$11,0))</f>
        <v>2499</v>
      </c>
      <c r="J1105" s="5" t="n">
        <f aca="false">H1105*I1105</f>
        <v>4998</v>
      </c>
      <c r="K1105" s="5" t="n">
        <f aca="false">INDEX(Produtos!$E$2:$E$11,MATCH(F1105,Produtos!$A$2:$A$11,0))</f>
        <v>1800</v>
      </c>
      <c r="L1105" s="5" t="n">
        <f aca="false">H1105*K1105</f>
        <v>3600</v>
      </c>
    </row>
    <row r="1106" customFormat="false" ht="15" hidden="false" customHeight="false" outlineLevel="0" collapsed="false">
      <c r="A1106" s="2" t="s">
        <v>1388</v>
      </c>
      <c r="B1106" s="8" t="n">
        <v>46114</v>
      </c>
      <c r="C1106" s="2" t="s">
        <v>199</v>
      </c>
      <c r="D1106" s="3" t="str">
        <f aca="false">INDEX(Vendedores!$C$2:$C$101,MATCH(C1106,Vendedores!$A$2:$A$101,0))</f>
        <v>L08</v>
      </c>
      <c r="E1106" s="3" t="str">
        <f aca="false">INDEX(Lojas!$E$2:$E$11,MATCH(D1106,Lojas!$A$2:$A$11,0))</f>
        <v>Nordeste</v>
      </c>
      <c r="F1106" s="2" t="s">
        <v>260</v>
      </c>
      <c r="G1106" s="3" t="str">
        <f aca="false">INDEX(Produtos!$B$2:$B$11,MATCH(F1106,Produtos!$A$2:$A$11,0))&amp;" "&amp;INDEX(Produtos!$C$2:$C$11,MATCH(F1106,Produtos!$A$2:$A$11,0))</f>
        <v>Celular Motorola</v>
      </c>
      <c r="H1106" s="2" t="n">
        <v>1</v>
      </c>
      <c r="I1106" s="5" t="n">
        <f aca="false">INDEX(Produtos!$D$2:$D$11,MATCH(F1106,Produtos!$A$2:$A$11,0))</f>
        <v>1799</v>
      </c>
      <c r="J1106" s="5" t="n">
        <f aca="false">H1106*I1106</f>
        <v>1799</v>
      </c>
      <c r="K1106" s="5" t="n">
        <f aca="false">INDEX(Produtos!$E$2:$E$11,MATCH(F1106,Produtos!$A$2:$A$11,0))</f>
        <v>1250</v>
      </c>
      <c r="L1106" s="5" t="n">
        <f aca="false">H1106*K1106</f>
        <v>1250</v>
      </c>
    </row>
    <row r="1107" customFormat="false" ht="15" hidden="false" customHeight="false" outlineLevel="0" collapsed="false">
      <c r="A1107" s="2" t="s">
        <v>1389</v>
      </c>
      <c r="B1107" s="8" t="n">
        <v>46115</v>
      </c>
      <c r="C1107" s="2" t="s">
        <v>140</v>
      </c>
      <c r="D1107" s="3" t="str">
        <f aca="false">INDEX(Vendedores!$C$2:$C$101,MATCH(C1107,Vendedores!$A$2:$A$101,0))</f>
        <v>L05</v>
      </c>
      <c r="E1107" s="3" t="str">
        <f aca="false">INDEX(Lojas!$E$2:$E$11,MATCH(D1107,Lojas!$A$2:$A$11,0))</f>
        <v>Sul</v>
      </c>
      <c r="F1107" s="2" t="s">
        <v>275</v>
      </c>
      <c r="G1107" s="3" t="str">
        <f aca="false">INDEX(Produtos!$B$2:$B$11,MATCH(F1107,Produtos!$A$2:$A$11,0))&amp;" "&amp;INDEX(Produtos!$C$2:$C$11,MATCH(F1107,Produtos!$A$2:$A$11,0))</f>
        <v>Controle de Videogame PS5</v>
      </c>
      <c r="H1107" s="2" t="n">
        <v>1</v>
      </c>
      <c r="I1107" s="5" t="n">
        <f aca="false">INDEX(Produtos!$D$2:$D$11,MATCH(F1107,Produtos!$A$2:$A$11,0))</f>
        <v>379.9</v>
      </c>
      <c r="J1107" s="5" t="n">
        <f aca="false">H1107*I1107</f>
        <v>379.9</v>
      </c>
      <c r="K1107" s="5" t="n">
        <f aca="false">INDEX(Produtos!$E$2:$E$11,MATCH(F1107,Produtos!$A$2:$A$11,0))</f>
        <v>235</v>
      </c>
      <c r="L1107" s="5" t="n">
        <f aca="false">H1107*K1107</f>
        <v>235</v>
      </c>
    </row>
    <row r="1108" customFormat="false" ht="15" hidden="false" customHeight="false" outlineLevel="0" collapsed="false">
      <c r="A1108" s="2" t="s">
        <v>1390</v>
      </c>
      <c r="B1108" s="8" t="n">
        <v>46115</v>
      </c>
      <c r="C1108" s="2" t="s">
        <v>185</v>
      </c>
      <c r="D1108" s="3" t="str">
        <f aca="false">INDEX(Vendedores!$C$2:$C$101,MATCH(C1108,Vendedores!$A$2:$A$101,0))</f>
        <v>L08</v>
      </c>
      <c r="E1108" s="3" t="str">
        <f aca="false">INDEX(Lojas!$E$2:$E$11,MATCH(D1108,Lojas!$A$2:$A$11,0))</f>
        <v>Nordeste</v>
      </c>
      <c r="F1108" s="2" t="s">
        <v>260</v>
      </c>
      <c r="G1108" s="3" t="str">
        <f aca="false">INDEX(Produtos!$B$2:$B$11,MATCH(F1108,Produtos!$A$2:$A$11,0))&amp;" "&amp;INDEX(Produtos!$C$2:$C$11,MATCH(F1108,Produtos!$A$2:$A$11,0))</f>
        <v>Celular Motorola</v>
      </c>
      <c r="H1108" s="2" t="n">
        <v>2</v>
      </c>
      <c r="I1108" s="5" t="n">
        <f aca="false">INDEX(Produtos!$D$2:$D$11,MATCH(F1108,Produtos!$A$2:$A$11,0))</f>
        <v>1799</v>
      </c>
      <c r="J1108" s="5" t="n">
        <f aca="false">H1108*I1108</f>
        <v>3598</v>
      </c>
      <c r="K1108" s="5" t="n">
        <f aca="false">INDEX(Produtos!$E$2:$E$11,MATCH(F1108,Produtos!$A$2:$A$11,0))</f>
        <v>1250</v>
      </c>
      <c r="L1108" s="5" t="n">
        <f aca="false">H1108*K1108</f>
        <v>2500</v>
      </c>
    </row>
    <row r="1109" customFormat="false" ht="15" hidden="false" customHeight="false" outlineLevel="0" collapsed="false">
      <c r="A1109" s="2" t="s">
        <v>1391</v>
      </c>
      <c r="B1109" s="8" t="n">
        <v>46115</v>
      </c>
      <c r="C1109" s="2" t="s">
        <v>225</v>
      </c>
      <c r="D1109" s="3" t="str">
        <f aca="false">INDEX(Vendedores!$C$2:$C$101,MATCH(C1109,Vendedores!$A$2:$A$101,0))</f>
        <v>L10</v>
      </c>
      <c r="E1109" s="3" t="str">
        <f aca="false">INDEX(Lojas!$E$2:$E$11,MATCH(D1109,Lojas!$A$2:$A$11,0))</f>
        <v>Nordeste</v>
      </c>
      <c r="F1109" s="2" t="s">
        <v>267</v>
      </c>
      <c r="G1109" s="3" t="str">
        <f aca="false">INDEX(Produtos!$B$2:$B$11,MATCH(F1109,Produtos!$A$2:$A$11,0))&amp;" "&amp;INDEX(Produtos!$C$2:$C$11,MATCH(F1109,Produtos!$A$2:$A$11,0))</f>
        <v>Carregador de Celular Tipo C</v>
      </c>
      <c r="H1109" s="2" t="n">
        <v>1</v>
      </c>
      <c r="I1109" s="5" t="n">
        <f aca="false">INDEX(Produtos!$D$2:$D$11,MATCH(F1109,Produtos!$A$2:$A$11,0))</f>
        <v>44.9</v>
      </c>
      <c r="J1109" s="5" t="n">
        <f aca="false">H1109*I1109</f>
        <v>44.9</v>
      </c>
      <c r="K1109" s="5" t="n">
        <f aca="false">INDEX(Produtos!$E$2:$E$11,MATCH(F1109,Produtos!$A$2:$A$11,0))</f>
        <v>18</v>
      </c>
      <c r="L1109" s="5" t="n">
        <f aca="false">H1109*K1109</f>
        <v>18</v>
      </c>
    </row>
    <row r="1110" customFormat="false" ht="15" hidden="false" customHeight="false" outlineLevel="0" collapsed="false">
      <c r="A1110" s="2" t="s">
        <v>1392</v>
      </c>
      <c r="B1110" s="8" t="n">
        <v>46115</v>
      </c>
      <c r="C1110" s="2" t="s">
        <v>221</v>
      </c>
      <c r="D1110" s="3" t="str">
        <f aca="false">INDEX(Vendedores!$C$2:$C$101,MATCH(C1110,Vendedores!$A$2:$A$101,0))</f>
        <v>L09</v>
      </c>
      <c r="E1110" s="3" t="str">
        <f aca="false">INDEX(Lojas!$E$2:$E$11,MATCH(D1110,Lojas!$A$2:$A$11,0))</f>
        <v>Nordeste</v>
      </c>
      <c r="F1110" s="2" t="s">
        <v>267</v>
      </c>
      <c r="G1110" s="3" t="str">
        <f aca="false">INDEX(Produtos!$B$2:$B$11,MATCH(F1110,Produtos!$A$2:$A$11,0))&amp;" "&amp;INDEX(Produtos!$C$2:$C$11,MATCH(F1110,Produtos!$A$2:$A$11,0))</f>
        <v>Carregador de Celular Tipo C</v>
      </c>
      <c r="H1110" s="2" t="n">
        <v>2</v>
      </c>
      <c r="I1110" s="5" t="n">
        <f aca="false">INDEX(Produtos!$D$2:$D$11,MATCH(F1110,Produtos!$A$2:$A$11,0))</f>
        <v>44.9</v>
      </c>
      <c r="J1110" s="5" t="n">
        <f aca="false">H1110*I1110</f>
        <v>89.8</v>
      </c>
      <c r="K1110" s="5" t="n">
        <f aca="false">INDEX(Produtos!$E$2:$E$11,MATCH(F1110,Produtos!$A$2:$A$11,0))</f>
        <v>18</v>
      </c>
      <c r="L1110" s="5" t="n">
        <f aca="false">H1110*K1110</f>
        <v>36</v>
      </c>
    </row>
    <row r="1111" customFormat="false" ht="15" hidden="false" customHeight="false" outlineLevel="0" collapsed="false">
      <c r="A1111" s="2" t="s">
        <v>1393</v>
      </c>
      <c r="B1111" s="8" t="n">
        <v>46115</v>
      </c>
      <c r="C1111" s="2" t="s">
        <v>239</v>
      </c>
      <c r="D1111" s="3" t="str">
        <f aca="false">INDEX(Vendedores!$C$2:$C$101,MATCH(C1111,Vendedores!$A$2:$A$101,0))</f>
        <v>L10</v>
      </c>
      <c r="E1111" s="3" t="str">
        <f aca="false">INDEX(Lojas!$E$2:$E$11,MATCH(D1111,Lojas!$A$2:$A$11,0))</f>
        <v>Nordeste</v>
      </c>
      <c r="F1111" s="2" t="s">
        <v>267</v>
      </c>
      <c r="G1111" s="3" t="str">
        <f aca="false">INDEX(Produtos!$B$2:$B$11,MATCH(F1111,Produtos!$A$2:$A$11,0))&amp;" "&amp;INDEX(Produtos!$C$2:$C$11,MATCH(F1111,Produtos!$A$2:$A$11,0))</f>
        <v>Carregador de Celular Tipo C</v>
      </c>
      <c r="H1111" s="2" t="n">
        <v>2</v>
      </c>
      <c r="I1111" s="5" t="n">
        <f aca="false">INDEX(Produtos!$D$2:$D$11,MATCH(F1111,Produtos!$A$2:$A$11,0))</f>
        <v>44.9</v>
      </c>
      <c r="J1111" s="5" t="n">
        <f aca="false">H1111*I1111</f>
        <v>89.8</v>
      </c>
      <c r="K1111" s="5" t="n">
        <f aca="false">INDEX(Produtos!$E$2:$E$11,MATCH(F1111,Produtos!$A$2:$A$11,0))</f>
        <v>18</v>
      </c>
      <c r="L1111" s="5" t="n">
        <f aca="false">H1111*K1111</f>
        <v>36</v>
      </c>
    </row>
    <row r="1112" customFormat="false" ht="15" hidden="false" customHeight="false" outlineLevel="0" collapsed="false">
      <c r="A1112" s="2" t="s">
        <v>1394</v>
      </c>
      <c r="B1112" s="8" t="n">
        <v>46115</v>
      </c>
      <c r="C1112" s="2" t="s">
        <v>144</v>
      </c>
      <c r="D1112" s="3" t="str">
        <f aca="false">INDEX(Vendedores!$C$2:$C$101,MATCH(C1112,Vendedores!$A$2:$A$101,0))</f>
        <v>L05</v>
      </c>
      <c r="E1112" s="3" t="str">
        <f aca="false">INDEX(Lojas!$E$2:$E$11,MATCH(D1112,Lojas!$A$2:$A$11,0))</f>
        <v>Sul</v>
      </c>
      <c r="F1112" s="2" t="s">
        <v>260</v>
      </c>
      <c r="G1112" s="3" t="str">
        <f aca="false">INDEX(Produtos!$B$2:$B$11,MATCH(F1112,Produtos!$A$2:$A$11,0))&amp;" "&amp;INDEX(Produtos!$C$2:$C$11,MATCH(F1112,Produtos!$A$2:$A$11,0))</f>
        <v>Celular Motorola</v>
      </c>
      <c r="H1112" s="2" t="n">
        <v>1</v>
      </c>
      <c r="I1112" s="5" t="n">
        <f aca="false">INDEX(Produtos!$D$2:$D$11,MATCH(F1112,Produtos!$A$2:$A$11,0))</f>
        <v>1799</v>
      </c>
      <c r="J1112" s="5" t="n">
        <f aca="false">H1112*I1112</f>
        <v>1799</v>
      </c>
      <c r="K1112" s="5" t="n">
        <f aca="false">INDEX(Produtos!$E$2:$E$11,MATCH(F1112,Produtos!$A$2:$A$11,0))</f>
        <v>1250</v>
      </c>
      <c r="L1112" s="5" t="n">
        <f aca="false">H1112*K1112</f>
        <v>1250</v>
      </c>
    </row>
    <row r="1113" customFormat="false" ht="15" hidden="false" customHeight="false" outlineLevel="0" collapsed="false">
      <c r="A1113" s="2" t="s">
        <v>1395</v>
      </c>
      <c r="B1113" s="8" t="n">
        <v>46115</v>
      </c>
      <c r="C1113" s="2" t="s">
        <v>213</v>
      </c>
      <c r="D1113" s="3" t="str">
        <f aca="false">INDEX(Vendedores!$C$2:$C$101,MATCH(C1113,Vendedores!$A$2:$A$101,0))</f>
        <v>L09</v>
      </c>
      <c r="E1113" s="3" t="str">
        <f aca="false">INDEX(Lojas!$E$2:$E$11,MATCH(D1113,Lojas!$A$2:$A$11,0))</f>
        <v>Nordeste</v>
      </c>
      <c r="F1113" s="2" t="s">
        <v>260</v>
      </c>
      <c r="G1113" s="3" t="str">
        <f aca="false">INDEX(Produtos!$B$2:$B$11,MATCH(F1113,Produtos!$A$2:$A$11,0))&amp;" "&amp;INDEX(Produtos!$C$2:$C$11,MATCH(F1113,Produtos!$A$2:$A$11,0))</f>
        <v>Celular Motorola</v>
      </c>
      <c r="H1113" s="2" t="n">
        <v>2</v>
      </c>
      <c r="I1113" s="5" t="n">
        <f aca="false">INDEX(Produtos!$D$2:$D$11,MATCH(F1113,Produtos!$A$2:$A$11,0))</f>
        <v>1799</v>
      </c>
      <c r="J1113" s="5" t="n">
        <f aca="false">H1113*I1113</f>
        <v>3598</v>
      </c>
      <c r="K1113" s="5" t="n">
        <f aca="false">INDEX(Produtos!$E$2:$E$11,MATCH(F1113,Produtos!$A$2:$A$11,0))</f>
        <v>1250</v>
      </c>
      <c r="L1113" s="5" t="n">
        <f aca="false">H1113*K1113</f>
        <v>2500</v>
      </c>
    </row>
    <row r="1114" customFormat="false" ht="15" hidden="false" customHeight="false" outlineLevel="0" collapsed="false">
      <c r="A1114" s="2" t="s">
        <v>1396</v>
      </c>
      <c r="B1114" s="8" t="n">
        <v>46115</v>
      </c>
      <c r="C1114" s="2" t="s">
        <v>172</v>
      </c>
      <c r="D1114" s="3" t="str">
        <f aca="false">INDEX(Vendedores!$C$2:$C$101,MATCH(C1114,Vendedores!$A$2:$A$101,0))</f>
        <v>L07</v>
      </c>
      <c r="E1114" s="3" t="str">
        <f aca="false">INDEX(Lojas!$E$2:$E$11,MATCH(D1114,Lojas!$A$2:$A$11,0))</f>
        <v>Sul</v>
      </c>
      <c r="F1114" s="2" t="s">
        <v>273</v>
      </c>
      <c r="G1114" s="3" t="str">
        <f aca="false">INDEX(Produtos!$B$2:$B$11,MATCH(F1114,Produtos!$A$2:$A$11,0))&amp;" "&amp;INDEX(Produtos!$C$2:$C$11,MATCH(F1114,Produtos!$A$2:$A$11,0))</f>
        <v>Controle de Videogame PS4</v>
      </c>
      <c r="H1114" s="2" t="n">
        <v>2</v>
      </c>
      <c r="I1114" s="5" t="n">
        <f aca="false">INDEX(Produtos!$D$2:$D$11,MATCH(F1114,Produtos!$A$2:$A$11,0))</f>
        <v>299.9</v>
      </c>
      <c r="J1114" s="5" t="n">
        <f aca="false">H1114*I1114</f>
        <v>599.8</v>
      </c>
      <c r="K1114" s="5" t="n">
        <f aca="false">INDEX(Produtos!$E$2:$E$11,MATCH(F1114,Produtos!$A$2:$A$11,0))</f>
        <v>175</v>
      </c>
      <c r="L1114" s="5" t="n">
        <f aca="false">H1114*K1114</f>
        <v>350</v>
      </c>
    </row>
    <row r="1115" customFormat="false" ht="15" hidden="false" customHeight="false" outlineLevel="0" collapsed="false">
      <c r="A1115" s="2" t="s">
        <v>1397</v>
      </c>
      <c r="B1115" s="8" t="n">
        <v>46115</v>
      </c>
      <c r="C1115" s="2" t="s">
        <v>231</v>
      </c>
      <c r="D1115" s="3" t="str">
        <f aca="false">INDEX(Vendedores!$C$2:$C$101,MATCH(C1115,Vendedores!$A$2:$A$101,0))</f>
        <v>L10</v>
      </c>
      <c r="E1115" s="3" t="str">
        <f aca="false">INDEX(Lojas!$E$2:$E$11,MATCH(D1115,Lojas!$A$2:$A$11,0))</f>
        <v>Nordeste</v>
      </c>
      <c r="F1115" s="2" t="s">
        <v>273</v>
      </c>
      <c r="G1115" s="3" t="str">
        <f aca="false">INDEX(Produtos!$B$2:$B$11,MATCH(F1115,Produtos!$A$2:$A$11,0))&amp;" "&amp;INDEX(Produtos!$C$2:$C$11,MATCH(F1115,Produtos!$A$2:$A$11,0))</f>
        <v>Controle de Videogame PS4</v>
      </c>
      <c r="H1115" s="2" t="n">
        <v>2</v>
      </c>
      <c r="I1115" s="5" t="n">
        <f aca="false">INDEX(Produtos!$D$2:$D$11,MATCH(F1115,Produtos!$A$2:$A$11,0))</f>
        <v>299.9</v>
      </c>
      <c r="J1115" s="5" t="n">
        <f aca="false">H1115*I1115</f>
        <v>599.8</v>
      </c>
      <c r="K1115" s="5" t="n">
        <f aca="false">INDEX(Produtos!$E$2:$E$11,MATCH(F1115,Produtos!$A$2:$A$11,0))</f>
        <v>175</v>
      </c>
      <c r="L1115" s="5" t="n">
        <f aca="false">H1115*K1115</f>
        <v>350</v>
      </c>
    </row>
    <row r="1116" customFormat="false" ht="15" hidden="false" customHeight="false" outlineLevel="0" collapsed="false">
      <c r="A1116" s="2" t="s">
        <v>1398</v>
      </c>
      <c r="B1116" s="8" t="n">
        <v>46115</v>
      </c>
      <c r="C1116" s="2" t="s">
        <v>211</v>
      </c>
      <c r="D1116" s="3" t="str">
        <f aca="false">INDEX(Vendedores!$C$2:$C$101,MATCH(C1116,Vendedores!$A$2:$A$101,0))</f>
        <v>L09</v>
      </c>
      <c r="E1116" s="3" t="str">
        <f aca="false">INDEX(Lojas!$E$2:$E$11,MATCH(D1116,Lojas!$A$2:$A$11,0))</f>
        <v>Nordeste</v>
      </c>
      <c r="F1116" s="2" t="s">
        <v>265</v>
      </c>
      <c r="G1116" s="3" t="str">
        <f aca="false">INDEX(Produtos!$B$2:$B$11,MATCH(F1116,Produtos!$A$2:$A$11,0))&amp;" "&amp;INDEX(Produtos!$C$2:$C$11,MATCH(F1116,Produtos!$A$2:$A$11,0))</f>
        <v>Fone de Ouvido Headset</v>
      </c>
      <c r="H1116" s="2" t="n">
        <v>1</v>
      </c>
      <c r="I1116" s="5" t="n">
        <f aca="false">INDEX(Produtos!$D$2:$D$11,MATCH(F1116,Produtos!$A$2:$A$11,0))</f>
        <v>249.9</v>
      </c>
      <c r="J1116" s="5" t="n">
        <f aca="false">H1116*I1116</f>
        <v>249.9</v>
      </c>
      <c r="K1116" s="5" t="n">
        <f aca="false">INDEX(Produtos!$E$2:$E$11,MATCH(F1116,Produtos!$A$2:$A$11,0))</f>
        <v>145</v>
      </c>
      <c r="L1116" s="5" t="n">
        <f aca="false">H1116*K1116</f>
        <v>145</v>
      </c>
    </row>
    <row r="1117" customFormat="false" ht="15" hidden="false" customHeight="false" outlineLevel="0" collapsed="false">
      <c r="A1117" s="2" t="s">
        <v>1399</v>
      </c>
      <c r="B1117" s="8" t="n">
        <v>46116</v>
      </c>
      <c r="C1117" s="2" t="s">
        <v>187</v>
      </c>
      <c r="D1117" s="3" t="str">
        <f aca="false">INDEX(Vendedores!$C$2:$C$101,MATCH(C1117,Vendedores!$A$2:$A$101,0))</f>
        <v>L08</v>
      </c>
      <c r="E1117" s="3" t="str">
        <f aca="false">INDEX(Lojas!$E$2:$E$11,MATCH(D1117,Lojas!$A$2:$A$11,0))</f>
        <v>Nordeste</v>
      </c>
      <c r="F1117" s="2" t="s">
        <v>267</v>
      </c>
      <c r="G1117" s="3" t="str">
        <f aca="false">INDEX(Produtos!$B$2:$B$11,MATCH(F1117,Produtos!$A$2:$A$11,0))&amp;" "&amp;INDEX(Produtos!$C$2:$C$11,MATCH(F1117,Produtos!$A$2:$A$11,0))</f>
        <v>Carregador de Celular Tipo C</v>
      </c>
      <c r="H1117" s="2" t="n">
        <v>1</v>
      </c>
      <c r="I1117" s="5" t="n">
        <f aca="false">INDEX(Produtos!$D$2:$D$11,MATCH(F1117,Produtos!$A$2:$A$11,0))</f>
        <v>44.9</v>
      </c>
      <c r="J1117" s="5" t="n">
        <f aca="false">H1117*I1117</f>
        <v>44.9</v>
      </c>
      <c r="K1117" s="5" t="n">
        <f aca="false">INDEX(Produtos!$E$2:$E$11,MATCH(F1117,Produtos!$A$2:$A$11,0))</f>
        <v>18</v>
      </c>
      <c r="L1117" s="5" t="n">
        <f aca="false">H1117*K1117</f>
        <v>18</v>
      </c>
    </row>
    <row r="1118" customFormat="false" ht="15" hidden="false" customHeight="false" outlineLevel="0" collapsed="false">
      <c r="A1118" s="2" t="s">
        <v>1400</v>
      </c>
      <c r="B1118" s="8" t="n">
        <v>46116</v>
      </c>
      <c r="C1118" s="2" t="s">
        <v>231</v>
      </c>
      <c r="D1118" s="3" t="str">
        <f aca="false">INDEX(Vendedores!$C$2:$C$101,MATCH(C1118,Vendedores!$A$2:$A$101,0))</f>
        <v>L10</v>
      </c>
      <c r="E1118" s="3" t="str">
        <f aca="false">INDEX(Lojas!$E$2:$E$11,MATCH(D1118,Lojas!$A$2:$A$11,0))</f>
        <v>Nordeste</v>
      </c>
      <c r="F1118" s="2" t="s">
        <v>257</v>
      </c>
      <c r="G1118" s="3" t="str">
        <f aca="false">INDEX(Produtos!$B$2:$B$11,MATCH(F1118,Produtos!$A$2:$A$11,0))&amp;" "&amp;INDEX(Produtos!$C$2:$C$11,MATCH(F1118,Produtos!$A$2:$A$11,0))</f>
        <v>Celular Samsung</v>
      </c>
      <c r="H1118" s="2" t="n">
        <v>2</v>
      </c>
      <c r="I1118" s="5" t="n">
        <f aca="false">INDEX(Produtos!$D$2:$D$11,MATCH(F1118,Produtos!$A$2:$A$11,0))</f>
        <v>2499</v>
      </c>
      <c r="J1118" s="5" t="n">
        <f aca="false">H1118*I1118</f>
        <v>4998</v>
      </c>
      <c r="K1118" s="5" t="n">
        <f aca="false">INDEX(Produtos!$E$2:$E$11,MATCH(F1118,Produtos!$A$2:$A$11,0))</f>
        <v>1800</v>
      </c>
      <c r="L1118" s="5" t="n">
        <f aca="false">H1118*K1118</f>
        <v>3600</v>
      </c>
    </row>
    <row r="1119" customFormat="false" ht="15" hidden="false" customHeight="false" outlineLevel="0" collapsed="false">
      <c r="A1119" s="2" t="s">
        <v>1401</v>
      </c>
      <c r="B1119" s="8" t="n">
        <v>46116</v>
      </c>
      <c r="C1119" s="2" t="s">
        <v>66</v>
      </c>
      <c r="D1119" s="3" t="str">
        <f aca="false">INDEX(Vendedores!$C$2:$C$101,MATCH(C1119,Vendedores!$A$2:$A$101,0))</f>
        <v>L01</v>
      </c>
      <c r="E1119" s="3" t="str">
        <f aca="false">INDEX(Lojas!$E$2:$E$11,MATCH(D1119,Lojas!$A$2:$A$11,0))</f>
        <v>Sudeste</v>
      </c>
      <c r="F1119" s="2" t="s">
        <v>273</v>
      </c>
      <c r="G1119" s="3" t="str">
        <f aca="false">INDEX(Produtos!$B$2:$B$11,MATCH(F1119,Produtos!$A$2:$A$11,0))&amp;" "&amp;INDEX(Produtos!$C$2:$C$11,MATCH(F1119,Produtos!$A$2:$A$11,0))</f>
        <v>Controle de Videogame PS4</v>
      </c>
      <c r="H1119" s="2" t="n">
        <v>1</v>
      </c>
      <c r="I1119" s="5" t="n">
        <f aca="false">INDEX(Produtos!$D$2:$D$11,MATCH(F1119,Produtos!$A$2:$A$11,0))</f>
        <v>299.9</v>
      </c>
      <c r="J1119" s="5" t="n">
        <f aca="false">H1119*I1119</f>
        <v>299.9</v>
      </c>
      <c r="K1119" s="5" t="n">
        <f aca="false">INDEX(Produtos!$E$2:$E$11,MATCH(F1119,Produtos!$A$2:$A$11,0))</f>
        <v>175</v>
      </c>
      <c r="L1119" s="5" t="n">
        <f aca="false">H1119*K1119</f>
        <v>175</v>
      </c>
    </row>
    <row r="1120" customFormat="false" ht="15" hidden="false" customHeight="false" outlineLevel="0" collapsed="false">
      <c r="A1120" s="2" t="s">
        <v>1402</v>
      </c>
      <c r="B1120" s="8" t="n">
        <v>46116</v>
      </c>
      <c r="C1120" s="2" t="s">
        <v>100</v>
      </c>
      <c r="D1120" s="3" t="str">
        <f aca="false">INDEX(Vendedores!$C$2:$C$101,MATCH(C1120,Vendedores!$A$2:$A$101,0))</f>
        <v>L03</v>
      </c>
      <c r="E1120" s="3" t="str">
        <f aca="false">INDEX(Lojas!$E$2:$E$11,MATCH(D1120,Lojas!$A$2:$A$11,0))</f>
        <v>Sudeste</v>
      </c>
      <c r="F1120" s="2" t="s">
        <v>265</v>
      </c>
      <c r="G1120" s="3" t="str">
        <f aca="false">INDEX(Produtos!$B$2:$B$11,MATCH(F1120,Produtos!$A$2:$A$11,0))&amp;" "&amp;INDEX(Produtos!$C$2:$C$11,MATCH(F1120,Produtos!$A$2:$A$11,0))</f>
        <v>Fone de Ouvido Headset</v>
      </c>
      <c r="H1120" s="2" t="n">
        <v>1</v>
      </c>
      <c r="I1120" s="5" t="n">
        <f aca="false">INDEX(Produtos!$D$2:$D$11,MATCH(F1120,Produtos!$A$2:$A$11,0))</f>
        <v>249.9</v>
      </c>
      <c r="J1120" s="5" t="n">
        <f aca="false">H1120*I1120</f>
        <v>249.9</v>
      </c>
      <c r="K1120" s="5" t="n">
        <f aca="false">INDEX(Produtos!$E$2:$E$11,MATCH(F1120,Produtos!$A$2:$A$11,0))</f>
        <v>145</v>
      </c>
      <c r="L1120" s="5" t="n">
        <f aca="false">H1120*K1120</f>
        <v>145</v>
      </c>
    </row>
    <row r="1121" customFormat="false" ht="15" hidden="false" customHeight="false" outlineLevel="0" collapsed="false">
      <c r="A1121" s="2" t="s">
        <v>1403</v>
      </c>
      <c r="B1121" s="8" t="n">
        <v>46116</v>
      </c>
      <c r="C1121" s="2" t="s">
        <v>122</v>
      </c>
      <c r="D1121" s="3" t="str">
        <f aca="false">INDEX(Vendedores!$C$2:$C$101,MATCH(C1121,Vendedores!$A$2:$A$101,0))</f>
        <v>L04</v>
      </c>
      <c r="E1121" s="3" t="str">
        <f aca="false">INDEX(Lojas!$E$2:$E$11,MATCH(D1121,Lojas!$A$2:$A$11,0))</f>
        <v>Sudeste</v>
      </c>
      <c r="F1121" s="2" t="s">
        <v>265</v>
      </c>
      <c r="G1121" s="3" t="str">
        <f aca="false">INDEX(Produtos!$B$2:$B$11,MATCH(F1121,Produtos!$A$2:$A$11,0))&amp;" "&amp;INDEX(Produtos!$C$2:$C$11,MATCH(F1121,Produtos!$A$2:$A$11,0))</f>
        <v>Fone de Ouvido Headset</v>
      </c>
      <c r="H1121" s="2" t="n">
        <v>1</v>
      </c>
      <c r="I1121" s="5" t="n">
        <f aca="false">INDEX(Produtos!$D$2:$D$11,MATCH(F1121,Produtos!$A$2:$A$11,0))</f>
        <v>249.9</v>
      </c>
      <c r="J1121" s="5" t="n">
        <f aca="false">H1121*I1121</f>
        <v>249.9</v>
      </c>
      <c r="K1121" s="5" t="n">
        <f aca="false">INDEX(Produtos!$E$2:$E$11,MATCH(F1121,Produtos!$A$2:$A$11,0))</f>
        <v>145</v>
      </c>
      <c r="L1121" s="5" t="n">
        <f aca="false">H1121*K1121</f>
        <v>145</v>
      </c>
    </row>
    <row r="1122" customFormat="false" ht="15" hidden="false" customHeight="false" outlineLevel="0" collapsed="false">
      <c r="A1122" s="2" t="s">
        <v>1404</v>
      </c>
      <c r="B1122" s="8" t="n">
        <v>46116</v>
      </c>
      <c r="C1122" s="2" t="s">
        <v>221</v>
      </c>
      <c r="D1122" s="3" t="str">
        <f aca="false">INDEX(Vendedores!$C$2:$C$101,MATCH(C1122,Vendedores!$A$2:$A$101,0))</f>
        <v>L09</v>
      </c>
      <c r="E1122" s="3" t="str">
        <f aca="false">INDEX(Lojas!$E$2:$E$11,MATCH(D1122,Lojas!$A$2:$A$11,0))</f>
        <v>Nordeste</v>
      </c>
      <c r="F1122" s="2" t="s">
        <v>255</v>
      </c>
      <c r="G1122" s="3" t="str">
        <f aca="false">INDEX(Produtos!$B$2:$B$11,MATCH(F1122,Produtos!$A$2:$A$11,0))&amp;" "&amp;INDEX(Produtos!$C$2:$C$11,MATCH(F1122,Produtos!$A$2:$A$11,0))</f>
        <v>Notebook Positivo</v>
      </c>
      <c r="H1122" s="2" t="n">
        <v>2</v>
      </c>
      <c r="I1122" s="5" t="n">
        <f aca="false">INDEX(Produtos!$D$2:$D$11,MATCH(F1122,Produtos!$A$2:$A$11,0))</f>
        <v>2199</v>
      </c>
      <c r="J1122" s="5" t="n">
        <f aca="false">H1122*I1122</f>
        <v>4398</v>
      </c>
      <c r="K1122" s="5" t="n">
        <f aca="false">INDEX(Produtos!$E$2:$E$11,MATCH(F1122,Produtos!$A$2:$A$11,0))</f>
        <v>1550</v>
      </c>
      <c r="L1122" s="5" t="n">
        <f aca="false">H1122*K1122</f>
        <v>3100</v>
      </c>
    </row>
    <row r="1123" customFormat="false" ht="15" hidden="false" customHeight="false" outlineLevel="0" collapsed="false">
      <c r="A1123" s="2" t="s">
        <v>1405</v>
      </c>
      <c r="B1123" s="8" t="n">
        <v>46116</v>
      </c>
      <c r="C1123" s="2" t="s">
        <v>74</v>
      </c>
      <c r="D1123" s="3" t="str">
        <f aca="false">INDEX(Vendedores!$C$2:$C$101,MATCH(C1123,Vendedores!$A$2:$A$101,0))</f>
        <v>L02</v>
      </c>
      <c r="E1123" s="3" t="str">
        <f aca="false">INDEX(Lojas!$E$2:$E$11,MATCH(D1123,Lojas!$A$2:$A$11,0))</f>
        <v>Sudeste</v>
      </c>
      <c r="F1123" s="2" t="s">
        <v>273</v>
      </c>
      <c r="G1123" s="3" t="str">
        <f aca="false">INDEX(Produtos!$B$2:$B$11,MATCH(F1123,Produtos!$A$2:$A$11,0))&amp;" "&amp;INDEX(Produtos!$C$2:$C$11,MATCH(F1123,Produtos!$A$2:$A$11,0))</f>
        <v>Controle de Videogame PS4</v>
      </c>
      <c r="H1123" s="2" t="n">
        <v>1</v>
      </c>
      <c r="I1123" s="5" t="n">
        <f aca="false">INDEX(Produtos!$D$2:$D$11,MATCH(F1123,Produtos!$A$2:$A$11,0))</f>
        <v>299.9</v>
      </c>
      <c r="J1123" s="5" t="n">
        <f aca="false">H1123*I1123</f>
        <v>299.9</v>
      </c>
      <c r="K1123" s="5" t="n">
        <f aca="false">INDEX(Produtos!$E$2:$E$11,MATCH(F1123,Produtos!$A$2:$A$11,0))</f>
        <v>175</v>
      </c>
      <c r="L1123" s="5" t="n">
        <f aca="false">H1123*K1123</f>
        <v>175</v>
      </c>
    </row>
    <row r="1124" customFormat="false" ht="15" hidden="false" customHeight="false" outlineLevel="0" collapsed="false">
      <c r="A1124" s="2" t="s">
        <v>1406</v>
      </c>
      <c r="B1124" s="8" t="n">
        <v>46117</v>
      </c>
      <c r="C1124" s="2" t="s">
        <v>144</v>
      </c>
      <c r="D1124" s="3" t="str">
        <f aca="false">INDEX(Vendedores!$C$2:$C$101,MATCH(C1124,Vendedores!$A$2:$A$101,0))</f>
        <v>L05</v>
      </c>
      <c r="E1124" s="3" t="str">
        <f aca="false">INDEX(Lojas!$E$2:$E$11,MATCH(D1124,Lojas!$A$2:$A$11,0))</f>
        <v>Sul</v>
      </c>
      <c r="F1124" s="2" t="s">
        <v>262</v>
      </c>
      <c r="G1124" s="3" t="str">
        <f aca="false">INDEX(Produtos!$B$2:$B$11,MATCH(F1124,Produtos!$A$2:$A$11,0))&amp;" "&amp;INDEX(Produtos!$C$2:$C$11,MATCH(F1124,Produtos!$A$2:$A$11,0))</f>
        <v>Fone de Ouvido De Celular</v>
      </c>
      <c r="H1124" s="2" t="n">
        <v>2</v>
      </c>
      <c r="I1124" s="5" t="n">
        <f aca="false">INDEX(Produtos!$D$2:$D$11,MATCH(F1124,Produtos!$A$2:$A$11,0))</f>
        <v>59.9</v>
      </c>
      <c r="J1124" s="5" t="n">
        <f aca="false">H1124*I1124</f>
        <v>119.8</v>
      </c>
      <c r="K1124" s="5" t="n">
        <f aca="false">INDEX(Produtos!$E$2:$E$11,MATCH(F1124,Produtos!$A$2:$A$11,0))</f>
        <v>28</v>
      </c>
      <c r="L1124" s="5" t="n">
        <f aca="false">H1124*K1124</f>
        <v>56</v>
      </c>
    </row>
    <row r="1125" customFormat="false" ht="15" hidden="false" customHeight="false" outlineLevel="0" collapsed="false">
      <c r="A1125" s="2" t="s">
        <v>1407</v>
      </c>
      <c r="B1125" s="8" t="n">
        <v>46117</v>
      </c>
      <c r="C1125" s="2" t="s">
        <v>135</v>
      </c>
      <c r="D1125" s="3" t="str">
        <f aca="false">INDEX(Vendedores!$C$2:$C$101,MATCH(C1125,Vendedores!$A$2:$A$101,0))</f>
        <v>L05</v>
      </c>
      <c r="E1125" s="3" t="str">
        <f aca="false">INDEX(Lojas!$E$2:$E$11,MATCH(D1125,Lojas!$A$2:$A$11,0))</f>
        <v>Sul</v>
      </c>
      <c r="F1125" s="2" t="s">
        <v>275</v>
      </c>
      <c r="G1125" s="3" t="str">
        <f aca="false">INDEX(Produtos!$B$2:$B$11,MATCH(F1125,Produtos!$A$2:$A$11,0))&amp;" "&amp;INDEX(Produtos!$C$2:$C$11,MATCH(F1125,Produtos!$A$2:$A$11,0))</f>
        <v>Controle de Videogame PS5</v>
      </c>
      <c r="H1125" s="2" t="n">
        <v>1</v>
      </c>
      <c r="I1125" s="5" t="n">
        <f aca="false">INDEX(Produtos!$D$2:$D$11,MATCH(F1125,Produtos!$A$2:$A$11,0))</f>
        <v>379.9</v>
      </c>
      <c r="J1125" s="5" t="n">
        <f aca="false">H1125*I1125</f>
        <v>379.9</v>
      </c>
      <c r="K1125" s="5" t="n">
        <f aca="false">INDEX(Produtos!$E$2:$E$11,MATCH(F1125,Produtos!$A$2:$A$11,0))</f>
        <v>235</v>
      </c>
      <c r="L1125" s="5" t="n">
        <f aca="false">H1125*K1125</f>
        <v>235</v>
      </c>
    </row>
    <row r="1126" customFormat="false" ht="15" hidden="false" customHeight="false" outlineLevel="0" collapsed="false">
      <c r="A1126" s="2" t="s">
        <v>1408</v>
      </c>
      <c r="B1126" s="8" t="n">
        <v>46117</v>
      </c>
      <c r="C1126" s="2" t="s">
        <v>112</v>
      </c>
      <c r="D1126" s="3" t="str">
        <f aca="false">INDEX(Vendedores!$C$2:$C$101,MATCH(C1126,Vendedores!$A$2:$A$101,0))</f>
        <v>L04</v>
      </c>
      <c r="E1126" s="3" t="str">
        <f aca="false">INDEX(Lojas!$E$2:$E$11,MATCH(D1126,Lojas!$A$2:$A$11,0))</f>
        <v>Sudeste</v>
      </c>
      <c r="F1126" s="2" t="s">
        <v>257</v>
      </c>
      <c r="G1126" s="3" t="str">
        <f aca="false">INDEX(Produtos!$B$2:$B$11,MATCH(F1126,Produtos!$A$2:$A$11,0))&amp;" "&amp;INDEX(Produtos!$C$2:$C$11,MATCH(F1126,Produtos!$A$2:$A$11,0))</f>
        <v>Celular Samsung</v>
      </c>
      <c r="H1126" s="2" t="n">
        <v>2</v>
      </c>
      <c r="I1126" s="5" t="n">
        <f aca="false">INDEX(Produtos!$D$2:$D$11,MATCH(F1126,Produtos!$A$2:$A$11,0))</f>
        <v>2499</v>
      </c>
      <c r="J1126" s="5" t="n">
        <f aca="false">H1126*I1126</f>
        <v>4998</v>
      </c>
      <c r="K1126" s="5" t="n">
        <f aca="false">INDEX(Produtos!$E$2:$E$11,MATCH(F1126,Produtos!$A$2:$A$11,0))</f>
        <v>1800</v>
      </c>
      <c r="L1126" s="5" t="n">
        <f aca="false">H1126*K1126</f>
        <v>3600</v>
      </c>
    </row>
    <row r="1127" customFormat="false" ht="15" hidden="false" customHeight="false" outlineLevel="0" collapsed="false">
      <c r="A1127" s="2" t="s">
        <v>1409</v>
      </c>
      <c r="B1127" s="8" t="n">
        <v>46117</v>
      </c>
      <c r="C1127" s="2" t="s">
        <v>52</v>
      </c>
      <c r="D1127" s="3" t="str">
        <f aca="false">INDEX(Vendedores!$C$2:$C$101,MATCH(C1127,Vendedores!$A$2:$A$101,0))</f>
        <v>L01</v>
      </c>
      <c r="E1127" s="3" t="str">
        <f aca="false">INDEX(Lojas!$E$2:$E$11,MATCH(D1127,Lojas!$A$2:$A$11,0))</f>
        <v>Sudeste</v>
      </c>
      <c r="F1127" s="2" t="s">
        <v>257</v>
      </c>
      <c r="G1127" s="3" t="str">
        <f aca="false">INDEX(Produtos!$B$2:$B$11,MATCH(F1127,Produtos!$A$2:$A$11,0))&amp;" "&amp;INDEX(Produtos!$C$2:$C$11,MATCH(F1127,Produtos!$A$2:$A$11,0))</f>
        <v>Celular Samsung</v>
      </c>
      <c r="H1127" s="2" t="n">
        <v>1</v>
      </c>
      <c r="I1127" s="5" t="n">
        <f aca="false">INDEX(Produtos!$D$2:$D$11,MATCH(F1127,Produtos!$A$2:$A$11,0))</f>
        <v>2499</v>
      </c>
      <c r="J1127" s="5" t="n">
        <f aca="false">H1127*I1127</f>
        <v>2499</v>
      </c>
      <c r="K1127" s="5" t="n">
        <f aca="false">INDEX(Produtos!$E$2:$E$11,MATCH(F1127,Produtos!$A$2:$A$11,0))</f>
        <v>1800</v>
      </c>
      <c r="L1127" s="5" t="n">
        <f aca="false">H1127*K1127</f>
        <v>1800</v>
      </c>
    </row>
    <row r="1128" customFormat="false" ht="15" hidden="false" customHeight="false" outlineLevel="0" collapsed="false">
      <c r="A1128" s="2" t="s">
        <v>1410</v>
      </c>
      <c r="B1128" s="8" t="n">
        <v>46117</v>
      </c>
      <c r="C1128" s="2" t="s">
        <v>146</v>
      </c>
      <c r="D1128" s="3" t="str">
        <f aca="false">INDEX(Vendedores!$C$2:$C$101,MATCH(C1128,Vendedores!$A$2:$A$101,0))</f>
        <v>L05</v>
      </c>
      <c r="E1128" s="3" t="str">
        <f aca="false">INDEX(Lojas!$E$2:$E$11,MATCH(D1128,Lojas!$A$2:$A$11,0))</f>
        <v>Sul</v>
      </c>
      <c r="F1128" s="2" t="s">
        <v>257</v>
      </c>
      <c r="G1128" s="3" t="str">
        <f aca="false">INDEX(Produtos!$B$2:$B$11,MATCH(F1128,Produtos!$A$2:$A$11,0))&amp;" "&amp;INDEX(Produtos!$C$2:$C$11,MATCH(F1128,Produtos!$A$2:$A$11,0))</f>
        <v>Celular Samsung</v>
      </c>
      <c r="H1128" s="2" t="n">
        <v>1</v>
      </c>
      <c r="I1128" s="5" t="n">
        <f aca="false">INDEX(Produtos!$D$2:$D$11,MATCH(F1128,Produtos!$A$2:$A$11,0))</f>
        <v>2499</v>
      </c>
      <c r="J1128" s="5" t="n">
        <f aca="false">H1128*I1128</f>
        <v>2499</v>
      </c>
      <c r="K1128" s="5" t="n">
        <f aca="false">INDEX(Produtos!$E$2:$E$11,MATCH(F1128,Produtos!$A$2:$A$11,0))</f>
        <v>1800</v>
      </c>
      <c r="L1128" s="5" t="n">
        <f aca="false">H1128*K1128</f>
        <v>1800</v>
      </c>
    </row>
    <row r="1129" customFormat="false" ht="15" hidden="false" customHeight="false" outlineLevel="0" collapsed="false">
      <c r="A1129" s="2" t="s">
        <v>1411</v>
      </c>
      <c r="B1129" s="8" t="n">
        <v>46117</v>
      </c>
      <c r="C1129" s="2" t="s">
        <v>82</v>
      </c>
      <c r="D1129" s="3" t="str">
        <f aca="false">INDEX(Vendedores!$C$2:$C$101,MATCH(C1129,Vendedores!$A$2:$A$101,0))</f>
        <v>L02</v>
      </c>
      <c r="E1129" s="3" t="str">
        <f aca="false">INDEX(Lojas!$E$2:$E$11,MATCH(D1129,Lojas!$A$2:$A$11,0))</f>
        <v>Sudeste</v>
      </c>
      <c r="F1129" s="2" t="s">
        <v>252</v>
      </c>
      <c r="G1129" s="3" t="str">
        <f aca="false">INDEX(Produtos!$B$2:$B$11,MATCH(F1129,Produtos!$A$2:$A$11,0))&amp;" "&amp;INDEX(Produtos!$C$2:$C$11,MATCH(F1129,Produtos!$A$2:$A$11,0))</f>
        <v>Notebook Lenovo</v>
      </c>
      <c r="H1129" s="2" t="n">
        <v>1</v>
      </c>
      <c r="I1129" s="5" t="n">
        <f aca="false">INDEX(Produtos!$D$2:$D$11,MATCH(F1129,Produtos!$A$2:$A$11,0))</f>
        <v>3199</v>
      </c>
      <c r="J1129" s="5" t="n">
        <f aca="false">H1129*I1129</f>
        <v>3199</v>
      </c>
      <c r="K1129" s="5" t="n">
        <f aca="false">INDEX(Produtos!$E$2:$E$11,MATCH(F1129,Produtos!$A$2:$A$11,0))</f>
        <v>2350</v>
      </c>
      <c r="L1129" s="5" t="n">
        <f aca="false">H1129*K1129</f>
        <v>2350</v>
      </c>
    </row>
    <row r="1130" customFormat="false" ht="15" hidden="false" customHeight="false" outlineLevel="0" collapsed="false">
      <c r="A1130" s="2" t="s">
        <v>1412</v>
      </c>
      <c r="B1130" s="8" t="n">
        <v>46117</v>
      </c>
      <c r="C1130" s="2" t="s">
        <v>237</v>
      </c>
      <c r="D1130" s="3" t="str">
        <f aca="false">INDEX(Vendedores!$C$2:$C$101,MATCH(C1130,Vendedores!$A$2:$A$101,0))</f>
        <v>L10</v>
      </c>
      <c r="E1130" s="3" t="str">
        <f aca="false">INDEX(Lojas!$E$2:$E$11,MATCH(D1130,Lojas!$A$2:$A$11,0))</f>
        <v>Nordeste</v>
      </c>
      <c r="F1130" s="2" t="s">
        <v>267</v>
      </c>
      <c r="G1130" s="3" t="str">
        <f aca="false">INDEX(Produtos!$B$2:$B$11,MATCH(F1130,Produtos!$A$2:$A$11,0))&amp;" "&amp;INDEX(Produtos!$C$2:$C$11,MATCH(F1130,Produtos!$A$2:$A$11,0))</f>
        <v>Carregador de Celular Tipo C</v>
      </c>
      <c r="H1130" s="2" t="n">
        <v>2</v>
      </c>
      <c r="I1130" s="5" t="n">
        <f aca="false">INDEX(Produtos!$D$2:$D$11,MATCH(F1130,Produtos!$A$2:$A$11,0))</f>
        <v>44.9</v>
      </c>
      <c r="J1130" s="5" t="n">
        <f aca="false">H1130*I1130</f>
        <v>89.8</v>
      </c>
      <c r="K1130" s="5" t="n">
        <f aca="false">INDEX(Produtos!$E$2:$E$11,MATCH(F1130,Produtos!$A$2:$A$11,0))</f>
        <v>18</v>
      </c>
      <c r="L1130" s="5" t="n">
        <f aca="false">H1130*K1130</f>
        <v>36</v>
      </c>
    </row>
    <row r="1131" customFormat="false" ht="15" hidden="false" customHeight="false" outlineLevel="0" collapsed="false">
      <c r="A1131" s="2" t="s">
        <v>1413</v>
      </c>
      <c r="B1131" s="8" t="n">
        <v>46117</v>
      </c>
      <c r="C1131" s="2" t="s">
        <v>120</v>
      </c>
      <c r="D1131" s="3" t="str">
        <f aca="false">INDEX(Vendedores!$C$2:$C$101,MATCH(C1131,Vendedores!$A$2:$A$101,0))</f>
        <v>L04</v>
      </c>
      <c r="E1131" s="3" t="str">
        <f aca="false">INDEX(Lojas!$E$2:$E$11,MATCH(D1131,Lojas!$A$2:$A$11,0))</f>
        <v>Sudeste</v>
      </c>
      <c r="F1131" s="2" t="s">
        <v>255</v>
      </c>
      <c r="G1131" s="3" t="str">
        <f aca="false">INDEX(Produtos!$B$2:$B$11,MATCH(F1131,Produtos!$A$2:$A$11,0))&amp;" "&amp;INDEX(Produtos!$C$2:$C$11,MATCH(F1131,Produtos!$A$2:$A$11,0))</f>
        <v>Notebook Positivo</v>
      </c>
      <c r="H1131" s="2" t="n">
        <v>1</v>
      </c>
      <c r="I1131" s="5" t="n">
        <f aca="false">INDEX(Produtos!$D$2:$D$11,MATCH(F1131,Produtos!$A$2:$A$11,0))</f>
        <v>2199</v>
      </c>
      <c r="J1131" s="5" t="n">
        <f aca="false">H1131*I1131</f>
        <v>2199</v>
      </c>
      <c r="K1131" s="5" t="n">
        <f aca="false">INDEX(Produtos!$E$2:$E$11,MATCH(F1131,Produtos!$A$2:$A$11,0))</f>
        <v>1550</v>
      </c>
      <c r="L1131" s="5" t="n">
        <f aca="false">H1131*K1131</f>
        <v>1550</v>
      </c>
    </row>
    <row r="1132" customFormat="false" ht="15" hidden="false" customHeight="false" outlineLevel="0" collapsed="false">
      <c r="A1132" s="2" t="s">
        <v>1414</v>
      </c>
      <c r="B1132" s="8" t="n">
        <v>46117</v>
      </c>
      <c r="C1132" s="2" t="s">
        <v>129</v>
      </c>
      <c r="D1132" s="3" t="str">
        <f aca="false">INDEX(Vendedores!$C$2:$C$101,MATCH(C1132,Vendedores!$A$2:$A$101,0))</f>
        <v>L05</v>
      </c>
      <c r="E1132" s="3" t="str">
        <f aca="false">INDEX(Lojas!$E$2:$E$11,MATCH(D1132,Lojas!$A$2:$A$11,0))</f>
        <v>Sul</v>
      </c>
      <c r="F1132" s="2" t="s">
        <v>262</v>
      </c>
      <c r="G1132" s="3" t="str">
        <f aca="false">INDEX(Produtos!$B$2:$B$11,MATCH(F1132,Produtos!$A$2:$A$11,0))&amp;" "&amp;INDEX(Produtos!$C$2:$C$11,MATCH(F1132,Produtos!$A$2:$A$11,0))</f>
        <v>Fone de Ouvido De Celular</v>
      </c>
      <c r="H1132" s="2" t="n">
        <v>1</v>
      </c>
      <c r="I1132" s="5" t="n">
        <f aca="false">INDEX(Produtos!$D$2:$D$11,MATCH(F1132,Produtos!$A$2:$A$11,0))</f>
        <v>59.9</v>
      </c>
      <c r="J1132" s="5" t="n">
        <f aca="false">H1132*I1132</f>
        <v>59.9</v>
      </c>
      <c r="K1132" s="5" t="n">
        <f aca="false">INDEX(Produtos!$E$2:$E$11,MATCH(F1132,Produtos!$A$2:$A$11,0))</f>
        <v>28</v>
      </c>
      <c r="L1132" s="5" t="n">
        <f aca="false">H1132*K1132</f>
        <v>28</v>
      </c>
    </row>
    <row r="1133" customFormat="false" ht="15" hidden="false" customHeight="false" outlineLevel="0" collapsed="false">
      <c r="A1133" s="2" t="s">
        <v>1415</v>
      </c>
      <c r="B1133" s="8" t="n">
        <v>46117</v>
      </c>
      <c r="C1133" s="2" t="s">
        <v>90</v>
      </c>
      <c r="D1133" s="3" t="str">
        <f aca="false">INDEX(Vendedores!$C$2:$C$101,MATCH(C1133,Vendedores!$A$2:$A$101,0))</f>
        <v>L03</v>
      </c>
      <c r="E1133" s="3" t="str">
        <f aca="false">INDEX(Lojas!$E$2:$E$11,MATCH(D1133,Lojas!$A$2:$A$11,0))</f>
        <v>Sudeste</v>
      </c>
      <c r="F1133" s="2" t="s">
        <v>260</v>
      </c>
      <c r="G1133" s="3" t="str">
        <f aca="false">INDEX(Produtos!$B$2:$B$11,MATCH(F1133,Produtos!$A$2:$A$11,0))&amp;" "&amp;INDEX(Produtos!$C$2:$C$11,MATCH(F1133,Produtos!$A$2:$A$11,0))</f>
        <v>Celular Motorola</v>
      </c>
      <c r="H1133" s="2" t="n">
        <v>2</v>
      </c>
      <c r="I1133" s="5" t="n">
        <f aca="false">INDEX(Produtos!$D$2:$D$11,MATCH(F1133,Produtos!$A$2:$A$11,0))</f>
        <v>1799</v>
      </c>
      <c r="J1133" s="5" t="n">
        <f aca="false">H1133*I1133</f>
        <v>3598</v>
      </c>
      <c r="K1133" s="5" t="n">
        <f aca="false">INDEX(Produtos!$E$2:$E$11,MATCH(F1133,Produtos!$A$2:$A$11,0))</f>
        <v>1250</v>
      </c>
      <c r="L1133" s="5" t="n">
        <f aca="false">H1133*K1133</f>
        <v>2500</v>
      </c>
    </row>
    <row r="1134" customFormat="false" ht="15" hidden="false" customHeight="false" outlineLevel="0" collapsed="false">
      <c r="A1134" s="2" t="s">
        <v>1416</v>
      </c>
      <c r="B1134" s="8" t="n">
        <v>46117</v>
      </c>
      <c r="C1134" s="2" t="s">
        <v>106</v>
      </c>
      <c r="D1134" s="3" t="str">
        <f aca="false">INDEX(Vendedores!$C$2:$C$101,MATCH(C1134,Vendedores!$A$2:$A$101,0))</f>
        <v>L03</v>
      </c>
      <c r="E1134" s="3" t="str">
        <f aca="false">INDEX(Lojas!$E$2:$E$11,MATCH(D1134,Lojas!$A$2:$A$11,0))</f>
        <v>Sudeste</v>
      </c>
      <c r="F1134" s="2" t="s">
        <v>257</v>
      </c>
      <c r="G1134" s="3" t="str">
        <f aca="false">INDEX(Produtos!$B$2:$B$11,MATCH(F1134,Produtos!$A$2:$A$11,0))&amp;" "&amp;INDEX(Produtos!$C$2:$C$11,MATCH(F1134,Produtos!$A$2:$A$11,0))</f>
        <v>Celular Samsung</v>
      </c>
      <c r="H1134" s="2" t="n">
        <v>1</v>
      </c>
      <c r="I1134" s="5" t="n">
        <f aca="false">INDEX(Produtos!$D$2:$D$11,MATCH(F1134,Produtos!$A$2:$A$11,0))</f>
        <v>2499</v>
      </c>
      <c r="J1134" s="5" t="n">
        <f aca="false">H1134*I1134</f>
        <v>2499</v>
      </c>
      <c r="K1134" s="5" t="n">
        <f aca="false">INDEX(Produtos!$E$2:$E$11,MATCH(F1134,Produtos!$A$2:$A$11,0))</f>
        <v>1800</v>
      </c>
      <c r="L1134" s="5" t="n">
        <f aca="false">H1134*K1134</f>
        <v>1800</v>
      </c>
    </row>
    <row r="1135" customFormat="false" ht="15" hidden="false" customHeight="false" outlineLevel="0" collapsed="false">
      <c r="A1135" s="2" t="s">
        <v>1417</v>
      </c>
      <c r="B1135" s="8" t="n">
        <v>46117</v>
      </c>
      <c r="C1135" s="2" t="s">
        <v>82</v>
      </c>
      <c r="D1135" s="3" t="str">
        <f aca="false">INDEX(Vendedores!$C$2:$C$101,MATCH(C1135,Vendedores!$A$2:$A$101,0))</f>
        <v>L02</v>
      </c>
      <c r="E1135" s="3" t="str">
        <f aca="false">INDEX(Lojas!$E$2:$E$11,MATCH(D1135,Lojas!$A$2:$A$11,0))</f>
        <v>Sudeste</v>
      </c>
      <c r="F1135" s="2" t="s">
        <v>273</v>
      </c>
      <c r="G1135" s="3" t="str">
        <f aca="false">INDEX(Produtos!$B$2:$B$11,MATCH(F1135,Produtos!$A$2:$A$11,0))&amp;" "&amp;INDEX(Produtos!$C$2:$C$11,MATCH(F1135,Produtos!$A$2:$A$11,0))</f>
        <v>Controle de Videogame PS4</v>
      </c>
      <c r="H1135" s="2" t="n">
        <v>1</v>
      </c>
      <c r="I1135" s="5" t="n">
        <f aca="false">INDEX(Produtos!$D$2:$D$11,MATCH(F1135,Produtos!$A$2:$A$11,0))</f>
        <v>299.9</v>
      </c>
      <c r="J1135" s="5" t="n">
        <f aca="false">H1135*I1135</f>
        <v>299.9</v>
      </c>
      <c r="K1135" s="5" t="n">
        <f aca="false">INDEX(Produtos!$E$2:$E$11,MATCH(F1135,Produtos!$A$2:$A$11,0))</f>
        <v>175</v>
      </c>
      <c r="L1135" s="5" t="n">
        <f aca="false">H1135*K1135</f>
        <v>175</v>
      </c>
    </row>
    <row r="1136" customFormat="false" ht="15" hidden="false" customHeight="false" outlineLevel="0" collapsed="false">
      <c r="A1136" s="2" t="s">
        <v>1418</v>
      </c>
      <c r="B1136" s="8" t="n">
        <v>46117</v>
      </c>
      <c r="C1136" s="2" t="s">
        <v>124</v>
      </c>
      <c r="D1136" s="3" t="str">
        <f aca="false">INDEX(Vendedores!$C$2:$C$101,MATCH(C1136,Vendedores!$A$2:$A$101,0))</f>
        <v>L04</v>
      </c>
      <c r="E1136" s="3" t="str">
        <f aca="false">INDEX(Lojas!$E$2:$E$11,MATCH(D1136,Lojas!$A$2:$A$11,0))</f>
        <v>Sudeste</v>
      </c>
      <c r="F1136" s="2" t="s">
        <v>252</v>
      </c>
      <c r="G1136" s="3" t="str">
        <f aca="false">INDEX(Produtos!$B$2:$B$11,MATCH(F1136,Produtos!$A$2:$A$11,0))&amp;" "&amp;INDEX(Produtos!$C$2:$C$11,MATCH(F1136,Produtos!$A$2:$A$11,0))</f>
        <v>Notebook Lenovo</v>
      </c>
      <c r="H1136" s="2" t="n">
        <v>1</v>
      </c>
      <c r="I1136" s="5" t="n">
        <f aca="false">INDEX(Produtos!$D$2:$D$11,MATCH(F1136,Produtos!$A$2:$A$11,0))</f>
        <v>3199</v>
      </c>
      <c r="J1136" s="5" t="n">
        <f aca="false">H1136*I1136</f>
        <v>3199</v>
      </c>
      <c r="K1136" s="5" t="n">
        <f aca="false">INDEX(Produtos!$E$2:$E$11,MATCH(F1136,Produtos!$A$2:$A$11,0))</f>
        <v>2350</v>
      </c>
      <c r="L1136" s="5" t="n">
        <f aca="false">H1136*K1136</f>
        <v>2350</v>
      </c>
    </row>
    <row r="1137" customFormat="false" ht="15" hidden="false" customHeight="false" outlineLevel="0" collapsed="false">
      <c r="A1137" s="2" t="s">
        <v>1419</v>
      </c>
      <c r="B1137" s="8" t="n">
        <v>46117</v>
      </c>
      <c r="C1137" s="2" t="s">
        <v>106</v>
      </c>
      <c r="D1137" s="3" t="str">
        <f aca="false">INDEX(Vendedores!$C$2:$C$101,MATCH(C1137,Vendedores!$A$2:$A$101,0))</f>
        <v>L03</v>
      </c>
      <c r="E1137" s="3" t="str">
        <f aca="false">INDEX(Lojas!$E$2:$E$11,MATCH(D1137,Lojas!$A$2:$A$11,0))</f>
        <v>Sudeste</v>
      </c>
      <c r="F1137" s="2" t="s">
        <v>260</v>
      </c>
      <c r="G1137" s="3" t="str">
        <f aca="false">INDEX(Produtos!$B$2:$B$11,MATCH(F1137,Produtos!$A$2:$A$11,0))&amp;" "&amp;INDEX(Produtos!$C$2:$C$11,MATCH(F1137,Produtos!$A$2:$A$11,0))</f>
        <v>Celular Motorola</v>
      </c>
      <c r="H1137" s="2" t="n">
        <v>1</v>
      </c>
      <c r="I1137" s="5" t="n">
        <f aca="false">INDEX(Produtos!$D$2:$D$11,MATCH(F1137,Produtos!$A$2:$A$11,0))</f>
        <v>1799</v>
      </c>
      <c r="J1137" s="5" t="n">
        <f aca="false">H1137*I1137</f>
        <v>1799</v>
      </c>
      <c r="K1137" s="5" t="n">
        <f aca="false">INDEX(Produtos!$E$2:$E$11,MATCH(F1137,Produtos!$A$2:$A$11,0))</f>
        <v>1250</v>
      </c>
      <c r="L1137" s="5" t="n">
        <f aca="false">H1137*K1137</f>
        <v>1250</v>
      </c>
    </row>
    <row r="1138" customFormat="false" ht="15" hidden="false" customHeight="false" outlineLevel="0" collapsed="false">
      <c r="A1138" s="2" t="s">
        <v>1420</v>
      </c>
      <c r="B1138" s="8" t="n">
        <v>46117</v>
      </c>
      <c r="C1138" s="2" t="s">
        <v>229</v>
      </c>
      <c r="D1138" s="3" t="str">
        <f aca="false">INDEX(Vendedores!$C$2:$C$101,MATCH(C1138,Vendedores!$A$2:$A$101,0))</f>
        <v>L10</v>
      </c>
      <c r="E1138" s="3" t="str">
        <f aca="false">INDEX(Lojas!$E$2:$E$11,MATCH(D1138,Lojas!$A$2:$A$11,0))</f>
        <v>Nordeste</v>
      </c>
      <c r="F1138" s="2" t="s">
        <v>260</v>
      </c>
      <c r="G1138" s="3" t="str">
        <f aca="false">INDEX(Produtos!$B$2:$B$11,MATCH(F1138,Produtos!$A$2:$A$11,0))&amp;" "&amp;INDEX(Produtos!$C$2:$C$11,MATCH(F1138,Produtos!$A$2:$A$11,0))</f>
        <v>Celular Motorola</v>
      </c>
      <c r="H1138" s="2" t="n">
        <v>1</v>
      </c>
      <c r="I1138" s="5" t="n">
        <f aca="false">INDEX(Produtos!$D$2:$D$11,MATCH(F1138,Produtos!$A$2:$A$11,0))</f>
        <v>1799</v>
      </c>
      <c r="J1138" s="5" t="n">
        <f aca="false">H1138*I1138</f>
        <v>1799</v>
      </c>
      <c r="K1138" s="5" t="n">
        <f aca="false">INDEX(Produtos!$E$2:$E$11,MATCH(F1138,Produtos!$A$2:$A$11,0))</f>
        <v>1250</v>
      </c>
      <c r="L1138" s="5" t="n">
        <f aca="false">H1138*K1138</f>
        <v>1250</v>
      </c>
    </row>
    <row r="1139" customFormat="false" ht="15" hidden="false" customHeight="false" outlineLevel="0" collapsed="false">
      <c r="A1139" s="2" t="s">
        <v>1421</v>
      </c>
      <c r="B1139" s="8" t="n">
        <v>46117</v>
      </c>
      <c r="C1139" s="2" t="s">
        <v>140</v>
      </c>
      <c r="D1139" s="3" t="str">
        <f aca="false">INDEX(Vendedores!$C$2:$C$101,MATCH(C1139,Vendedores!$A$2:$A$101,0))</f>
        <v>L05</v>
      </c>
      <c r="E1139" s="3" t="str">
        <f aca="false">INDEX(Lojas!$E$2:$E$11,MATCH(D1139,Lojas!$A$2:$A$11,0))</f>
        <v>Sul</v>
      </c>
      <c r="F1139" s="2" t="s">
        <v>260</v>
      </c>
      <c r="G1139" s="3" t="str">
        <f aca="false">INDEX(Produtos!$B$2:$B$11,MATCH(F1139,Produtos!$A$2:$A$11,0))&amp;" "&amp;INDEX(Produtos!$C$2:$C$11,MATCH(F1139,Produtos!$A$2:$A$11,0))</f>
        <v>Celular Motorola</v>
      </c>
      <c r="H1139" s="2" t="n">
        <v>1</v>
      </c>
      <c r="I1139" s="5" t="n">
        <f aca="false">INDEX(Produtos!$D$2:$D$11,MATCH(F1139,Produtos!$A$2:$A$11,0))</f>
        <v>1799</v>
      </c>
      <c r="J1139" s="5" t="n">
        <f aca="false">H1139*I1139</f>
        <v>1799</v>
      </c>
      <c r="K1139" s="5" t="n">
        <f aca="false">INDEX(Produtos!$E$2:$E$11,MATCH(F1139,Produtos!$A$2:$A$11,0))</f>
        <v>1250</v>
      </c>
      <c r="L1139" s="5" t="n">
        <f aca="false">H1139*K1139</f>
        <v>1250</v>
      </c>
    </row>
    <row r="1140" customFormat="false" ht="15" hidden="false" customHeight="false" outlineLevel="0" collapsed="false">
      <c r="A1140" s="2" t="s">
        <v>1422</v>
      </c>
      <c r="B1140" s="8" t="n">
        <v>46118</v>
      </c>
      <c r="C1140" s="2" t="s">
        <v>215</v>
      </c>
      <c r="D1140" s="3" t="str">
        <f aca="false">INDEX(Vendedores!$C$2:$C$101,MATCH(C1140,Vendedores!$A$2:$A$101,0))</f>
        <v>L09</v>
      </c>
      <c r="E1140" s="3" t="str">
        <f aca="false">INDEX(Lojas!$E$2:$E$11,MATCH(D1140,Lojas!$A$2:$A$11,0))</f>
        <v>Nordeste</v>
      </c>
      <c r="F1140" s="2" t="s">
        <v>267</v>
      </c>
      <c r="G1140" s="3" t="str">
        <f aca="false">INDEX(Produtos!$B$2:$B$11,MATCH(F1140,Produtos!$A$2:$A$11,0))&amp;" "&amp;INDEX(Produtos!$C$2:$C$11,MATCH(F1140,Produtos!$A$2:$A$11,0))</f>
        <v>Carregador de Celular Tipo C</v>
      </c>
      <c r="H1140" s="2" t="n">
        <v>1</v>
      </c>
      <c r="I1140" s="5" t="n">
        <f aca="false">INDEX(Produtos!$D$2:$D$11,MATCH(F1140,Produtos!$A$2:$A$11,0))</f>
        <v>44.9</v>
      </c>
      <c r="J1140" s="5" t="n">
        <f aca="false">H1140*I1140</f>
        <v>44.9</v>
      </c>
      <c r="K1140" s="5" t="n">
        <f aca="false">INDEX(Produtos!$E$2:$E$11,MATCH(F1140,Produtos!$A$2:$A$11,0))</f>
        <v>18</v>
      </c>
      <c r="L1140" s="5" t="n">
        <f aca="false">H1140*K1140</f>
        <v>18</v>
      </c>
    </row>
    <row r="1141" customFormat="false" ht="15" hidden="false" customHeight="false" outlineLevel="0" collapsed="false">
      <c r="A1141" s="2" t="s">
        <v>1423</v>
      </c>
      <c r="B1141" s="8" t="n">
        <v>46118</v>
      </c>
      <c r="C1141" s="2" t="s">
        <v>56</v>
      </c>
      <c r="D1141" s="3" t="str">
        <f aca="false">INDEX(Vendedores!$C$2:$C$101,MATCH(C1141,Vendedores!$A$2:$A$101,0))</f>
        <v>L01</v>
      </c>
      <c r="E1141" s="3" t="str">
        <f aca="false">INDEX(Lojas!$E$2:$E$11,MATCH(D1141,Lojas!$A$2:$A$11,0))</f>
        <v>Sudeste</v>
      </c>
      <c r="F1141" s="2" t="s">
        <v>275</v>
      </c>
      <c r="G1141" s="3" t="str">
        <f aca="false">INDEX(Produtos!$B$2:$B$11,MATCH(F1141,Produtos!$A$2:$A$11,0))&amp;" "&amp;INDEX(Produtos!$C$2:$C$11,MATCH(F1141,Produtos!$A$2:$A$11,0))</f>
        <v>Controle de Videogame PS5</v>
      </c>
      <c r="H1141" s="2" t="n">
        <v>1</v>
      </c>
      <c r="I1141" s="5" t="n">
        <f aca="false">INDEX(Produtos!$D$2:$D$11,MATCH(F1141,Produtos!$A$2:$A$11,0))</f>
        <v>379.9</v>
      </c>
      <c r="J1141" s="5" t="n">
        <f aca="false">H1141*I1141</f>
        <v>379.9</v>
      </c>
      <c r="K1141" s="5" t="n">
        <f aca="false">INDEX(Produtos!$E$2:$E$11,MATCH(F1141,Produtos!$A$2:$A$11,0))</f>
        <v>235</v>
      </c>
      <c r="L1141" s="5" t="n">
        <f aca="false">H1141*K1141</f>
        <v>235</v>
      </c>
    </row>
    <row r="1142" customFormat="false" ht="15" hidden="false" customHeight="false" outlineLevel="0" collapsed="false">
      <c r="A1142" s="2" t="s">
        <v>1424</v>
      </c>
      <c r="B1142" s="8" t="n">
        <v>46118</v>
      </c>
      <c r="C1142" s="2" t="s">
        <v>144</v>
      </c>
      <c r="D1142" s="3" t="str">
        <f aca="false">INDEX(Vendedores!$C$2:$C$101,MATCH(C1142,Vendedores!$A$2:$A$101,0))</f>
        <v>L05</v>
      </c>
      <c r="E1142" s="3" t="str">
        <f aca="false">INDEX(Lojas!$E$2:$E$11,MATCH(D1142,Lojas!$A$2:$A$11,0))</f>
        <v>Sul</v>
      </c>
      <c r="F1142" s="2" t="s">
        <v>255</v>
      </c>
      <c r="G1142" s="3" t="str">
        <f aca="false">INDEX(Produtos!$B$2:$B$11,MATCH(F1142,Produtos!$A$2:$A$11,0))&amp;" "&amp;INDEX(Produtos!$C$2:$C$11,MATCH(F1142,Produtos!$A$2:$A$11,0))</f>
        <v>Notebook Positivo</v>
      </c>
      <c r="H1142" s="2" t="n">
        <v>3</v>
      </c>
      <c r="I1142" s="5" t="n">
        <f aca="false">INDEX(Produtos!$D$2:$D$11,MATCH(F1142,Produtos!$A$2:$A$11,0))</f>
        <v>2199</v>
      </c>
      <c r="J1142" s="5" t="n">
        <f aca="false">H1142*I1142</f>
        <v>6597</v>
      </c>
      <c r="K1142" s="5" t="n">
        <f aca="false">INDEX(Produtos!$E$2:$E$11,MATCH(F1142,Produtos!$A$2:$A$11,0))</f>
        <v>1550</v>
      </c>
      <c r="L1142" s="5" t="n">
        <f aca="false">H1142*K1142</f>
        <v>4650</v>
      </c>
    </row>
    <row r="1143" customFormat="false" ht="15" hidden="false" customHeight="false" outlineLevel="0" collapsed="false">
      <c r="A1143" s="2" t="s">
        <v>1425</v>
      </c>
      <c r="B1143" s="8" t="n">
        <v>46118</v>
      </c>
      <c r="C1143" s="2" t="s">
        <v>213</v>
      </c>
      <c r="D1143" s="3" t="str">
        <f aca="false">INDEX(Vendedores!$C$2:$C$101,MATCH(C1143,Vendedores!$A$2:$A$101,0))</f>
        <v>L09</v>
      </c>
      <c r="E1143" s="3" t="str">
        <f aca="false">INDEX(Lojas!$E$2:$E$11,MATCH(D1143,Lojas!$A$2:$A$11,0))</f>
        <v>Nordeste</v>
      </c>
      <c r="F1143" s="2" t="s">
        <v>260</v>
      </c>
      <c r="G1143" s="3" t="str">
        <f aca="false">INDEX(Produtos!$B$2:$B$11,MATCH(F1143,Produtos!$A$2:$A$11,0))&amp;" "&amp;INDEX(Produtos!$C$2:$C$11,MATCH(F1143,Produtos!$A$2:$A$11,0))</f>
        <v>Celular Motorola</v>
      </c>
      <c r="H1143" s="2" t="n">
        <v>1</v>
      </c>
      <c r="I1143" s="5" t="n">
        <f aca="false">INDEX(Produtos!$D$2:$D$11,MATCH(F1143,Produtos!$A$2:$A$11,0))</f>
        <v>1799</v>
      </c>
      <c r="J1143" s="5" t="n">
        <f aca="false">H1143*I1143</f>
        <v>1799</v>
      </c>
      <c r="K1143" s="5" t="n">
        <f aca="false">INDEX(Produtos!$E$2:$E$11,MATCH(F1143,Produtos!$A$2:$A$11,0))</f>
        <v>1250</v>
      </c>
      <c r="L1143" s="5" t="n">
        <f aca="false">H1143*K1143</f>
        <v>1250</v>
      </c>
    </row>
    <row r="1144" customFormat="false" ht="15" hidden="false" customHeight="false" outlineLevel="0" collapsed="false">
      <c r="A1144" s="2" t="s">
        <v>1426</v>
      </c>
      <c r="B1144" s="8" t="n">
        <v>46118</v>
      </c>
      <c r="C1144" s="2" t="s">
        <v>180</v>
      </c>
      <c r="D1144" s="3" t="str">
        <f aca="false">INDEX(Vendedores!$C$2:$C$101,MATCH(C1144,Vendedores!$A$2:$A$101,0))</f>
        <v>L07</v>
      </c>
      <c r="E1144" s="3" t="str">
        <f aca="false">INDEX(Lojas!$E$2:$E$11,MATCH(D1144,Lojas!$A$2:$A$11,0))</f>
        <v>Sul</v>
      </c>
      <c r="F1144" s="2" t="s">
        <v>262</v>
      </c>
      <c r="G1144" s="3" t="str">
        <f aca="false">INDEX(Produtos!$B$2:$B$11,MATCH(F1144,Produtos!$A$2:$A$11,0))&amp;" "&amp;INDEX(Produtos!$C$2:$C$11,MATCH(F1144,Produtos!$A$2:$A$11,0))</f>
        <v>Fone de Ouvido De Celular</v>
      </c>
      <c r="H1144" s="2" t="n">
        <v>2</v>
      </c>
      <c r="I1144" s="5" t="n">
        <f aca="false">INDEX(Produtos!$D$2:$D$11,MATCH(F1144,Produtos!$A$2:$A$11,0))</f>
        <v>59.9</v>
      </c>
      <c r="J1144" s="5" t="n">
        <f aca="false">H1144*I1144</f>
        <v>119.8</v>
      </c>
      <c r="K1144" s="5" t="n">
        <f aca="false">INDEX(Produtos!$E$2:$E$11,MATCH(F1144,Produtos!$A$2:$A$11,0))</f>
        <v>28</v>
      </c>
      <c r="L1144" s="5" t="n">
        <f aca="false">H1144*K1144</f>
        <v>56</v>
      </c>
    </row>
    <row r="1145" customFormat="false" ht="15" hidden="false" customHeight="false" outlineLevel="0" collapsed="false">
      <c r="A1145" s="2" t="s">
        <v>1427</v>
      </c>
      <c r="B1145" s="8" t="n">
        <v>46118</v>
      </c>
      <c r="C1145" s="2" t="s">
        <v>135</v>
      </c>
      <c r="D1145" s="3" t="str">
        <f aca="false">INDEX(Vendedores!$C$2:$C$101,MATCH(C1145,Vendedores!$A$2:$A$101,0))</f>
        <v>L05</v>
      </c>
      <c r="E1145" s="3" t="str">
        <f aca="false">INDEX(Lojas!$E$2:$E$11,MATCH(D1145,Lojas!$A$2:$A$11,0))</f>
        <v>Sul</v>
      </c>
      <c r="F1145" s="2" t="s">
        <v>267</v>
      </c>
      <c r="G1145" s="3" t="str">
        <f aca="false">INDEX(Produtos!$B$2:$B$11,MATCH(F1145,Produtos!$A$2:$A$11,0))&amp;" "&amp;INDEX(Produtos!$C$2:$C$11,MATCH(F1145,Produtos!$A$2:$A$11,0))</f>
        <v>Carregador de Celular Tipo C</v>
      </c>
      <c r="H1145" s="2" t="n">
        <v>2</v>
      </c>
      <c r="I1145" s="5" t="n">
        <f aca="false">INDEX(Produtos!$D$2:$D$11,MATCH(F1145,Produtos!$A$2:$A$11,0))</f>
        <v>44.9</v>
      </c>
      <c r="J1145" s="5" t="n">
        <f aca="false">H1145*I1145</f>
        <v>89.8</v>
      </c>
      <c r="K1145" s="5" t="n">
        <f aca="false">INDEX(Produtos!$E$2:$E$11,MATCH(F1145,Produtos!$A$2:$A$11,0))</f>
        <v>18</v>
      </c>
      <c r="L1145" s="5" t="n">
        <f aca="false">H1145*K1145</f>
        <v>36</v>
      </c>
    </row>
    <row r="1146" customFormat="false" ht="15" hidden="false" customHeight="false" outlineLevel="0" collapsed="false">
      <c r="A1146" s="2" t="s">
        <v>1428</v>
      </c>
      <c r="B1146" s="8" t="n">
        <v>46118</v>
      </c>
      <c r="C1146" s="2" t="s">
        <v>160</v>
      </c>
      <c r="D1146" s="3" t="str">
        <f aca="false">INDEX(Vendedores!$C$2:$C$101,MATCH(C1146,Vendedores!$A$2:$A$101,0))</f>
        <v>L06</v>
      </c>
      <c r="E1146" s="3" t="str">
        <f aca="false">INDEX(Lojas!$E$2:$E$11,MATCH(D1146,Lojas!$A$2:$A$11,0))</f>
        <v>Sul</v>
      </c>
      <c r="F1146" s="2" t="s">
        <v>262</v>
      </c>
      <c r="G1146" s="3" t="str">
        <f aca="false">INDEX(Produtos!$B$2:$B$11,MATCH(F1146,Produtos!$A$2:$A$11,0))&amp;" "&amp;INDEX(Produtos!$C$2:$C$11,MATCH(F1146,Produtos!$A$2:$A$11,0))</f>
        <v>Fone de Ouvido De Celular</v>
      </c>
      <c r="H1146" s="2" t="n">
        <v>1</v>
      </c>
      <c r="I1146" s="5" t="n">
        <f aca="false">INDEX(Produtos!$D$2:$D$11,MATCH(F1146,Produtos!$A$2:$A$11,0))</f>
        <v>59.9</v>
      </c>
      <c r="J1146" s="5" t="n">
        <f aca="false">H1146*I1146</f>
        <v>59.9</v>
      </c>
      <c r="K1146" s="5" t="n">
        <f aca="false">INDEX(Produtos!$E$2:$E$11,MATCH(F1146,Produtos!$A$2:$A$11,0))</f>
        <v>28</v>
      </c>
      <c r="L1146" s="5" t="n">
        <f aca="false">H1146*K1146</f>
        <v>28</v>
      </c>
    </row>
    <row r="1147" customFormat="false" ht="15" hidden="false" customHeight="false" outlineLevel="0" collapsed="false">
      <c r="A1147" s="2" t="s">
        <v>1429</v>
      </c>
      <c r="B1147" s="8" t="n">
        <v>46118</v>
      </c>
      <c r="C1147" s="2" t="s">
        <v>158</v>
      </c>
      <c r="D1147" s="3" t="str">
        <f aca="false">INDEX(Vendedores!$C$2:$C$101,MATCH(C1147,Vendedores!$A$2:$A$101,0))</f>
        <v>L06</v>
      </c>
      <c r="E1147" s="3" t="str">
        <f aca="false">INDEX(Lojas!$E$2:$E$11,MATCH(D1147,Lojas!$A$2:$A$11,0))</f>
        <v>Sul</v>
      </c>
      <c r="F1147" s="2" t="s">
        <v>270</v>
      </c>
      <c r="G1147" s="3" t="str">
        <f aca="false">INDEX(Produtos!$B$2:$B$11,MATCH(F1147,Produtos!$A$2:$A$11,0))&amp;" "&amp;INDEX(Produtos!$C$2:$C$11,MATCH(F1147,Produtos!$A$2:$A$11,0))</f>
        <v>Controle de Videogame Xbox</v>
      </c>
      <c r="H1147" s="2" t="n">
        <v>3</v>
      </c>
      <c r="I1147" s="5" t="n">
        <f aca="false">INDEX(Produtos!$D$2:$D$11,MATCH(F1147,Produtos!$A$2:$A$11,0))</f>
        <v>349.9</v>
      </c>
      <c r="J1147" s="5" t="n">
        <f aca="false">H1147*I1147</f>
        <v>1049.7</v>
      </c>
      <c r="K1147" s="5" t="n">
        <f aca="false">INDEX(Produtos!$E$2:$E$11,MATCH(F1147,Produtos!$A$2:$A$11,0))</f>
        <v>215</v>
      </c>
      <c r="L1147" s="5" t="n">
        <f aca="false">H1147*K1147</f>
        <v>645</v>
      </c>
    </row>
    <row r="1148" customFormat="false" ht="15" hidden="false" customHeight="false" outlineLevel="0" collapsed="false">
      <c r="A1148" s="2" t="s">
        <v>1430</v>
      </c>
      <c r="B1148" s="8" t="n">
        <v>46118</v>
      </c>
      <c r="C1148" s="2" t="s">
        <v>133</v>
      </c>
      <c r="D1148" s="3" t="str">
        <f aca="false">INDEX(Vendedores!$C$2:$C$101,MATCH(C1148,Vendedores!$A$2:$A$101,0))</f>
        <v>L05</v>
      </c>
      <c r="E1148" s="3" t="str">
        <f aca="false">INDEX(Lojas!$E$2:$E$11,MATCH(D1148,Lojas!$A$2:$A$11,0))</f>
        <v>Sul</v>
      </c>
      <c r="F1148" s="2" t="s">
        <v>260</v>
      </c>
      <c r="G1148" s="3" t="str">
        <f aca="false">INDEX(Produtos!$B$2:$B$11,MATCH(F1148,Produtos!$A$2:$A$11,0))&amp;" "&amp;INDEX(Produtos!$C$2:$C$11,MATCH(F1148,Produtos!$A$2:$A$11,0))</f>
        <v>Celular Motorola</v>
      </c>
      <c r="H1148" s="2" t="n">
        <v>1</v>
      </c>
      <c r="I1148" s="5" t="n">
        <f aca="false">INDEX(Produtos!$D$2:$D$11,MATCH(F1148,Produtos!$A$2:$A$11,0))</f>
        <v>1799</v>
      </c>
      <c r="J1148" s="5" t="n">
        <f aca="false">H1148*I1148</f>
        <v>1799</v>
      </c>
      <c r="K1148" s="5" t="n">
        <f aca="false">INDEX(Produtos!$E$2:$E$11,MATCH(F1148,Produtos!$A$2:$A$11,0))</f>
        <v>1250</v>
      </c>
      <c r="L1148" s="5" t="n">
        <f aca="false">H1148*K1148</f>
        <v>1250</v>
      </c>
    </row>
    <row r="1149" customFormat="false" ht="15" hidden="false" customHeight="false" outlineLevel="0" collapsed="false">
      <c r="A1149" s="2" t="s">
        <v>1431</v>
      </c>
      <c r="B1149" s="8" t="n">
        <v>46118</v>
      </c>
      <c r="C1149" s="2" t="s">
        <v>237</v>
      </c>
      <c r="D1149" s="3" t="str">
        <f aca="false">INDEX(Vendedores!$C$2:$C$101,MATCH(C1149,Vendedores!$A$2:$A$101,0))</f>
        <v>L10</v>
      </c>
      <c r="E1149" s="3" t="str">
        <f aca="false">INDEX(Lojas!$E$2:$E$11,MATCH(D1149,Lojas!$A$2:$A$11,0))</f>
        <v>Nordeste</v>
      </c>
      <c r="F1149" s="2" t="s">
        <v>262</v>
      </c>
      <c r="G1149" s="3" t="str">
        <f aca="false">INDEX(Produtos!$B$2:$B$11,MATCH(F1149,Produtos!$A$2:$A$11,0))&amp;" "&amp;INDEX(Produtos!$C$2:$C$11,MATCH(F1149,Produtos!$A$2:$A$11,0))</f>
        <v>Fone de Ouvido De Celular</v>
      </c>
      <c r="H1149" s="2" t="n">
        <v>1</v>
      </c>
      <c r="I1149" s="5" t="n">
        <f aca="false">INDEX(Produtos!$D$2:$D$11,MATCH(F1149,Produtos!$A$2:$A$11,0))</f>
        <v>59.9</v>
      </c>
      <c r="J1149" s="5" t="n">
        <f aca="false">H1149*I1149</f>
        <v>59.9</v>
      </c>
      <c r="K1149" s="5" t="n">
        <f aca="false">INDEX(Produtos!$E$2:$E$11,MATCH(F1149,Produtos!$A$2:$A$11,0))</f>
        <v>28</v>
      </c>
      <c r="L1149" s="5" t="n">
        <f aca="false">H1149*K1149</f>
        <v>28</v>
      </c>
    </row>
    <row r="1150" customFormat="false" ht="15" hidden="false" customHeight="false" outlineLevel="0" collapsed="false">
      <c r="A1150" s="2" t="s">
        <v>1432</v>
      </c>
      <c r="B1150" s="8" t="n">
        <v>46118</v>
      </c>
      <c r="C1150" s="2" t="s">
        <v>116</v>
      </c>
      <c r="D1150" s="3" t="str">
        <f aca="false">INDEX(Vendedores!$C$2:$C$101,MATCH(C1150,Vendedores!$A$2:$A$101,0))</f>
        <v>L04</v>
      </c>
      <c r="E1150" s="3" t="str">
        <f aca="false">INDEX(Lojas!$E$2:$E$11,MATCH(D1150,Lojas!$A$2:$A$11,0))</f>
        <v>Sudeste</v>
      </c>
      <c r="F1150" s="2" t="s">
        <v>265</v>
      </c>
      <c r="G1150" s="3" t="str">
        <f aca="false">INDEX(Produtos!$B$2:$B$11,MATCH(F1150,Produtos!$A$2:$A$11,0))&amp;" "&amp;INDEX(Produtos!$C$2:$C$11,MATCH(F1150,Produtos!$A$2:$A$11,0))</f>
        <v>Fone de Ouvido Headset</v>
      </c>
      <c r="H1150" s="2" t="n">
        <v>1</v>
      </c>
      <c r="I1150" s="5" t="n">
        <f aca="false">INDEX(Produtos!$D$2:$D$11,MATCH(F1150,Produtos!$A$2:$A$11,0))</f>
        <v>249.9</v>
      </c>
      <c r="J1150" s="5" t="n">
        <f aca="false">H1150*I1150</f>
        <v>249.9</v>
      </c>
      <c r="K1150" s="5" t="n">
        <f aca="false">INDEX(Produtos!$E$2:$E$11,MATCH(F1150,Produtos!$A$2:$A$11,0))</f>
        <v>145</v>
      </c>
      <c r="L1150" s="5" t="n">
        <f aca="false">H1150*K1150</f>
        <v>145</v>
      </c>
    </row>
    <row r="1151" customFormat="false" ht="15" hidden="false" customHeight="false" outlineLevel="0" collapsed="false">
      <c r="A1151" s="2" t="s">
        <v>1433</v>
      </c>
      <c r="B1151" s="8" t="n">
        <v>46118</v>
      </c>
      <c r="C1151" s="2" t="s">
        <v>135</v>
      </c>
      <c r="D1151" s="3" t="str">
        <f aca="false">INDEX(Vendedores!$C$2:$C$101,MATCH(C1151,Vendedores!$A$2:$A$101,0))</f>
        <v>L05</v>
      </c>
      <c r="E1151" s="3" t="str">
        <f aca="false">INDEX(Lojas!$E$2:$E$11,MATCH(D1151,Lojas!$A$2:$A$11,0))</f>
        <v>Sul</v>
      </c>
      <c r="F1151" s="2" t="s">
        <v>275</v>
      </c>
      <c r="G1151" s="3" t="str">
        <f aca="false">INDEX(Produtos!$B$2:$B$11,MATCH(F1151,Produtos!$A$2:$A$11,0))&amp;" "&amp;INDEX(Produtos!$C$2:$C$11,MATCH(F1151,Produtos!$A$2:$A$11,0))</f>
        <v>Controle de Videogame PS5</v>
      </c>
      <c r="H1151" s="2" t="n">
        <v>1</v>
      </c>
      <c r="I1151" s="5" t="n">
        <f aca="false">INDEX(Produtos!$D$2:$D$11,MATCH(F1151,Produtos!$A$2:$A$11,0))</f>
        <v>379.9</v>
      </c>
      <c r="J1151" s="5" t="n">
        <f aca="false">H1151*I1151</f>
        <v>379.9</v>
      </c>
      <c r="K1151" s="5" t="n">
        <f aca="false">INDEX(Produtos!$E$2:$E$11,MATCH(F1151,Produtos!$A$2:$A$11,0))</f>
        <v>235</v>
      </c>
      <c r="L1151" s="5" t="n">
        <f aca="false">H1151*K1151</f>
        <v>235</v>
      </c>
    </row>
    <row r="1152" customFormat="false" ht="15" hidden="false" customHeight="false" outlineLevel="0" collapsed="false">
      <c r="A1152" s="2" t="s">
        <v>1434</v>
      </c>
      <c r="B1152" s="8" t="n">
        <v>46118</v>
      </c>
      <c r="C1152" s="2" t="s">
        <v>137</v>
      </c>
      <c r="D1152" s="3" t="str">
        <f aca="false">INDEX(Vendedores!$C$2:$C$101,MATCH(C1152,Vendedores!$A$2:$A$101,0))</f>
        <v>L05</v>
      </c>
      <c r="E1152" s="3" t="str">
        <f aca="false">INDEX(Lojas!$E$2:$E$11,MATCH(D1152,Lojas!$A$2:$A$11,0))</f>
        <v>Sul</v>
      </c>
      <c r="F1152" s="2" t="s">
        <v>275</v>
      </c>
      <c r="G1152" s="3" t="str">
        <f aca="false">INDEX(Produtos!$B$2:$B$11,MATCH(F1152,Produtos!$A$2:$A$11,0))&amp;" "&amp;INDEX(Produtos!$C$2:$C$11,MATCH(F1152,Produtos!$A$2:$A$11,0))</f>
        <v>Controle de Videogame PS5</v>
      </c>
      <c r="H1152" s="2" t="n">
        <v>1</v>
      </c>
      <c r="I1152" s="5" t="n">
        <f aca="false">INDEX(Produtos!$D$2:$D$11,MATCH(F1152,Produtos!$A$2:$A$11,0))</f>
        <v>379.9</v>
      </c>
      <c r="J1152" s="5" t="n">
        <f aca="false">H1152*I1152</f>
        <v>379.9</v>
      </c>
      <c r="K1152" s="5" t="n">
        <f aca="false">INDEX(Produtos!$E$2:$E$11,MATCH(F1152,Produtos!$A$2:$A$11,0))</f>
        <v>235</v>
      </c>
      <c r="L1152" s="5" t="n">
        <f aca="false">H1152*K1152</f>
        <v>235</v>
      </c>
    </row>
    <row r="1153" customFormat="false" ht="15" hidden="false" customHeight="false" outlineLevel="0" collapsed="false">
      <c r="A1153" s="2" t="s">
        <v>1435</v>
      </c>
      <c r="B1153" s="8" t="n">
        <v>46118</v>
      </c>
      <c r="C1153" s="2" t="s">
        <v>189</v>
      </c>
      <c r="D1153" s="3" t="str">
        <f aca="false">INDEX(Vendedores!$C$2:$C$101,MATCH(C1153,Vendedores!$A$2:$A$101,0))</f>
        <v>L08</v>
      </c>
      <c r="E1153" s="3" t="str">
        <f aca="false">INDEX(Lojas!$E$2:$E$11,MATCH(D1153,Lojas!$A$2:$A$11,0))</f>
        <v>Nordeste</v>
      </c>
      <c r="F1153" s="2" t="s">
        <v>262</v>
      </c>
      <c r="G1153" s="3" t="str">
        <f aca="false">INDEX(Produtos!$B$2:$B$11,MATCH(F1153,Produtos!$A$2:$A$11,0))&amp;" "&amp;INDEX(Produtos!$C$2:$C$11,MATCH(F1153,Produtos!$A$2:$A$11,0))</f>
        <v>Fone de Ouvido De Celular</v>
      </c>
      <c r="H1153" s="2" t="n">
        <v>1</v>
      </c>
      <c r="I1153" s="5" t="n">
        <f aca="false">INDEX(Produtos!$D$2:$D$11,MATCH(F1153,Produtos!$A$2:$A$11,0))</f>
        <v>59.9</v>
      </c>
      <c r="J1153" s="5" t="n">
        <f aca="false">H1153*I1153</f>
        <v>59.9</v>
      </c>
      <c r="K1153" s="5" t="n">
        <f aca="false">INDEX(Produtos!$E$2:$E$11,MATCH(F1153,Produtos!$A$2:$A$11,0))</f>
        <v>28</v>
      </c>
      <c r="L1153" s="5" t="n">
        <f aca="false">H1153*K1153</f>
        <v>28</v>
      </c>
    </row>
    <row r="1154" customFormat="false" ht="15" hidden="false" customHeight="false" outlineLevel="0" collapsed="false">
      <c r="A1154" s="2" t="s">
        <v>1436</v>
      </c>
      <c r="B1154" s="8" t="n">
        <v>46118</v>
      </c>
      <c r="C1154" s="2" t="s">
        <v>118</v>
      </c>
      <c r="D1154" s="3" t="str">
        <f aca="false">INDEX(Vendedores!$C$2:$C$101,MATCH(C1154,Vendedores!$A$2:$A$101,0))</f>
        <v>L04</v>
      </c>
      <c r="E1154" s="3" t="str">
        <f aca="false">INDEX(Lojas!$E$2:$E$11,MATCH(D1154,Lojas!$A$2:$A$11,0))</f>
        <v>Sudeste</v>
      </c>
      <c r="F1154" s="2" t="s">
        <v>273</v>
      </c>
      <c r="G1154" s="3" t="str">
        <f aca="false">INDEX(Produtos!$B$2:$B$11,MATCH(F1154,Produtos!$A$2:$A$11,0))&amp;" "&amp;INDEX(Produtos!$C$2:$C$11,MATCH(F1154,Produtos!$A$2:$A$11,0))</f>
        <v>Controle de Videogame PS4</v>
      </c>
      <c r="H1154" s="2" t="n">
        <v>1</v>
      </c>
      <c r="I1154" s="5" t="n">
        <f aca="false">INDEX(Produtos!$D$2:$D$11,MATCH(F1154,Produtos!$A$2:$A$11,0))</f>
        <v>299.9</v>
      </c>
      <c r="J1154" s="5" t="n">
        <f aca="false">H1154*I1154</f>
        <v>299.9</v>
      </c>
      <c r="K1154" s="5" t="n">
        <f aca="false">INDEX(Produtos!$E$2:$E$11,MATCH(F1154,Produtos!$A$2:$A$11,0))</f>
        <v>175</v>
      </c>
      <c r="L1154" s="5" t="n">
        <f aca="false">H1154*K1154</f>
        <v>175</v>
      </c>
    </row>
    <row r="1155" customFormat="false" ht="15" hidden="false" customHeight="false" outlineLevel="0" collapsed="false">
      <c r="A1155" s="2" t="s">
        <v>1437</v>
      </c>
      <c r="B1155" s="8" t="n">
        <v>46118</v>
      </c>
      <c r="C1155" s="2" t="s">
        <v>74</v>
      </c>
      <c r="D1155" s="3" t="str">
        <f aca="false">INDEX(Vendedores!$C$2:$C$101,MATCH(C1155,Vendedores!$A$2:$A$101,0))</f>
        <v>L02</v>
      </c>
      <c r="E1155" s="3" t="str">
        <f aca="false">INDEX(Lojas!$E$2:$E$11,MATCH(D1155,Lojas!$A$2:$A$11,0))</f>
        <v>Sudeste</v>
      </c>
      <c r="F1155" s="2" t="s">
        <v>262</v>
      </c>
      <c r="G1155" s="3" t="str">
        <f aca="false">INDEX(Produtos!$B$2:$B$11,MATCH(F1155,Produtos!$A$2:$A$11,0))&amp;" "&amp;INDEX(Produtos!$C$2:$C$11,MATCH(F1155,Produtos!$A$2:$A$11,0))</f>
        <v>Fone de Ouvido De Celular</v>
      </c>
      <c r="H1155" s="2" t="n">
        <v>3</v>
      </c>
      <c r="I1155" s="5" t="n">
        <f aca="false">INDEX(Produtos!$D$2:$D$11,MATCH(F1155,Produtos!$A$2:$A$11,0))</f>
        <v>59.9</v>
      </c>
      <c r="J1155" s="5" t="n">
        <f aca="false">H1155*I1155</f>
        <v>179.7</v>
      </c>
      <c r="K1155" s="5" t="n">
        <f aca="false">INDEX(Produtos!$E$2:$E$11,MATCH(F1155,Produtos!$A$2:$A$11,0))</f>
        <v>28</v>
      </c>
      <c r="L1155" s="5" t="n">
        <f aca="false">H1155*K1155</f>
        <v>84</v>
      </c>
    </row>
    <row r="1156" customFormat="false" ht="15" hidden="false" customHeight="false" outlineLevel="0" collapsed="false">
      <c r="A1156" s="2" t="s">
        <v>1438</v>
      </c>
      <c r="B1156" s="8" t="n">
        <v>46118</v>
      </c>
      <c r="C1156" s="2" t="s">
        <v>102</v>
      </c>
      <c r="D1156" s="3" t="str">
        <f aca="false">INDEX(Vendedores!$C$2:$C$101,MATCH(C1156,Vendedores!$A$2:$A$101,0))</f>
        <v>L03</v>
      </c>
      <c r="E1156" s="3" t="str">
        <f aca="false">INDEX(Lojas!$E$2:$E$11,MATCH(D1156,Lojas!$A$2:$A$11,0))</f>
        <v>Sudeste</v>
      </c>
      <c r="F1156" s="2" t="s">
        <v>257</v>
      </c>
      <c r="G1156" s="3" t="str">
        <f aca="false">INDEX(Produtos!$B$2:$B$11,MATCH(F1156,Produtos!$A$2:$A$11,0))&amp;" "&amp;INDEX(Produtos!$C$2:$C$11,MATCH(F1156,Produtos!$A$2:$A$11,0))</f>
        <v>Celular Samsung</v>
      </c>
      <c r="H1156" s="2" t="n">
        <v>3</v>
      </c>
      <c r="I1156" s="5" t="n">
        <f aca="false">INDEX(Produtos!$D$2:$D$11,MATCH(F1156,Produtos!$A$2:$A$11,0))</f>
        <v>2499</v>
      </c>
      <c r="J1156" s="5" t="n">
        <f aca="false">H1156*I1156</f>
        <v>7497</v>
      </c>
      <c r="K1156" s="5" t="n">
        <f aca="false">INDEX(Produtos!$E$2:$E$11,MATCH(F1156,Produtos!$A$2:$A$11,0))</f>
        <v>1800</v>
      </c>
      <c r="L1156" s="5" t="n">
        <f aca="false">H1156*K1156</f>
        <v>5400</v>
      </c>
    </row>
    <row r="1157" customFormat="false" ht="15" hidden="false" customHeight="false" outlineLevel="0" collapsed="false">
      <c r="A1157" s="2" t="s">
        <v>1439</v>
      </c>
      <c r="B1157" s="8" t="n">
        <v>46118</v>
      </c>
      <c r="C1157" s="2" t="s">
        <v>152</v>
      </c>
      <c r="D1157" s="3" t="str">
        <f aca="false">INDEX(Vendedores!$C$2:$C$101,MATCH(C1157,Vendedores!$A$2:$A$101,0))</f>
        <v>L06</v>
      </c>
      <c r="E1157" s="3" t="str">
        <f aca="false">INDEX(Lojas!$E$2:$E$11,MATCH(D1157,Lojas!$A$2:$A$11,0))</f>
        <v>Sul</v>
      </c>
      <c r="F1157" s="2" t="s">
        <v>270</v>
      </c>
      <c r="G1157" s="3" t="str">
        <f aca="false">INDEX(Produtos!$B$2:$B$11,MATCH(F1157,Produtos!$A$2:$A$11,0))&amp;" "&amp;INDEX(Produtos!$C$2:$C$11,MATCH(F1157,Produtos!$A$2:$A$11,0))</f>
        <v>Controle de Videogame Xbox</v>
      </c>
      <c r="H1157" s="2" t="n">
        <v>1</v>
      </c>
      <c r="I1157" s="5" t="n">
        <f aca="false">INDEX(Produtos!$D$2:$D$11,MATCH(F1157,Produtos!$A$2:$A$11,0))</f>
        <v>349.9</v>
      </c>
      <c r="J1157" s="5" t="n">
        <f aca="false">H1157*I1157</f>
        <v>349.9</v>
      </c>
      <c r="K1157" s="5" t="n">
        <f aca="false">INDEX(Produtos!$E$2:$E$11,MATCH(F1157,Produtos!$A$2:$A$11,0))</f>
        <v>215</v>
      </c>
      <c r="L1157" s="5" t="n">
        <f aca="false">H1157*K1157</f>
        <v>215</v>
      </c>
    </row>
    <row r="1158" customFormat="false" ht="15" hidden="false" customHeight="false" outlineLevel="0" collapsed="false">
      <c r="A1158" s="2" t="s">
        <v>1440</v>
      </c>
      <c r="B1158" s="8" t="n">
        <v>46118</v>
      </c>
      <c r="C1158" s="2" t="s">
        <v>166</v>
      </c>
      <c r="D1158" s="3" t="str">
        <f aca="false">INDEX(Vendedores!$C$2:$C$101,MATCH(C1158,Vendedores!$A$2:$A$101,0))</f>
        <v>L06</v>
      </c>
      <c r="E1158" s="3" t="str">
        <f aca="false">INDEX(Lojas!$E$2:$E$11,MATCH(D1158,Lojas!$A$2:$A$11,0))</f>
        <v>Sul</v>
      </c>
      <c r="F1158" s="2" t="s">
        <v>257</v>
      </c>
      <c r="G1158" s="3" t="str">
        <f aca="false">INDEX(Produtos!$B$2:$B$11,MATCH(F1158,Produtos!$A$2:$A$11,0))&amp;" "&amp;INDEX(Produtos!$C$2:$C$11,MATCH(F1158,Produtos!$A$2:$A$11,0))</f>
        <v>Celular Samsung</v>
      </c>
      <c r="H1158" s="2" t="n">
        <v>1</v>
      </c>
      <c r="I1158" s="5" t="n">
        <f aca="false">INDEX(Produtos!$D$2:$D$11,MATCH(F1158,Produtos!$A$2:$A$11,0))</f>
        <v>2499</v>
      </c>
      <c r="J1158" s="5" t="n">
        <f aca="false">H1158*I1158</f>
        <v>2499</v>
      </c>
      <c r="K1158" s="5" t="n">
        <f aca="false">INDEX(Produtos!$E$2:$E$11,MATCH(F1158,Produtos!$A$2:$A$11,0))</f>
        <v>1800</v>
      </c>
      <c r="L1158" s="5" t="n">
        <f aca="false">H1158*K1158</f>
        <v>1800</v>
      </c>
    </row>
    <row r="1159" customFormat="false" ht="15" hidden="false" customHeight="false" outlineLevel="0" collapsed="false">
      <c r="A1159" s="2" t="s">
        <v>1441</v>
      </c>
      <c r="B1159" s="8" t="n">
        <v>46118</v>
      </c>
      <c r="C1159" s="2" t="s">
        <v>168</v>
      </c>
      <c r="D1159" s="3" t="str">
        <f aca="false">INDEX(Vendedores!$C$2:$C$101,MATCH(C1159,Vendedores!$A$2:$A$101,0))</f>
        <v>L07</v>
      </c>
      <c r="E1159" s="3" t="str">
        <f aca="false">INDEX(Lojas!$E$2:$E$11,MATCH(D1159,Lojas!$A$2:$A$11,0))</f>
        <v>Sul</v>
      </c>
      <c r="F1159" s="2" t="s">
        <v>255</v>
      </c>
      <c r="G1159" s="3" t="str">
        <f aca="false">INDEX(Produtos!$B$2:$B$11,MATCH(F1159,Produtos!$A$2:$A$11,0))&amp;" "&amp;INDEX(Produtos!$C$2:$C$11,MATCH(F1159,Produtos!$A$2:$A$11,0))</f>
        <v>Notebook Positivo</v>
      </c>
      <c r="H1159" s="2" t="n">
        <v>1</v>
      </c>
      <c r="I1159" s="5" t="n">
        <f aca="false">INDEX(Produtos!$D$2:$D$11,MATCH(F1159,Produtos!$A$2:$A$11,0))</f>
        <v>2199</v>
      </c>
      <c r="J1159" s="5" t="n">
        <f aca="false">H1159*I1159</f>
        <v>2199</v>
      </c>
      <c r="K1159" s="5" t="n">
        <f aca="false">INDEX(Produtos!$E$2:$E$11,MATCH(F1159,Produtos!$A$2:$A$11,0))</f>
        <v>1550</v>
      </c>
      <c r="L1159" s="5" t="n">
        <f aca="false">H1159*K1159</f>
        <v>1550</v>
      </c>
    </row>
    <row r="1160" customFormat="false" ht="15" hidden="false" customHeight="false" outlineLevel="0" collapsed="false">
      <c r="A1160" s="2" t="s">
        <v>1442</v>
      </c>
      <c r="B1160" s="8" t="n">
        <v>46119</v>
      </c>
      <c r="C1160" s="2" t="s">
        <v>235</v>
      </c>
      <c r="D1160" s="3" t="str">
        <f aca="false">INDEX(Vendedores!$C$2:$C$101,MATCH(C1160,Vendedores!$A$2:$A$101,0))</f>
        <v>L10</v>
      </c>
      <c r="E1160" s="3" t="str">
        <f aca="false">INDEX(Lojas!$E$2:$E$11,MATCH(D1160,Lojas!$A$2:$A$11,0))</f>
        <v>Nordeste</v>
      </c>
      <c r="F1160" s="2" t="s">
        <v>260</v>
      </c>
      <c r="G1160" s="3" t="str">
        <f aca="false">INDEX(Produtos!$B$2:$B$11,MATCH(F1160,Produtos!$A$2:$A$11,0))&amp;" "&amp;INDEX(Produtos!$C$2:$C$11,MATCH(F1160,Produtos!$A$2:$A$11,0))</f>
        <v>Celular Motorola</v>
      </c>
      <c r="H1160" s="2" t="n">
        <v>1</v>
      </c>
      <c r="I1160" s="5" t="n">
        <f aca="false">INDEX(Produtos!$D$2:$D$11,MATCH(F1160,Produtos!$A$2:$A$11,0))</f>
        <v>1799</v>
      </c>
      <c r="J1160" s="5" t="n">
        <f aca="false">H1160*I1160</f>
        <v>1799</v>
      </c>
      <c r="K1160" s="5" t="n">
        <f aca="false">INDEX(Produtos!$E$2:$E$11,MATCH(F1160,Produtos!$A$2:$A$11,0))</f>
        <v>1250</v>
      </c>
      <c r="L1160" s="5" t="n">
        <f aca="false">H1160*K1160</f>
        <v>1250</v>
      </c>
    </row>
    <row r="1161" customFormat="false" ht="15" hidden="false" customHeight="false" outlineLevel="0" collapsed="false">
      <c r="A1161" s="2" t="s">
        <v>1443</v>
      </c>
      <c r="B1161" s="8" t="n">
        <v>46119</v>
      </c>
      <c r="C1161" s="2" t="s">
        <v>162</v>
      </c>
      <c r="D1161" s="3" t="str">
        <f aca="false">INDEX(Vendedores!$C$2:$C$101,MATCH(C1161,Vendedores!$A$2:$A$101,0))</f>
        <v>L06</v>
      </c>
      <c r="E1161" s="3" t="str">
        <f aca="false">INDEX(Lojas!$E$2:$E$11,MATCH(D1161,Lojas!$A$2:$A$11,0))</f>
        <v>Sul</v>
      </c>
      <c r="F1161" s="2" t="s">
        <v>262</v>
      </c>
      <c r="G1161" s="3" t="str">
        <f aca="false">INDEX(Produtos!$B$2:$B$11,MATCH(F1161,Produtos!$A$2:$A$11,0))&amp;" "&amp;INDEX(Produtos!$C$2:$C$11,MATCH(F1161,Produtos!$A$2:$A$11,0))</f>
        <v>Fone de Ouvido De Celular</v>
      </c>
      <c r="H1161" s="2" t="n">
        <v>1</v>
      </c>
      <c r="I1161" s="5" t="n">
        <f aca="false">INDEX(Produtos!$D$2:$D$11,MATCH(F1161,Produtos!$A$2:$A$11,0))</f>
        <v>59.9</v>
      </c>
      <c r="J1161" s="5" t="n">
        <f aca="false">H1161*I1161</f>
        <v>59.9</v>
      </c>
      <c r="K1161" s="5" t="n">
        <f aca="false">INDEX(Produtos!$E$2:$E$11,MATCH(F1161,Produtos!$A$2:$A$11,0))</f>
        <v>28</v>
      </c>
      <c r="L1161" s="5" t="n">
        <f aca="false">H1161*K1161</f>
        <v>28</v>
      </c>
    </row>
    <row r="1162" customFormat="false" ht="15" hidden="false" customHeight="false" outlineLevel="0" collapsed="false">
      <c r="A1162" s="2" t="s">
        <v>1444</v>
      </c>
      <c r="B1162" s="8" t="n">
        <v>46119</v>
      </c>
      <c r="C1162" s="2" t="s">
        <v>98</v>
      </c>
      <c r="D1162" s="3" t="str">
        <f aca="false">INDEX(Vendedores!$C$2:$C$101,MATCH(C1162,Vendedores!$A$2:$A$101,0))</f>
        <v>L03</v>
      </c>
      <c r="E1162" s="3" t="str">
        <f aca="false">INDEX(Lojas!$E$2:$E$11,MATCH(D1162,Lojas!$A$2:$A$11,0))</f>
        <v>Sudeste</v>
      </c>
      <c r="F1162" s="2" t="s">
        <v>257</v>
      </c>
      <c r="G1162" s="3" t="str">
        <f aca="false">INDEX(Produtos!$B$2:$B$11,MATCH(F1162,Produtos!$A$2:$A$11,0))&amp;" "&amp;INDEX(Produtos!$C$2:$C$11,MATCH(F1162,Produtos!$A$2:$A$11,0))</f>
        <v>Celular Samsung</v>
      </c>
      <c r="H1162" s="2" t="n">
        <v>1</v>
      </c>
      <c r="I1162" s="5" t="n">
        <f aca="false">INDEX(Produtos!$D$2:$D$11,MATCH(F1162,Produtos!$A$2:$A$11,0))</f>
        <v>2499</v>
      </c>
      <c r="J1162" s="5" t="n">
        <f aca="false">H1162*I1162</f>
        <v>2499</v>
      </c>
      <c r="K1162" s="5" t="n">
        <f aca="false">INDEX(Produtos!$E$2:$E$11,MATCH(F1162,Produtos!$A$2:$A$11,0))</f>
        <v>1800</v>
      </c>
      <c r="L1162" s="5" t="n">
        <f aca="false">H1162*K1162</f>
        <v>1800</v>
      </c>
    </row>
    <row r="1163" customFormat="false" ht="15" hidden="false" customHeight="false" outlineLevel="0" collapsed="false">
      <c r="A1163" s="2" t="s">
        <v>1445</v>
      </c>
      <c r="B1163" s="8" t="n">
        <v>46119</v>
      </c>
      <c r="C1163" s="2" t="s">
        <v>124</v>
      </c>
      <c r="D1163" s="3" t="str">
        <f aca="false">INDEX(Vendedores!$C$2:$C$101,MATCH(C1163,Vendedores!$A$2:$A$101,0))</f>
        <v>L04</v>
      </c>
      <c r="E1163" s="3" t="str">
        <f aca="false">INDEX(Lojas!$E$2:$E$11,MATCH(D1163,Lojas!$A$2:$A$11,0))</f>
        <v>Sudeste</v>
      </c>
      <c r="F1163" s="2" t="s">
        <v>273</v>
      </c>
      <c r="G1163" s="3" t="str">
        <f aca="false">INDEX(Produtos!$B$2:$B$11,MATCH(F1163,Produtos!$A$2:$A$11,0))&amp;" "&amp;INDEX(Produtos!$C$2:$C$11,MATCH(F1163,Produtos!$A$2:$A$11,0))</f>
        <v>Controle de Videogame PS4</v>
      </c>
      <c r="H1163" s="2" t="n">
        <v>1</v>
      </c>
      <c r="I1163" s="5" t="n">
        <f aca="false">INDEX(Produtos!$D$2:$D$11,MATCH(F1163,Produtos!$A$2:$A$11,0))</f>
        <v>299.9</v>
      </c>
      <c r="J1163" s="5" t="n">
        <f aca="false">H1163*I1163</f>
        <v>299.9</v>
      </c>
      <c r="K1163" s="5" t="n">
        <f aca="false">INDEX(Produtos!$E$2:$E$11,MATCH(F1163,Produtos!$A$2:$A$11,0))</f>
        <v>175</v>
      </c>
      <c r="L1163" s="5" t="n">
        <f aca="false">H1163*K1163</f>
        <v>175</v>
      </c>
    </row>
    <row r="1164" customFormat="false" ht="15" hidden="false" customHeight="false" outlineLevel="0" collapsed="false">
      <c r="A1164" s="2" t="s">
        <v>1446</v>
      </c>
      <c r="B1164" s="8" t="n">
        <v>46119</v>
      </c>
      <c r="C1164" s="2" t="s">
        <v>209</v>
      </c>
      <c r="D1164" s="3" t="str">
        <f aca="false">INDEX(Vendedores!$C$2:$C$101,MATCH(C1164,Vendedores!$A$2:$A$101,0))</f>
        <v>L09</v>
      </c>
      <c r="E1164" s="3" t="str">
        <f aca="false">INDEX(Lojas!$E$2:$E$11,MATCH(D1164,Lojas!$A$2:$A$11,0))</f>
        <v>Nordeste</v>
      </c>
      <c r="F1164" s="2" t="s">
        <v>267</v>
      </c>
      <c r="G1164" s="3" t="str">
        <f aca="false">INDEX(Produtos!$B$2:$B$11,MATCH(F1164,Produtos!$A$2:$A$11,0))&amp;" "&amp;INDEX(Produtos!$C$2:$C$11,MATCH(F1164,Produtos!$A$2:$A$11,0))</f>
        <v>Carregador de Celular Tipo C</v>
      </c>
      <c r="H1164" s="2" t="n">
        <v>1</v>
      </c>
      <c r="I1164" s="5" t="n">
        <f aca="false">INDEX(Produtos!$D$2:$D$11,MATCH(F1164,Produtos!$A$2:$A$11,0))</f>
        <v>44.9</v>
      </c>
      <c r="J1164" s="5" t="n">
        <f aca="false">H1164*I1164</f>
        <v>44.9</v>
      </c>
      <c r="K1164" s="5" t="n">
        <f aca="false">INDEX(Produtos!$E$2:$E$11,MATCH(F1164,Produtos!$A$2:$A$11,0))</f>
        <v>18</v>
      </c>
      <c r="L1164" s="5" t="n">
        <f aca="false">H1164*K1164</f>
        <v>18</v>
      </c>
    </row>
    <row r="1165" customFormat="false" ht="15" hidden="false" customHeight="false" outlineLevel="0" collapsed="false">
      <c r="A1165" s="2" t="s">
        <v>1447</v>
      </c>
      <c r="B1165" s="8" t="n">
        <v>46119</v>
      </c>
      <c r="C1165" s="2" t="s">
        <v>131</v>
      </c>
      <c r="D1165" s="3" t="str">
        <f aca="false">INDEX(Vendedores!$C$2:$C$101,MATCH(C1165,Vendedores!$A$2:$A$101,0))</f>
        <v>L05</v>
      </c>
      <c r="E1165" s="3" t="str">
        <f aca="false">INDEX(Lojas!$E$2:$E$11,MATCH(D1165,Lojas!$A$2:$A$11,0))</f>
        <v>Sul</v>
      </c>
      <c r="F1165" s="2" t="s">
        <v>262</v>
      </c>
      <c r="G1165" s="3" t="str">
        <f aca="false">INDEX(Produtos!$B$2:$B$11,MATCH(F1165,Produtos!$A$2:$A$11,0))&amp;" "&amp;INDEX(Produtos!$C$2:$C$11,MATCH(F1165,Produtos!$A$2:$A$11,0))</f>
        <v>Fone de Ouvido De Celular</v>
      </c>
      <c r="H1165" s="2" t="n">
        <v>2</v>
      </c>
      <c r="I1165" s="5" t="n">
        <f aca="false">INDEX(Produtos!$D$2:$D$11,MATCH(F1165,Produtos!$A$2:$A$11,0))</f>
        <v>59.9</v>
      </c>
      <c r="J1165" s="5" t="n">
        <f aca="false">H1165*I1165</f>
        <v>119.8</v>
      </c>
      <c r="K1165" s="5" t="n">
        <f aca="false">INDEX(Produtos!$E$2:$E$11,MATCH(F1165,Produtos!$A$2:$A$11,0))</f>
        <v>28</v>
      </c>
      <c r="L1165" s="5" t="n">
        <f aca="false">H1165*K1165</f>
        <v>56</v>
      </c>
    </row>
    <row r="1166" customFormat="false" ht="15" hidden="false" customHeight="false" outlineLevel="0" collapsed="false">
      <c r="A1166" s="2" t="s">
        <v>1448</v>
      </c>
      <c r="B1166" s="8" t="n">
        <v>46120</v>
      </c>
      <c r="C1166" s="2" t="s">
        <v>239</v>
      </c>
      <c r="D1166" s="3" t="str">
        <f aca="false">INDEX(Vendedores!$C$2:$C$101,MATCH(C1166,Vendedores!$A$2:$A$101,0))</f>
        <v>L10</v>
      </c>
      <c r="E1166" s="3" t="str">
        <f aca="false">INDEX(Lojas!$E$2:$E$11,MATCH(D1166,Lojas!$A$2:$A$11,0))</f>
        <v>Nordeste</v>
      </c>
      <c r="F1166" s="2" t="s">
        <v>267</v>
      </c>
      <c r="G1166" s="3" t="str">
        <f aca="false">INDEX(Produtos!$B$2:$B$11,MATCH(F1166,Produtos!$A$2:$A$11,0))&amp;" "&amp;INDEX(Produtos!$C$2:$C$11,MATCH(F1166,Produtos!$A$2:$A$11,0))</f>
        <v>Carregador de Celular Tipo C</v>
      </c>
      <c r="H1166" s="2" t="n">
        <v>1</v>
      </c>
      <c r="I1166" s="5" t="n">
        <f aca="false">INDEX(Produtos!$D$2:$D$11,MATCH(F1166,Produtos!$A$2:$A$11,0))</f>
        <v>44.9</v>
      </c>
      <c r="J1166" s="5" t="n">
        <f aca="false">H1166*I1166</f>
        <v>44.9</v>
      </c>
      <c r="K1166" s="5" t="n">
        <f aca="false">INDEX(Produtos!$E$2:$E$11,MATCH(F1166,Produtos!$A$2:$A$11,0))</f>
        <v>18</v>
      </c>
      <c r="L1166" s="5" t="n">
        <f aca="false">H1166*K1166</f>
        <v>18</v>
      </c>
    </row>
    <row r="1167" customFormat="false" ht="15" hidden="false" customHeight="false" outlineLevel="0" collapsed="false">
      <c r="A1167" s="2" t="s">
        <v>1449</v>
      </c>
      <c r="B1167" s="8" t="n">
        <v>46120</v>
      </c>
      <c r="C1167" s="2" t="s">
        <v>126</v>
      </c>
      <c r="D1167" s="3" t="str">
        <f aca="false">INDEX(Vendedores!$C$2:$C$101,MATCH(C1167,Vendedores!$A$2:$A$101,0))</f>
        <v>L04</v>
      </c>
      <c r="E1167" s="3" t="str">
        <f aca="false">INDEX(Lojas!$E$2:$E$11,MATCH(D1167,Lojas!$A$2:$A$11,0))</f>
        <v>Sudeste</v>
      </c>
      <c r="F1167" s="2" t="s">
        <v>270</v>
      </c>
      <c r="G1167" s="3" t="str">
        <f aca="false">INDEX(Produtos!$B$2:$B$11,MATCH(F1167,Produtos!$A$2:$A$11,0))&amp;" "&amp;INDEX(Produtos!$C$2:$C$11,MATCH(F1167,Produtos!$A$2:$A$11,0))</f>
        <v>Controle de Videogame Xbox</v>
      </c>
      <c r="H1167" s="2" t="n">
        <v>1</v>
      </c>
      <c r="I1167" s="5" t="n">
        <f aca="false">INDEX(Produtos!$D$2:$D$11,MATCH(F1167,Produtos!$A$2:$A$11,0))</f>
        <v>349.9</v>
      </c>
      <c r="J1167" s="5" t="n">
        <f aca="false">H1167*I1167</f>
        <v>349.9</v>
      </c>
      <c r="K1167" s="5" t="n">
        <f aca="false">INDEX(Produtos!$E$2:$E$11,MATCH(F1167,Produtos!$A$2:$A$11,0))</f>
        <v>215</v>
      </c>
      <c r="L1167" s="5" t="n">
        <f aca="false">H1167*K1167</f>
        <v>215</v>
      </c>
    </row>
    <row r="1168" customFormat="false" ht="15" hidden="false" customHeight="false" outlineLevel="0" collapsed="false">
      <c r="A1168" s="2" t="s">
        <v>1450</v>
      </c>
      <c r="B1168" s="8" t="n">
        <v>46120</v>
      </c>
      <c r="C1168" s="2" t="s">
        <v>90</v>
      </c>
      <c r="D1168" s="3" t="str">
        <f aca="false">INDEX(Vendedores!$C$2:$C$101,MATCH(C1168,Vendedores!$A$2:$A$101,0))</f>
        <v>L03</v>
      </c>
      <c r="E1168" s="3" t="str">
        <f aca="false">INDEX(Lojas!$E$2:$E$11,MATCH(D1168,Lojas!$A$2:$A$11,0))</f>
        <v>Sudeste</v>
      </c>
      <c r="F1168" s="2" t="s">
        <v>265</v>
      </c>
      <c r="G1168" s="3" t="str">
        <f aca="false">INDEX(Produtos!$B$2:$B$11,MATCH(F1168,Produtos!$A$2:$A$11,0))&amp;" "&amp;INDEX(Produtos!$C$2:$C$11,MATCH(F1168,Produtos!$A$2:$A$11,0))</f>
        <v>Fone de Ouvido Headset</v>
      </c>
      <c r="H1168" s="2" t="n">
        <v>2</v>
      </c>
      <c r="I1168" s="5" t="n">
        <f aca="false">INDEX(Produtos!$D$2:$D$11,MATCH(F1168,Produtos!$A$2:$A$11,0))</f>
        <v>249.9</v>
      </c>
      <c r="J1168" s="5" t="n">
        <f aca="false">H1168*I1168</f>
        <v>499.8</v>
      </c>
      <c r="K1168" s="5" t="n">
        <f aca="false">INDEX(Produtos!$E$2:$E$11,MATCH(F1168,Produtos!$A$2:$A$11,0))</f>
        <v>145</v>
      </c>
      <c r="L1168" s="5" t="n">
        <f aca="false">H1168*K1168</f>
        <v>290</v>
      </c>
    </row>
    <row r="1169" customFormat="false" ht="15" hidden="false" customHeight="false" outlineLevel="0" collapsed="false">
      <c r="A1169" s="2" t="s">
        <v>1451</v>
      </c>
      <c r="B1169" s="8" t="n">
        <v>46120</v>
      </c>
      <c r="C1169" s="2" t="s">
        <v>148</v>
      </c>
      <c r="D1169" s="3" t="str">
        <f aca="false">INDEX(Vendedores!$C$2:$C$101,MATCH(C1169,Vendedores!$A$2:$A$101,0))</f>
        <v>L06</v>
      </c>
      <c r="E1169" s="3" t="str">
        <f aca="false">INDEX(Lojas!$E$2:$E$11,MATCH(D1169,Lojas!$A$2:$A$11,0))</f>
        <v>Sul</v>
      </c>
      <c r="F1169" s="2" t="s">
        <v>270</v>
      </c>
      <c r="G1169" s="3" t="str">
        <f aca="false">INDEX(Produtos!$B$2:$B$11,MATCH(F1169,Produtos!$A$2:$A$11,0))&amp;" "&amp;INDEX(Produtos!$C$2:$C$11,MATCH(F1169,Produtos!$A$2:$A$11,0))</f>
        <v>Controle de Videogame Xbox</v>
      </c>
      <c r="H1169" s="2" t="n">
        <v>1</v>
      </c>
      <c r="I1169" s="5" t="n">
        <f aca="false">INDEX(Produtos!$D$2:$D$11,MATCH(F1169,Produtos!$A$2:$A$11,0))</f>
        <v>349.9</v>
      </c>
      <c r="J1169" s="5" t="n">
        <f aca="false">H1169*I1169</f>
        <v>349.9</v>
      </c>
      <c r="K1169" s="5" t="n">
        <f aca="false">INDEX(Produtos!$E$2:$E$11,MATCH(F1169,Produtos!$A$2:$A$11,0))</f>
        <v>215</v>
      </c>
      <c r="L1169" s="5" t="n">
        <f aca="false">H1169*K1169</f>
        <v>215</v>
      </c>
    </row>
    <row r="1170" customFormat="false" ht="15" hidden="false" customHeight="false" outlineLevel="0" collapsed="false">
      <c r="A1170" s="2" t="s">
        <v>1452</v>
      </c>
      <c r="B1170" s="8" t="n">
        <v>46120</v>
      </c>
      <c r="C1170" s="2" t="s">
        <v>94</v>
      </c>
      <c r="D1170" s="3" t="str">
        <f aca="false">INDEX(Vendedores!$C$2:$C$101,MATCH(C1170,Vendedores!$A$2:$A$101,0))</f>
        <v>L03</v>
      </c>
      <c r="E1170" s="3" t="str">
        <f aca="false">INDEX(Lojas!$E$2:$E$11,MATCH(D1170,Lojas!$A$2:$A$11,0))</f>
        <v>Sudeste</v>
      </c>
      <c r="F1170" s="2" t="s">
        <v>273</v>
      </c>
      <c r="G1170" s="3" t="str">
        <f aca="false">INDEX(Produtos!$B$2:$B$11,MATCH(F1170,Produtos!$A$2:$A$11,0))&amp;" "&amp;INDEX(Produtos!$C$2:$C$11,MATCH(F1170,Produtos!$A$2:$A$11,0))</f>
        <v>Controle de Videogame PS4</v>
      </c>
      <c r="H1170" s="2" t="n">
        <v>1</v>
      </c>
      <c r="I1170" s="5" t="n">
        <f aca="false">INDEX(Produtos!$D$2:$D$11,MATCH(F1170,Produtos!$A$2:$A$11,0))</f>
        <v>299.9</v>
      </c>
      <c r="J1170" s="5" t="n">
        <f aca="false">H1170*I1170</f>
        <v>299.9</v>
      </c>
      <c r="K1170" s="5" t="n">
        <f aca="false">INDEX(Produtos!$E$2:$E$11,MATCH(F1170,Produtos!$A$2:$A$11,0))</f>
        <v>175</v>
      </c>
      <c r="L1170" s="5" t="n">
        <f aca="false">H1170*K1170</f>
        <v>175</v>
      </c>
    </row>
    <row r="1171" customFormat="false" ht="15" hidden="false" customHeight="false" outlineLevel="0" collapsed="false">
      <c r="A1171" s="2" t="s">
        <v>1453</v>
      </c>
      <c r="B1171" s="8" t="n">
        <v>46120</v>
      </c>
      <c r="C1171" s="2" t="s">
        <v>146</v>
      </c>
      <c r="D1171" s="3" t="str">
        <f aca="false">INDEX(Vendedores!$C$2:$C$101,MATCH(C1171,Vendedores!$A$2:$A$101,0))</f>
        <v>L05</v>
      </c>
      <c r="E1171" s="3" t="str">
        <f aca="false">INDEX(Lojas!$E$2:$E$11,MATCH(D1171,Lojas!$A$2:$A$11,0))</f>
        <v>Sul</v>
      </c>
      <c r="F1171" s="2" t="s">
        <v>275</v>
      </c>
      <c r="G1171" s="3" t="str">
        <f aca="false">INDEX(Produtos!$B$2:$B$11,MATCH(F1171,Produtos!$A$2:$A$11,0))&amp;" "&amp;INDEX(Produtos!$C$2:$C$11,MATCH(F1171,Produtos!$A$2:$A$11,0))</f>
        <v>Controle de Videogame PS5</v>
      </c>
      <c r="H1171" s="2" t="n">
        <v>1</v>
      </c>
      <c r="I1171" s="5" t="n">
        <f aca="false">INDEX(Produtos!$D$2:$D$11,MATCH(F1171,Produtos!$A$2:$A$11,0))</f>
        <v>379.9</v>
      </c>
      <c r="J1171" s="5" t="n">
        <f aca="false">H1171*I1171</f>
        <v>379.9</v>
      </c>
      <c r="K1171" s="5" t="n">
        <f aca="false">INDEX(Produtos!$E$2:$E$11,MATCH(F1171,Produtos!$A$2:$A$11,0))</f>
        <v>235</v>
      </c>
      <c r="L1171" s="5" t="n">
        <f aca="false">H1171*K1171</f>
        <v>235</v>
      </c>
    </row>
    <row r="1172" customFormat="false" ht="15" hidden="false" customHeight="false" outlineLevel="0" collapsed="false">
      <c r="A1172" s="2" t="s">
        <v>1454</v>
      </c>
      <c r="B1172" s="8" t="n">
        <v>46120</v>
      </c>
      <c r="C1172" s="2" t="s">
        <v>225</v>
      </c>
      <c r="D1172" s="3" t="str">
        <f aca="false">INDEX(Vendedores!$C$2:$C$101,MATCH(C1172,Vendedores!$A$2:$A$101,0))</f>
        <v>L10</v>
      </c>
      <c r="E1172" s="3" t="str">
        <f aca="false">INDEX(Lojas!$E$2:$E$11,MATCH(D1172,Lojas!$A$2:$A$11,0))</f>
        <v>Nordeste</v>
      </c>
      <c r="F1172" s="2" t="s">
        <v>267</v>
      </c>
      <c r="G1172" s="3" t="str">
        <f aca="false">INDEX(Produtos!$B$2:$B$11,MATCH(F1172,Produtos!$A$2:$A$11,0))&amp;" "&amp;INDEX(Produtos!$C$2:$C$11,MATCH(F1172,Produtos!$A$2:$A$11,0))</f>
        <v>Carregador de Celular Tipo C</v>
      </c>
      <c r="H1172" s="2" t="n">
        <v>1</v>
      </c>
      <c r="I1172" s="5" t="n">
        <f aca="false">INDEX(Produtos!$D$2:$D$11,MATCH(F1172,Produtos!$A$2:$A$11,0))</f>
        <v>44.9</v>
      </c>
      <c r="J1172" s="5" t="n">
        <f aca="false">H1172*I1172</f>
        <v>44.9</v>
      </c>
      <c r="K1172" s="5" t="n">
        <f aca="false">INDEX(Produtos!$E$2:$E$11,MATCH(F1172,Produtos!$A$2:$A$11,0))</f>
        <v>18</v>
      </c>
      <c r="L1172" s="5" t="n">
        <f aca="false">H1172*K1172</f>
        <v>18</v>
      </c>
    </row>
    <row r="1173" customFormat="false" ht="15" hidden="false" customHeight="false" outlineLevel="0" collapsed="false">
      <c r="A1173" s="2" t="s">
        <v>1455</v>
      </c>
      <c r="B1173" s="8" t="n">
        <v>46120</v>
      </c>
      <c r="C1173" s="2" t="s">
        <v>156</v>
      </c>
      <c r="D1173" s="3" t="str">
        <f aca="false">INDEX(Vendedores!$C$2:$C$101,MATCH(C1173,Vendedores!$A$2:$A$101,0))</f>
        <v>L06</v>
      </c>
      <c r="E1173" s="3" t="str">
        <f aca="false">INDEX(Lojas!$E$2:$E$11,MATCH(D1173,Lojas!$A$2:$A$11,0))</f>
        <v>Sul</v>
      </c>
      <c r="F1173" s="2" t="s">
        <v>265</v>
      </c>
      <c r="G1173" s="3" t="str">
        <f aca="false">INDEX(Produtos!$B$2:$B$11,MATCH(F1173,Produtos!$A$2:$A$11,0))&amp;" "&amp;INDEX(Produtos!$C$2:$C$11,MATCH(F1173,Produtos!$A$2:$A$11,0))</f>
        <v>Fone de Ouvido Headset</v>
      </c>
      <c r="H1173" s="2" t="n">
        <v>1</v>
      </c>
      <c r="I1173" s="5" t="n">
        <f aca="false">INDEX(Produtos!$D$2:$D$11,MATCH(F1173,Produtos!$A$2:$A$11,0))</f>
        <v>249.9</v>
      </c>
      <c r="J1173" s="5" t="n">
        <f aca="false">H1173*I1173</f>
        <v>249.9</v>
      </c>
      <c r="K1173" s="5" t="n">
        <f aca="false">INDEX(Produtos!$E$2:$E$11,MATCH(F1173,Produtos!$A$2:$A$11,0))</f>
        <v>145</v>
      </c>
      <c r="L1173" s="5" t="n">
        <f aca="false">H1173*K1173</f>
        <v>145</v>
      </c>
    </row>
    <row r="1174" customFormat="false" ht="15" hidden="false" customHeight="false" outlineLevel="0" collapsed="false">
      <c r="A1174" s="2" t="s">
        <v>1456</v>
      </c>
      <c r="B1174" s="8" t="n">
        <v>46120</v>
      </c>
      <c r="C1174" s="2" t="s">
        <v>237</v>
      </c>
      <c r="D1174" s="3" t="str">
        <f aca="false">INDEX(Vendedores!$C$2:$C$101,MATCH(C1174,Vendedores!$A$2:$A$101,0))</f>
        <v>L10</v>
      </c>
      <c r="E1174" s="3" t="str">
        <f aca="false">INDEX(Lojas!$E$2:$E$11,MATCH(D1174,Lojas!$A$2:$A$11,0))</f>
        <v>Nordeste</v>
      </c>
      <c r="F1174" s="2" t="s">
        <v>267</v>
      </c>
      <c r="G1174" s="3" t="str">
        <f aca="false">INDEX(Produtos!$B$2:$B$11,MATCH(F1174,Produtos!$A$2:$A$11,0))&amp;" "&amp;INDEX(Produtos!$C$2:$C$11,MATCH(F1174,Produtos!$A$2:$A$11,0))</f>
        <v>Carregador de Celular Tipo C</v>
      </c>
      <c r="H1174" s="2" t="n">
        <v>2</v>
      </c>
      <c r="I1174" s="5" t="n">
        <f aca="false">INDEX(Produtos!$D$2:$D$11,MATCH(F1174,Produtos!$A$2:$A$11,0))</f>
        <v>44.9</v>
      </c>
      <c r="J1174" s="5" t="n">
        <f aca="false">H1174*I1174</f>
        <v>89.8</v>
      </c>
      <c r="K1174" s="5" t="n">
        <f aca="false">INDEX(Produtos!$E$2:$E$11,MATCH(F1174,Produtos!$A$2:$A$11,0))</f>
        <v>18</v>
      </c>
      <c r="L1174" s="5" t="n">
        <f aca="false">H1174*K1174</f>
        <v>36</v>
      </c>
    </row>
    <row r="1175" customFormat="false" ht="15" hidden="false" customHeight="false" outlineLevel="0" collapsed="false">
      <c r="A1175" s="2" t="s">
        <v>1457</v>
      </c>
      <c r="B1175" s="8" t="n">
        <v>46120</v>
      </c>
      <c r="C1175" s="2" t="s">
        <v>183</v>
      </c>
      <c r="D1175" s="3" t="str">
        <f aca="false">INDEX(Vendedores!$C$2:$C$101,MATCH(C1175,Vendedores!$A$2:$A$101,0))</f>
        <v>L07</v>
      </c>
      <c r="E1175" s="3" t="str">
        <f aca="false">INDEX(Lojas!$E$2:$E$11,MATCH(D1175,Lojas!$A$2:$A$11,0))</f>
        <v>Sul</v>
      </c>
      <c r="F1175" s="2" t="s">
        <v>265</v>
      </c>
      <c r="G1175" s="3" t="str">
        <f aca="false">INDEX(Produtos!$B$2:$B$11,MATCH(F1175,Produtos!$A$2:$A$11,0))&amp;" "&amp;INDEX(Produtos!$C$2:$C$11,MATCH(F1175,Produtos!$A$2:$A$11,0))</f>
        <v>Fone de Ouvido Headset</v>
      </c>
      <c r="H1175" s="2" t="n">
        <v>1</v>
      </c>
      <c r="I1175" s="5" t="n">
        <f aca="false">INDEX(Produtos!$D$2:$D$11,MATCH(F1175,Produtos!$A$2:$A$11,0))</f>
        <v>249.9</v>
      </c>
      <c r="J1175" s="5" t="n">
        <f aca="false">H1175*I1175</f>
        <v>249.9</v>
      </c>
      <c r="K1175" s="5" t="n">
        <f aca="false">INDEX(Produtos!$E$2:$E$11,MATCH(F1175,Produtos!$A$2:$A$11,0))</f>
        <v>145</v>
      </c>
      <c r="L1175" s="5" t="n">
        <f aca="false">H1175*K1175</f>
        <v>145</v>
      </c>
    </row>
    <row r="1176" customFormat="false" ht="15" hidden="false" customHeight="false" outlineLevel="0" collapsed="false">
      <c r="A1176" s="2" t="s">
        <v>1458</v>
      </c>
      <c r="B1176" s="8" t="n">
        <v>46120</v>
      </c>
      <c r="C1176" s="2" t="s">
        <v>179</v>
      </c>
      <c r="D1176" s="3" t="str">
        <f aca="false">INDEX(Vendedores!$C$2:$C$101,MATCH(C1176,Vendedores!$A$2:$A$101,0))</f>
        <v>L07</v>
      </c>
      <c r="E1176" s="3" t="str">
        <f aca="false">INDEX(Lojas!$E$2:$E$11,MATCH(D1176,Lojas!$A$2:$A$11,0))</f>
        <v>Sul</v>
      </c>
      <c r="F1176" s="2" t="s">
        <v>257</v>
      </c>
      <c r="G1176" s="3" t="str">
        <f aca="false">INDEX(Produtos!$B$2:$B$11,MATCH(F1176,Produtos!$A$2:$A$11,0))&amp;" "&amp;INDEX(Produtos!$C$2:$C$11,MATCH(F1176,Produtos!$A$2:$A$11,0))</f>
        <v>Celular Samsung</v>
      </c>
      <c r="H1176" s="2" t="n">
        <v>1</v>
      </c>
      <c r="I1176" s="5" t="n">
        <f aca="false">INDEX(Produtos!$D$2:$D$11,MATCH(F1176,Produtos!$A$2:$A$11,0))</f>
        <v>2499</v>
      </c>
      <c r="J1176" s="5" t="n">
        <f aca="false">H1176*I1176</f>
        <v>2499</v>
      </c>
      <c r="K1176" s="5" t="n">
        <f aca="false">INDEX(Produtos!$E$2:$E$11,MATCH(F1176,Produtos!$A$2:$A$11,0))</f>
        <v>1800</v>
      </c>
      <c r="L1176" s="5" t="n">
        <f aca="false">H1176*K1176</f>
        <v>1800</v>
      </c>
    </row>
    <row r="1177" customFormat="false" ht="15" hidden="false" customHeight="false" outlineLevel="0" collapsed="false">
      <c r="A1177" s="2" t="s">
        <v>1459</v>
      </c>
      <c r="B1177" s="8" t="n">
        <v>46120</v>
      </c>
      <c r="C1177" s="2" t="s">
        <v>56</v>
      </c>
      <c r="D1177" s="3" t="str">
        <f aca="false">INDEX(Vendedores!$C$2:$C$101,MATCH(C1177,Vendedores!$A$2:$A$101,0))</f>
        <v>L01</v>
      </c>
      <c r="E1177" s="3" t="str">
        <f aca="false">INDEX(Lojas!$E$2:$E$11,MATCH(D1177,Lojas!$A$2:$A$11,0))</f>
        <v>Sudeste</v>
      </c>
      <c r="F1177" s="2" t="s">
        <v>270</v>
      </c>
      <c r="G1177" s="3" t="str">
        <f aca="false">INDEX(Produtos!$B$2:$B$11,MATCH(F1177,Produtos!$A$2:$A$11,0))&amp;" "&amp;INDEX(Produtos!$C$2:$C$11,MATCH(F1177,Produtos!$A$2:$A$11,0))</f>
        <v>Controle de Videogame Xbox</v>
      </c>
      <c r="H1177" s="2" t="n">
        <v>1</v>
      </c>
      <c r="I1177" s="5" t="n">
        <f aca="false">INDEX(Produtos!$D$2:$D$11,MATCH(F1177,Produtos!$A$2:$A$11,0))</f>
        <v>349.9</v>
      </c>
      <c r="J1177" s="5" t="n">
        <f aca="false">H1177*I1177</f>
        <v>349.9</v>
      </c>
      <c r="K1177" s="5" t="n">
        <f aca="false">INDEX(Produtos!$E$2:$E$11,MATCH(F1177,Produtos!$A$2:$A$11,0))</f>
        <v>215</v>
      </c>
      <c r="L1177" s="5" t="n">
        <f aca="false">H1177*K1177</f>
        <v>215</v>
      </c>
    </row>
    <row r="1178" customFormat="false" ht="15" hidden="false" customHeight="false" outlineLevel="0" collapsed="false">
      <c r="A1178" s="2" t="s">
        <v>1460</v>
      </c>
      <c r="B1178" s="8" t="n">
        <v>46120</v>
      </c>
      <c r="C1178" s="2" t="s">
        <v>110</v>
      </c>
      <c r="D1178" s="3" t="str">
        <f aca="false">INDEX(Vendedores!$C$2:$C$101,MATCH(C1178,Vendedores!$A$2:$A$101,0))</f>
        <v>L04</v>
      </c>
      <c r="E1178" s="3" t="str">
        <f aca="false">INDEX(Lojas!$E$2:$E$11,MATCH(D1178,Lojas!$A$2:$A$11,0))</f>
        <v>Sudeste</v>
      </c>
      <c r="F1178" s="2" t="s">
        <v>265</v>
      </c>
      <c r="G1178" s="3" t="str">
        <f aca="false">INDEX(Produtos!$B$2:$B$11,MATCH(F1178,Produtos!$A$2:$A$11,0))&amp;" "&amp;INDEX(Produtos!$C$2:$C$11,MATCH(F1178,Produtos!$A$2:$A$11,0))</f>
        <v>Fone de Ouvido Headset</v>
      </c>
      <c r="H1178" s="2" t="n">
        <v>1</v>
      </c>
      <c r="I1178" s="5" t="n">
        <f aca="false">INDEX(Produtos!$D$2:$D$11,MATCH(F1178,Produtos!$A$2:$A$11,0))</f>
        <v>249.9</v>
      </c>
      <c r="J1178" s="5" t="n">
        <f aca="false">H1178*I1178</f>
        <v>249.9</v>
      </c>
      <c r="K1178" s="5" t="n">
        <f aca="false">INDEX(Produtos!$E$2:$E$11,MATCH(F1178,Produtos!$A$2:$A$11,0))</f>
        <v>145</v>
      </c>
      <c r="L1178" s="5" t="n">
        <f aca="false">H1178*K1178</f>
        <v>145</v>
      </c>
    </row>
    <row r="1179" customFormat="false" ht="15" hidden="false" customHeight="false" outlineLevel="0" collapsed="false">
      <c r="A1179" s="2" t="s">
        <v>1461</v>
      </c>
      <c r="B1179" s="8" t="n">
        <v>46120</v>
      </c>
      <c r="C1179" s="2" t="s">
        <v>52</v>
      </c>
      <c r="D1179" s="3" t="str">
        <f aca="false">INDEX(Vendedores!$C$2:$C$101,MATCH(C1179,Vendedores!$A$2:$A$101,0))</f>
        <v>L01</v>
      </c>
      <c r="E1179" s="3" t="str">
        <f aca="false">INDEX(Lojas!$E$2:$E$11,MATCH(D1179,Lojas!$A$2:$A$11,0))</f>
        <v>Sudeste</v>
      </c>
      <c r="F1179" s="2" t="s">
        <v>265</v>
      </c>
      <c r="G1179" s="3" t="str">
        <f aca="false">INDEX(Produtos!$B$2:$B$11,MATCH(F1179,Produtos!$A$2:$A$11,0))&amp;" "&amp;INDEX(Produtos!$C$2:$C$11,MATCH(F1179,Produtos!$A$2:$A$11,0))</f>
        <v>Fone de Ouvido Headset</v>
      </c>
      <c r="H1179" s="2" t="n">
        <v>1</v>
      </c>
      <c r="I1179" s="5" t="n">
        <f aca="false">INDEX(Produtos!$D$2:$D$11,MATCH(F1179,Produtos!$A$2:$A$11,0))</f>
        <v>249.9</v>
      </c>
      <c r="J1179" s="5" t="n">
        <f aca="false">H1179*I1179</f>
        <v>249.9</v>
      </c>
      <c r="K1179" s="5" t="n">
        <f aca="false">INDEX(Produtos!$E$2:$E$11,MATCH(F1179,Produtos!$A$2:$A$11,0))</f>
        <v>145</v>
      </c>
      <c r="L1179" s="5" t="n">
        <f aca="false">H1179*K1179</f>
        <v>145</v>
      </c>
    </row>
    <row r="1180" customFormat="false" ht="15" hidden="false" customHeight="false" outlineLevel="0" collapsed="false">
      <c r="A1180" s="2" t="s">
        <v>1462</v>
      </c>
      <c r="B1180" s="8" t="n">
        <v>46120</v>
      </c>
      <c r="C1180" s="2" t="s">
        <v>120</v>
      </c>
      <c r="D1180" s="3" t="str">
        <f aca="false">INDEX(Vendedores!$C$2:$C$101,MATCH(C1180,Vendedores!$A$2:$A$101,0))</f>
        <v>L04</v>
      </c>
      <c r="E1180" s="3" t="str">
        <f aca="false">INDEX(Lojas!$E$2:$E$11,MATCH(D1180,Lojas!$A$2:$A$11,0))</f>
        <v>Sudeste</v>
      </c>
      <c r="F1180" s="2" t="s">
        <v>267</v>
      </c>
      <c r="G1180" s="3" t="str">
        <f aca="false">INDEX(Produtos!$B$2:$B$11,MATCH(F1180,Produtos!$A$2:$A$11,0))&amp;" "&amp;INDEX(Produtos!$C$2:$C$11,MATCH(F1180,Produtos!$A$2:$A$11,0))</f>
        <v>Carregador de Celular Tipo C</v>
      </c>
      <c r="H1180" s="2" t="n">
        <v>1</v>
      </c>
      <c r="I1180" s="5" t="n">
        <f aca="false">INDEX(Produtos!$D$2:$D$11,MATCH(F1180,Produtos!$A$2:$A$11,0))</f>
        <v>44.9</v>
      </c>
      <c r="J1180" s="5" t="n">
        <f aca="false">H1180*I1180</f>
        <v>44.9</v>
      </c>
      <c r="K1180" s="5" t="n">
        <f aca="false">INDEX(Produtos!$E$2:$E$11,MATCH(F1180,Produtos!$A$2:$A$11,0))</f>
        <v>18</v>
      </c>
      <c r="L1180" s="5" t="n">
        <f aca="false">H1180*K1180</f>
        <v>18</v>
      </c>
    </row>
    <row r="1181" customFormat="false" ht="15" hidden="false" customHeight="false" outlineLevel="0" collapsed="false">
      <c r="A1181" s="2" t="s">
        <v>1463</v>
      </c>
      <c r="B1181" s="8" t="n">
        <v>46120</v>
      </c>
      <c r="C1181" s="2" t="s">
        <v>223</v>
      </c>
      <c r="D1181" s="3" t="str">
        <f aca="false">INDEX(Vendedores!$C$2:$C$101,MATCH(C1181,Vendedores!$A$2:$A$101,0))</f>
        <v>L09</v>
      </c>
      <c r="E1181" s="3" t="str">
        <f aca="false">INDEX(Lojas!$E$2:$E$11,MATCH(D1181,Lojas!$A$2:$A$11,0))</f>
        <v>Nordeste</v>
      </c>
      <c r="F1181" s="2" t="s">
        <v>267</v>
      </c>
      <c r="G1181" s="3" t="str">
        <f aca="false">INDEX(Produtos!$B$2:$B$11,MATCH(F1181,Produtos!$A$2:$A$11,0))&amp;" "&amp;INDEX(Produtos!$C$2:$C$11,MATCH(F1181,Produtos!$A$2:$A$11,0))</f>
        <v>Carregador de Celular Tipo C</v>
      </c>
      <c r="H1181" s="2" t="n">
        <v>2</v>
      </c>
      <c r="I1181" s="5" t="n">
        <f aca="false">INDEX(Produtos!$D$2:$D$11,MATCH(F1181,Produtos!$A$2:$A$11,0))</f>
        <v>44.9</v>
      </c>
      <c r="J1181" s="5" t="n">
        <f aca="false">H1181*I1181</f>
        <v>89.8</v>
      </c>
      <c r="K1181" s="5" t="n">
        <f aca="false">INDEX(Produtos!$E$2:$E$11,MATCH(F1181,Produtos!$A$2:$A$11,0))</f>
        <v>18</v>
      </c>
      <c r="L1181" s="5" t="n">
        <f aca="false">H1181*K1181</f>
        <v>36</v>
      </c>
    </row>
    <row r="1182" customFormat="false" ht="15" hidden="false" customHeight="false" outlineLevel="0" collapsed="false">
      <c r="A1182" s="2" t="s">
        <v>1464</v>
      </c>
      <c r="B1182" s="8" t="n">
        <v>46120</v>
      </c>
      <c r="C1182" s="2" t="s">
        <v>118</v>
      </c>
      <c r="D1182" s="3" t="str">
        <f aca="false">INDEX(Vendedores!$C$2:$C$101,MATCH(C1182,Vendedores!$A$2:$A$101,0))</f>
        <v>L04</v>
      </c>
      <c r="E1182" s="3" t="str">
        <f aca="false">INDEX(Lojas!$E$2:$E$11,MATCH(D1182,Lojas!$A$2:$A$11,0))</f>
        <v>Sudeste</v>
      </c>
      <c r="F1182" s="2" t="s">
        <v>257</v>
      </c>
      <c r="G1182" s="3" t="str">
        <f aca="false">INDEX(Produtos!$B$2:$B$11,MATCH(F1182,Produtos!$A$2:$A$11,0))&amp;" "&amp;INDEX(Produtos!$C$2:$C$11,MATCH(F1182,Produtos!$A$2:$A$11,0))</f>
        <v>Celular Samsung</v>
      </c>
      <c r="H1182" s="2" t="n">
        <v>2</v>
      </c>
      <c r="I1182" s="5" t="n">
        <f aca="false">INDEX(Produtos!$D$2:$D$11,MATCH(F1182,Produtos!$A$2:$A$11,0))</f>
        <v>2499</v>
      </c>
      <c r="J1182" s="5" t="n">
        <f aca="false">H1182*I1182</f>
        <v>4998</v>
      </c>
      <c r="K1182" s="5" t="n">
        <f aca="false">INDEX(Produtos!$E$2:$E$11,MATCH(F1182,Produtos!$A$2:$A$11,0))</f>
        <v>1800</v>
      </c>
      <c r="L1182" s="5" t="n">
        <f aca="false">H1182*K1182</f>
        <v>3600</v>
      </c>
    </row>
    <row r="1183" customFormat="false" ht="15" hidden="false" customHeight="false" outlineLevel="0" collapsed="false">
      <c r="A1183" s="2" t="s">
        <v>1465</v>
      </c>
      <c r="B1183" s="8" t="n">
        <v>46120</v>
      </c>
      <c r="C1183" s="2" t="s">
        <v>193</v>
      </c>
      <c r="D1183" s="3" t="str">
        <f aca="false">INDEX(Vendedores!$C$2:$C$101,MATCH(C1183,Vendedores!$A$2:$A$101,0))</f>
        <v>L08</v>
      </c>
      <c r="E1183" s="3" t="str">
        <f aca="false">INDEX(Lojas!$E$2:$E$11,MATCH(D1183,Lojas!$A$2:$A$11,0))</f>
        <v>Nordeste</v>
      </c>
      <c r="F1183" s="2" t="s">
        <v>255</v>
      </c>
      <c r="G1183" s="3" t="str">
        <f aca="false">INDEX(Produtos!$B$2:$B$11,MATCH(F1183,Produtos!$A$2:$A$11,0))&amp;" "&amp;INDEX(Produtos!$C$2:$C$11,MATCH(F1183,Produtos!$A$2:$A$11,0))</f>
        <v>Notebook Positivo</v>
      </c>
      <c r="H1183" s="2" t="n">
        <v>1</v>
      </c>
      <c r="I1183" s="5" t="n">
        <f aca="false">INDEX(Produtos!$D$2:$D$11,MATCH(F1183,Produtos!$A$2:$A$11,0))</f>
        <v>2199</v>
      </c>
      <c r="J1183" s="5" t="n">
        <f aca="false">H1183*I1183</f>
        <v>2199</v>
      </c>
      <c r="K1183" s="5" t="n">
        <f aca="false">INDEX(Produtos!$E$2:$E$11,MATCH(F1183,Produtos!$A$2:$A$11,0))</f>
        <v>1550</v>
      </c>
      <c r="L1183" s="5" t="n">
        <f aca="false">H1183*K1183</f>
        <v>1550</v>
      </c>
    </row>
    <row r="1184" customFormat="false" ht="15" hidden="false" customHeight="false" outlineLevel="0" collapsed="false">
      <c r="A1184" s="2" t="s">
        <v>1466</v>
      </c>
      <c r="B1184" s="8" t="n">
        <v>46120</v>
      </c>
      <c r="C1184" s="2" t="s">
        <v>135</v>
      </c>
      <c r="D1184" s="3" t="str">
        <f aca="false">INDEX(Vendedores!$C$2:$C$101,MATCH(C1184,Vendedores!$A$2:$A$101,0))</f>
        <v>L05</v>
      </c>
      <c r="E1184" s="3" t="str">
        <f aca="false">INDEX(Lojas!$E$2:$E$11,MATCH(D1184,Lojas!$A$2:$A$11,0))</f>
        <v>Sul</v>
      </c>
      <c r="F1184" s="2" t="s">
        <v>252</v>
      </c>
      <c r="G1184" s="3" t="str">
        <f aca="false">INDEX(Produtos!$B$2:$B$11,MATCH(F1184,Produtos!$A$2:$A$11,0))&amp;" "&amp;INDEX(Produtos!$C$2:$C$11,MATCH(F1184,Produtos!$A$2:$A$11,0))</f>
        <v>Notebook Lenovo</v>
      </c>
      <c r="H1184" s="2" t="n">
        <v>2</v>
      </c>
      <c r="I1184" s="5" t="n">
        <f aca="false">INDEX(Produtos!$D$2:$D$11,MATCH(F1184,Produtos!$A$2:$A$11,0))</f>
        <v>3199</v>
      </c>
      <c r="J1184" s="5" t="n">
        <f aca="false">H1184*I1184</f>
        <v>6398</v>
      </c>
      <c r="K1184" s="5" t="n">
        <f aca="false">INDEX(Produtos!$E$2:$E$11,MATCH(F1184,Produtos!$A$2:$A$11,0))</f>
        <v>2350</v>
      </c>
      <c r="L1184" s="5" t="n">
        <f aca="false">H1184*K1184</f>
        <v>4700</v>
      </c>
    </row>
    <row r="1185" customFormat="false" ht="15" hidden="false" customHeight="false" outlineLevel="0" collapsed="false">
      <c r="A1185" s="2" t="s">
        <v>1467</v>
      </c>
      <c r="B1185" s="8" t="n">
        <v>46121</v>
      </c>
      <c r="C1185" s="2" t="s">
        <v>98</v>
      </c>
      <c r="D1185" s="3" t="str">
        <f aca="false">INDEX(Vendedores!$C$2:$C$101,MATCH(C1185,Vendedores!$A$2:$A$101,0))</f>
        <v>L03</v>
      </c>
      <c r="E1185" s="3" t="str">
        <f aca="false">INDEX(Lojas!$E$2:$E$11,MATCH(D1185,Lojas!$A$2:$A$11,0))</f>
        <v>Sudeste</v>
      </c>
      <c r="F1185" s="2" t="s">
        <v>265</v>
      </c>
      <c r="G1185" s="3" t="str">
        <f aca="false">INDEX(Produtos!$B$2:$B$11,MATCH(F1185,Produtos!$A$2:$A$11,0))&amp;" "&amp;INDEX(Produtos!$C$2:$C$11,MATCH(F1185,Produtos!$A$2:$A$11,0))</f>
        <v>Fone de Ouvido Headset</v>
      </c>
      <c r="H1185" s="2" t="n">
        <v>1</v>
      </c>
      <c r="I1185" s="5" t="n">
        <f aca="false">INDEX(Produtos!$D$2:$D$11,MATCH(F1185,Produtos!$A$2:$A$11,0))</f>
        <v>249.9</v>
      </c>
      <c r="J1185" s="5" t="n">
        <f aca="false">H1185*I1185</f>
        <v>249.9</v>
      </c>
      <c r="K1185" s="5" t="n">
        <f aca="false">INDEX(Produtos!$E$2:$E$11,MATCH(F1185,Produtos!$A$2:$A$11,0))</f>
        <v>145</v>
      </c>
      <c r="L1185" s="5" t="n">
        <f aca="false">H1185*K1185</f>
        <v>145</v>
      </c>
    </row>
    <row r="1186" customFormat="false" ht="15" hidden="false" customHeight="false" outlineLevel="0" collapsed="false">
      <c r="A1186" s="2" t="s">
        <v>1468</v>
      </c>
      <c r="B1186" s="8" t="n">
        <v>46121</v>
      </c>
      <c r="C1186" s="2" t="s">
        <v>201</v>
      </c>
      <c r="D1186" s="3" t="str">
        <f aca="false">INDEX(Vendedores!$C$2:$C$101,MATCH(C1186,Vendedores!$A$2:$A$101,0))</f>
        <v>L08</v>
      </c>
      <c r="E1186" s="3" t="str">
        <f aca="false">INDEX(Lojas!$E$2:$E$11,MATCH(D1186,Lojas!$A$2:$A$11,0))</f>
        <v>Nordeste</v>
      </c>
      <c r="F1186" s="2" t="s">
        <v>262</v>
      </c>
      <c r="G1186" s="3" t="str">
        <f aca="false">INDEX(Produtos!$B$2:$B$11,MATCH(F1186,Produtos!$A$2:$A$11,0))&amp;" "&amp;INDEX(Produtos!$C$2:$C$11,MATCH(F1186,Produtos!$A$2:$A$11,0))</f>
        <v>Fone de Ouvido De Celular</v>
      </c>
      <c r="H1186" s="2" t="n">
        <v>1</v>
      </c>
      <c r="I1186" s="5" t="n">
        <f aca="false">INDEX(Produtos!$D$2:$D$11,MATCH(F1186,Produtos!$A$2:$A$11,0))</f>
        <v>59.9</v>
      </c>
      <c r="J1186" s="5" t="n">
        <f aca="false">H1186*I1186</f>
        <v>59.9</v>
      </c>
      <c r="K1186" s="5" t="n">
        <f aca="false">INDEX(Produtos!$E$2:$E$11,MATCH(F1186,Produtos!$A$2:$A$11,0))</f>
        <v>28</v>
      </c>
      <c r="L1186" s="5" t="n">
        <f aca="false">H1186*K1186</f>
        <v>28</v>
      </c>
    </row>
    <row r="1187" customFormat="false" ht="15" hidden="false" customHeight="false" outlineLevel="0" collapsed="false">
      <c r="A1187" s="2" t="s">
        <v>1469</v>
      </c>
      <c r="B1187" s="8" t="n">
        <v>46121</v>
      </c>
      <c r="C1187" s="2" t="s">
        <v>197</v>
      </c>
      <c r="D1187" s="3" t="str">
        <f aca="false">INDEX(Vendedores!$C$2:$C$101,MATCH(C1187,Vendedores!$A$2:$A$101,0))</f>
        <v>L08</v>
      </c>
      <c r="E1187" s="3" t="str">
        <f aca="false">INDEX(Lojas!$E$2:$E$11,MATCH(D1187,Lojas!$A$2:$A$11,0))</f>
        <v>Nordeste</v>
      </c>
      <c r="F1187" s="2" t="s">
        <v>255</v>
      </c>
      <c r="G1187" s="3" t="str">
        <f aca="false">INDEX(Produtos!$B$2:$B$11,MATCH(F1187,Produtos!$A$2:$A$11,0))&amp;" "&amp;INDEX(Produtos!$C$2:$C$11,MATCH(F1187,Produtos!$A$2:$A$11,0))</f>
        <v>Notebook Positivo</v>
      </c>
      <c r="H1187" s="2" t="n">
        <v>2</v>
      </c>
      <c r="I1187" s="5" t="n">
        <f aca="false">INDEX(Produtos!$D$2:$D$11,MATCH(F1187,Produtos!$A$2:$A$11,0))</f>
        <v>2199</v>
      </c>
      <c r="J1187" s="5" t="n">
        <f aca="false">H1187*I1187</f>
        <v>4398</v>
      </c>
      <c r="K1187" s="5" t="n">
        <f aca="false">INDEX(Produtos!$E$2:$E$11,MATCH(F1187,Produtos!$A$2:$A$11,0))</f>
        <v>1550</v>
      </c>
      <c r="L1187" s="5" t="n">
        <f aca="false">H1187*K1187</f>
        <v>3100</v>
      </c>
    </row>
    <row r="1188" customFormat="false" ht="15" hidden="false" customHeight="false" outlineLevel="0" collapsed="false">
      <c r="A1188" s="2" t="s">
        <v>1470</v>
      </c>
      <c r="B1188" s="8" t="n">
        <v>46121</v>
      </c>
      <c r="C1188" s="2" t="s">
        <v>182</v>
      </c>
      <c r="D1188" s="3" t="str">
        <f aca="false">INDEX(Vendedores!$C$2:$C$101,MATCH(C1188,Vendedores!$A$2:$A$101,0))</f>
        <v>L07</v>
      </c>
      <c r="E1188" s="3" t="str">
        <f aca="false">INDEX(Lojas!$E$2:$E$11,MATCH(D1188,Lojas!$A$2:$A$11,0))</f>
        <v>Sul</v>
      </c>
      <c r="F1188" s="2" t="s">
        <v>257</v>
      </c>
      <c r="G1188" s="3" t="str">
        <f aca="false">INDEX(Produtos!$B$2:$B$11,MATCH(F1188,Produtos!$A$2:$A$11,0))&amp;" "&amp;INDEX(Produtos!$C$2:$C$11,MATCH(F1188,Produtos!$A$2:$A$11,0))</f>
        <v>Celular Samsung</v>
      </c>
      <c r="H1188" s="2" t="n">
        <v>1</v>
      </c>
      <c r="I1188" s="5" t="n">
        <f aca="false">INDEX(Produtos!$D$2:$D$11,MATCH(F1188,Produtos!$A$2:$A$11,0))</f>
        <v>2499</v>
      </c>
      <c r="J1188" s="5" t="n">
        <f aca="false">H1188*I1188</f>
        <v>2499</v>
      </c>
      <c r="K1188" s="5" t="n">
        <f aca="false">INDEX(Produtos!$E$2:$E$11,MATCH(F1188,Produtos!$A$2:$A$11,0))</f>
        <v>1800</v>
      </c>
      <c r="L1188" s="5" t="n">
        <f aca="false">H1188*K1188</f>
        <v>1800</v>
      </c>
    </row>
    <row r="1189" customFormat="false" ht="15" hidden="false" customHeight="false" outlineLevel="0" collapsed="false">
      <c r="A1189" s="2" t="s">
        <v>1471</v>
      </c>
      <c r="B1189" s="8" t="n">
        <v>46121</v>
      </c>
      <c r="C1189" s="2" t="s">
        <v>239</v>
      </c>
      <c r="D1189" s="3" t="str">
        <f aca="false">INDEX(Vendedores!$C$2:$C$101,MATCH(C1189,Vendedores!$A$2:$A$101,0))</f>
        <v>L10</v>
      </c>
      <c r="E1189" s="3" t="str">
        <f aca="false">INDEX(Lojas!$E$2:$E$11,MATCH(D1189,Lojas!$A$2:$A$11,0))</f>
        <v>Nordeste</v>
      </c>
      <c r="F1189" s="2" t="s">
        <v>260</v>
      </c>
      <c r="G1189" s="3" t="str">
        <f aca="false">INDEX(Produtos!$B$2:$B$11,MATCH(F1189,Produtos!$A$2:$A$11,0))&amp;" "&amp;INDEX(Produtos!$C$2:$C$11,MATCH(F1189,Produtos!$A$2:$A$11,0))</f>
        <v>Celular Motorola</v>
      </c>
      <c r="H1189" s="2" t="n">
        <v>1</v>
      </c>
      <c r="I1189" s="5" t="n">
        <f aca="false">INDEX(Produtos!$D$2:$D$11,MATCH(F1189,Produtos!$A$2:$A$11,0))</f>
        <v>1799</v>
      </c>
      <c r="J1189" s="5" t="n">
        <f aca="false">H1189*I1189</f>
        <v>1799</v>
      </c>
      <c r="K1189" s="5" t="n">
        <f aca="false">INDEX(Produtos!$E$2:$E$11,MATCH(F1189,Produtos!$A$2:$A$11,0))</f>
        <v>1250</v>
      </c>
      <c r="L1189" s="5" t="n">
        <f aca="false">H1189*K1189</f>
        <v>1250</v>
      </c>
    </row>
    <row r="1190" customFormat="false" ht="15" hidden="false" customHeight="false" outlineLevel="0" collapsed="false">
      <c r="A1190" s="2" t="s">
        <v>1472</v>
      </c>
      <c r="B1190" s="8" t="n">
        <v>46121</v>
      </c>
      <c r="C1190" s="2" t="s">
        <v>80</v>
      </c>
      <c r="D1190" s="3" t="str">
        <f aca="false">INDEX(Vendedores!$C$2:$C$101,MATCH(C1190,Vendedores!$A$2:$A$101,0))</f>
        <v>L02</v>
      </c>
      <c r="E1190" s="3" t="str">
        <f aca="false">INDEX(Lojas!$E$2:$E$11,MATCH(D1190,Lojas!$A$2:$A$11,0))</f>
        <v>Sudeste</v>
      </c>
      <c r="F1190" s="2" t="s">
        <v>267</v>
      </c>
      <c r="G1190" s="3" t="str">
        <f aca="false">INDEX(Produtos!$B$2:$B$11,MATCH(F1190,Produtos!$A$2:$A$11,0))&amp;" "&amp;INDEX(Produtos!$C$2:$C$11,MATCH(F1190,Produtos!$A$2:$A$11,0))</f>
        <v>Carregador de Celular Tipo C</v>
      </c>
      <c r="H1190" s="2" t="n">
        <v>2</v>
      </c>
      <c r="I1190" s="5" t="n">
        <f aca="false">INDEX(Produtos!$D$2:$D$11,MATCH(F1190,Produtos!$A$2:$A$11,0))</f>
        <v>44.9</v>
      </c>
      <c r="J1190" s="5" t="n">
        <f aca="false">H1190*I1190</f>
        <v>89.8</v>
      </c>
      <c r="K1190" s="5" t="n">
        <f aca="false">INDEX(Produtos!$E$2:$E$11,MATCH(F1190,Produtos!$A$2:$A$11,0))</f>
        <v>18</v>
      </c>
      <c r="L1190" s="5" t="n">
        <f aca="false">H1190*K1190</f>
        <v>36</v>
      </c>
    </row>
    <row r="1191" customFormat="false" ht="15" hidden="false" customHeight="false" outlineLevel="0" collapsed="false">
      <c r="A1191" s="2" t="s">
        <v>1473</v>
      </c>
      <c r="B1191" s="8" t="n">
        <v>46121</v>
      </c>
      <c r="C1191" s="2" t="s">
        <v>110</v>
      </c>
      <c r="D1191" s="3" t="str">
        <f aca="false">INDEX(Vendedores!$C$2:$C$101,MATCH(C1191,Vendedores!$A$2:$A$101,0))</f>
        <v>L04</v>
      </c>
      <c r="E1191" s="3" t="str">
        <f aca="false">INDEX(Lojas!$E$2:$E$11,MATCH(D1191,Lojas!$A$2:$A$11,0))</f>
        <v>Sudeste</v>
      </c>
      <c r="F1191" s="2" t="s">
        <v>270</v>
      </c>
      <c r="G1191" s="3" t="str">
        <f aca="false">INDEX(Produtos!$B$2:$B$11,MATCH(F1191,Produtos!$A$2:$A$11,0))&amp;" "&amp;INDEX(Produtos!$C$2:$C$11,MATCH(F1191,Produtos!$A$2:$A$11,0))</f>
        <v>Controle de Videogame Xbox</v>
      </c>
      <c r="H1191" s="2" t="n">
        <v>1</v>
      </c>
      <c r="I1191" s="5" t="n">
        <f aca="false">INDEX(Produtos!$D$2:$D$11,MATCH(F1191,Produtos!$A$2:$A$11,0))</f>
        <v>349.9</v>
      </c>
      <c r="J1191" s="5" t="n">
        <f aca="false">H1191*I1191</f>
        <v>349.9</v>
      </c>
      <c r="K1191" s="5" t="n">
        <f aca="false">INDEX(Produtos!$E$2:$E$11,MATCH(F1191,Produtos!$A$2:$A$11,0))</f>
        <v>215</v>
      </c>
      <c r="L1191" s="5" t="n">
        <f aca="false">H1191*K1191</f>
        <v>215</v>
      </c>
    </row>
    <row r="1192" customFormat="false" ht="15" hidden="false" customHeight="false" outlineLevel="0" collapsed="false">
      <c r="A1192" s="2" t="s">
        <v>1474</v>
      </c>
      <c r="B1192" s="8" t="n">
        <v>46121</v>
      </c>
      <c r="C1192" s="2" t="s">
        <v>120</v>
      </c>
      <c r="D1192" s="3" t="str">
        <f aca="false">INDEX(Vendedores!$C$2:$C$101,MATCH(C1192,Vendedores!$A$2:$A$101,0))</f>
        <v>L04</v>
      </c>
      <c r="E1192" s="3" t="str">
        <f aca="false">INDEX(Lojas!$E$2:$E$11,MATCH(D1192,Lojas!$A$2:$A$11,0))</f>
        <v>Sudeste</v>
      </c>
      <c r="F1192" s="2" t="s">
        <v>270</v>
      </c>
      <c r="G1192" s="3" t="str">
        <f aca="false">INDEX(Produtos!$B$2:$B$11,MATCH(F1192,Produtos!$A$2:$A$11,0))&amp;" "&amp;INDEX(Produtos!$C$2:$C$11,MATCH(F1192,Produtos!$A$2:$A$11,0))</f>
        <v>Controle de Videogame Xbox</v>
      </c>
      <c r="H1192" s="2" t="n">
        <v>2</v>
      </c>
      <c r="I1192" s="5" t="n">
        <f aca="false">INDEX(Produtos!$D$2:$D$11,MATCH(F1192,Produtos!$A$2:$A$11,0))</f>
        <v>349.9</v>
      </c>
      <c r="J1192" s="5" t="n">
        <f aca="false">H1192*I1192</f>
        <v>699.8</v>
      </c>
      <c r="K1192" s="5" t="n">
        <f aca="false">INDEX(Produtos!$E$2:$E$11,MATCH(F1192,Produtos!$A$2:$A$11,0))</f>
        <v>215</v>
      </c>
      <c r="L1192" s="5" t="n">
        <f aca="false">H1192*K1192</f>
        <v>430</v>
      </c>
    </row>
    <row r="1193" customFormat="false" ht="15" hidden="false" customHeight="false" outlineLevel="0" collapsed="false">
      <c r="A1193" s="2" t="s">
        <v>1475</v>
      </c>
      <c r="B1193" s="8" t="n">
        <v>46121</v>
      </c>
      <c r="C1193" s="2" t="s">
        <v>207</v>
      </c>
      <c r="D1193" s="3" t="str">
        <f aca="false">INDEX(Vendedores!$C$2:$C$101,MATCH(C1193,Vendedores!$A$2:$A$101,0))</f>
        <v>L09</v>
      </c>
      <c r="E1193" s="3" t="str">
        <f aca="false">INDEX(Lojas!$E$2:$E$11,MATCH(D1193,Lojas!$A$2:$A$11,0))</f>
        <v>Nordeste</v>
      </c>
      <c r="F1193" s="2" t="s">
        <v>273</v>
      </c>
      <c r="G1193" s="3" t="str">
        <f aca="false">INDEX(Produtos!$B$2:$B$11,MATCH(F1193,Produtos!$A$2:$A$11,0))&amp;" "&amp;INDEX(Produtos!$C$2:$C$11,MATCH(F1193,Produtos!$A$2:$A$11,0))</f>
        <v>Controle de Videogame PS4</v>
      </c>
      <c r="H1193" s="2" t="n">
        <v>1</v>
      </c>
      <c r="I1193" s="5" t="n">
        <f aca="false">INDEX(Produtos!$D$2:$D$11,MATCH(F1193,Produtos!$A$2:$A$11,0))</f>
        <v>299.9</v>
      </c>
      <c r="J1193" s="5" t="n">
        <f aca="false">H1193*I1193</f>
        <v>299.9</v>
      </c>
      <c r="K1193" s="5" t="n">
        <f aca="false">INDEX(Produtos!$E$2:$E$11,MATCH(F1193,Produtos!$A$2:$A$11,0))</f>
        <v>175</v>
      </c>
      <c r="L1193" s="5" t="n">
        <f aca="false">H1193*K1193</f>
        <v>175</v>
      </c>
    </row>
    <row r="1194" customFormat="false" ht="15" hidden="false" customHeight="false" outlineLevel="0" collapsed="false">
      <c r="A1194" s="2" t="s">
        <v>1476</v>
      </c>
      <c r="B1194" s="8" t="n">
        <v>46122</v>
      </c>
      <c r="C1194" s="2" t="s">
        <v>189</v>
      </c>
      <c r="D1194" s="3" t="str">
        <f aca="false">INDEX(Vendedores!$C$2:$C$101,MATCH(C1194,Vendedores!$A$2:$A$101,0))</f>
        <v>L08</v>
      </c>
      <c r="E1194" s="3" t="str">
        <f aca="false">INDEX(Lojas!$E$2:$E$11,MATCH(D1194,Lojas!$A$2:$A$11,0))</f>
        <v>Nordeste</v>
      </c>
      <c r="F1194" s="2" t="s">
        <v>267</v>
      </c>
      <c r="G1194" s="3" t="str">
        <f aca="false">INDEX(Produtos!$B$2:$B$11,MATCH(F1194,Produtos!$A$2:$A$11,0))&amp;" "&amp;INDEX(Produtos!$C$2:$C$11,MATCH(F1194,Produtos!$A$2:$A$11,0))</f>
        <v>Carregador de Celular Tipo C</v>
      </c>
      <c r="H1194" s="2" t="n">
        <v>1</v>
      </c>
      <c r="I1194" s="5" t="n">
        <f aca="false">INDEX(Produtos!$D$2:$D$11,MATCH(F1194,Produtos!$A$2:$A$11,0))</f>
        <v>44.9</v>
      </c>
      <c r="J1194" s="5" t="n">
        <f aca="false">H1194*I1194</f>
        <v>44.9</v>
      </c>
      <c r="K1194" s="5" t="n">
        <f aca="false">INDEX(Produtos!$E$2:$E$11,MATCH(F1194,Produtos!$A$2:$A$11,0))</f>
        <v>18</v>
      </c>
      <c r="L1194" s="5" t="n">
        <f aca="false">H1194*K1194</f>
        <v>18</v>
      </c>
    </row>
    <row r="1195" customFormat="false" ht="15" hidden="false" customHeight="false" outlineLevel="0" collapsed="false">
      <c r="A1195" s="2" t="s">
        <v>1477</v>
      </c>
      <c r="B1195" s="8" t="n">
        <v>46122</v>
      </c>
      <c r="C1195" s="2" t="s">
        <v>231</v>
      </c>
      <c r="D1195" s="3" t="str">
        <f aca="false">INDEX(Vendedores!$C$2:$C$101,MATCH(C1195,Vendedores!$A$2:$A$101,0))</f>
        <v>L10</v>
      </c>
      <c r="E1195" s="3" t="str">
        <f aca="false">INDEX(Lojas!$E$2:$E$11,MATCH(D1195,Lojas!$A$2:$A$11,0))</f>
        <v>Nordeste</v>
      </c>
      <c r="F1195" s="2" t="s">
        <v>275</v>
      </c>
      <c r="G1195" s="3" t="str">
        <f aca="false">INDEX(Produtos!$B$2:$B$11,MATCH(F1195,Produtos!$A$2:$A$11,0))&amp;" "&amp;INDEX(Produtos!$C$2:$C$11,MATCH(F1195,Produtos!$A$2:$A$11,0))</f>
        <v>Controle de Videogame PS5</v>
      </c>
      <c r="H1195" s="2" t="n">
        <v>3</v>
      </c>
      <c r="I1195" s="5" t="n">
        <f aca="false">INDEX(Produtos!$D$2:$D$11,MATCH(F1195,Produtos!$A$2:$A$11,0))</f>
        <v>379.9</v>
      </c>
      <c r="J1195" s="5" t="n">
        <f aca="false">H1195*I1195</f>
        <v>1139.7</v>
      </c>
      <c r="K1195" s="5" t="n">
        <f aca="false">INDEX(Produtos!$E$2:$E$11,MATCH(F1195,Produtos!$A$2:$A$11,0))</f>
        <v>235</v>
      </c>
      <c r="L1195" s="5" t="n">
        <f aca="false">H1195*K1195</f>
        <v>705</v>
      </c>
    </row>
    <row r="1196" customFormat="false" ht="15" hidden="false" customHeight="false" outlineLevel="0" collapsed="false">
      <c r="A1196" s="2" t="s">
        <v>1478</v>
      </c>
      <c r="B1196" s="8" t="n">
        <v>46122</v>
      </c>
      <c r="C1196" s="2" t="s">
        <v>195</v>
      </c>
      <c r="D1196" s="3" t="str">
        <f aca="false">INDEX(Vendedores!$C$2:$C$101,MATCH(C1196,Vendedores!$A$2:$A$101,0))</f>
        <v>L08</v>
      </c>
      <c r="E1196" s="3" t="str">
        <f aca="false">INDEX(Lojas!$E$2:$E$11,MATCH(D1196,Lojas!$A$2:$A$11,0))</f>
        <v>Nordeste</v>
      </c>
      <c r="F1196" s="2" t="s">
        <v>275</v>
      </c>
      <c r="G1196" s="3" t="str">
        <f aca="false">INDEX(Produtos!$B$2:$B$11,MATCH(F1196,Produtos!$A$2:$A$11,0))&amp;" "&amp;INDEX(Produtos!$C$2:$C$11,MATCH(F1196,Produtos!$A$2:$A$11,0))</f>
        <v>Controle de Videogame PS5</v>
      </c>
      <c r="H1196" s="2" t="n">
        <v>2</v>
      </c>
      <c r="I1196" s="5" t="n">
        <f aca="false">INDEX(Produtos!$D$2:$D$11,MATCH(F1196,Produtos!$A$2:$A$11,0))</f>
        <v>379.9</v>
      </c>
      <c r="J1196" s="5" t="n">
        <f aca="false">H1196*I1196</f>
        <v>759.8</v>
      </c>
      <c r="K1196" s="5" t="n">
        <f aca="false">INDEX(Produtos!$E$2:$E$11,MATCH(F1196,Produtos!$A$2:$A$11,0))</f>
        <v>235</v>
      </c>
      <c r="L1196" s="5" t="n">
        <f aca="false">H1196*K1196</f>
        <v>470</v>
      </c>
    </row>
    <row r="1197" customFormat="false" ht="15" hidden="false" customHeight="false" outlineLevel="0" collapsed="false">
      <c r="A1197" s="2" t="s">
        <v>1479</v>
      </c>
      <c r="B1197" s="8" t="n">
        <v>46122</v>
      </c>
      <c r="C1197" s="2" t="s">
        <v>241</v>
      </c>
      <c r="D1197" s="3" t="str">
        <f aca="false">INDEX(Vendedores!$C$2:$C$101,MATCH(C1197,Vendedores!$A$2:$A$101,0))</f>
        <v>L10</v>
      </c>
      <c r="E1197" s="3" t="str">
        <f aca="false">INDEX(Lojas!$E$2:$E$11,MATCH(D1197,Lojas!$A$2:$A$11,0))</f>
        <v>Nordeste</v>
      </c>
      <c r="F1197" s="2" t="s">
        <v>267</v>
      </c>
      <c r="G1197" s="3" t="str">
        <f aca="false">INDEX(Produtos!$B$2:$B$11,MATCH(F1197,Produtos!$A$2:$A$11,0))&amp;" "&amp;INDEX(Produtos!$C$2:$C$11,MATCH(F1197,Produtos!$A$2:$A$11,0))</f>
        <v>Carregador de Celular Tipo C</v>
      </c>
      <c r="H1197" s="2" t="n">
        <v>2</v>
      </c>
      <c r="I1197" s="5" t="n">
        <f aca="false">INDEX(Produtos!$D$2:$D$11,MATCH(F1197,Produtos!$A$2:$A$11,0))</f>
        <v>44.9</v>
      </c>
      <c r="J1197" s="5" t="n">
        <f aca="false">H1197*I1197</f>
        <v>89.8</v>
      </c>
      <c r="K1197" s="5" t="n">
        <f aca="false">INDEX(Produtos!$E$2:$E$11,MATCH(F1197,Produtos!$A$2:$A$11,0))</f>
        <v>18</v>
      </c>
      <c r="L1197" s="5" t="n">
        <f aca="false">H1197*K1197</f>
        <v>36</v>
      </c>
    </row>
    <row r="1198" customFormat="false" ht="15" hidden="false" customHeight="false" outlineLevel="0" collapsed="false">
      <c r="A1198" s="2" t="s">
        <v>1480</v>
      </c>
      <c r="B1198" s="8" t="n">
        <v>46122</v>
      </c>
      <c r="C1198" s="2" t="s">
        <v>162</v>
      </c>
      <c r="D1198" s="3" t="str">
        <f aca="false">INDEX(Vendedores!$C$2:$C$101,MATCH(C1198,Vendedores!$A$2:$A$101,0))</f>
        <v>L06</v>
      </c>
      <c r="E1198" s="3" t="str">
        <f aca="false">INDEX(Lojas!$E$2:$E$11,MATCH(D1198,Lojas!$A$2:$A$11,0))</f>
        <v>Sul</v>
      </c>
      <c r="F1198" s="2" t="s">
        <v>265</v>
      </c>
      <c r="G1198" s="3" t="str">
        <f aca="false">INDEX(Produtos!$B$2:$B$11,MATCH(F1198,Produtos!$A$2:$A$11,0))&amp;" "&amp;INDEX(Produtos!$C$2:$C$11,MATCH(F1198,Produtos!$A$2:$A$11,0))</f>
        <v>Fone de Ouvido Headset</v>
      </c>
      <c r="H1198" s="2" t="n">
        <v>1</v>
      </c>
      <c r="I1198" s="5" t="n">
        <f aca="false">INDEX(Produtos!$D$2:$D$11,MATCH(F1198,Produtos!$A$2:$A$11,0))</f>
        <v>249.9</v>
      </c>
      <c r="J1198" s="5" t="n">
        <f aca="false">H1198*I1198</f>
        <v>249.9</v>
      </c>
      <c r="K1198" s="5" t="n">
        <f aca="false">INDEX(Produtos!$E$2:$E$11,MATCH(F1198,Produtos!$A$2:$A$11,0))</f>
        <v>145</v>
      </c>
      <c r="L1198" s="5" t="n">
        <f aca="false">H1198*K1198</f>
        <v>145</v>
      </c>
    </row>
    <row r="1199" customFormat="false" ht="15" hidden="false" customHeight="false" outlineLevel="0" collapsed="false">
      <c r="A1199" s="2" t="s">
        <v>1481</v>
      </c>
      <c r="B1199" s="8" t="n">
        <v>46122</v>
      </c>
      <c r="C1199" s="2" t="s">
        <v>182</v>
      </c>
      <c r="D1199" s="3" t="str">
        <f aca="false">INDEX(Vendedores!$C$2:$C$101,MATCH(C1199,Vendedores!$A$2:$A$101,0))</f>
        <v>L07</v>
      </c>
      <c r="E1199" s="3" t="str">
        <f aca="false">INDEX(Lojas!$E$2:$E$11,MATCH(D1199,Lojas!$A$2:$A$11,0))</f>
        <v>Sul</v>
      </c>
      <c r="F1199" s="2" t="s">
        <v>275</v>
      </c>
      <c r="G1199" s="3" t="str">
        <f aca="false">INDEX(Produtos!$B$2:$B$11,MATCH(F1199,Produtos!$A$2:$A$11,0))&amp;" "&amp;INDEX(Produtos!$C$2:$C$11,MATCH(F1199,Produtos!$A$2:$A$11,0))</f>
        <v>Controle de Videogame PS5</v>
      </c>
      <c r="H1199" s="2" t="n">
        <v>1</v>
      </c>
      <c r="I1199" s="5" t="n">
        <f aca="false">INDEX(Produtos!$D$2:$D$11,MATCH(F1199,Produtos!$A$2:$A$11,0))</f>
        <v>379.9</v>
      </c>
      <c r="J1199" s="5" t="n">
        <f aca="false">H1199*I1199</f>
        <v>379.9</v>
      </c>
      <c r="K1199" s="5" t="n">
        <f aca="false">INDEX(Produtos!$E$2:$E$11,MATCH(F1199,Produtos!$A$2:$A$11,0))</f>
        <v>235</v>
      </c>
      <c r="L1199" s="5" t="n">
        <f aca="false">H1199*K1199</f>
        <v>235</v>
      </c>
    </row>
    <row r="1200" customFormat="false" ht="15" hidden="false" customHeight="false" outlineLevel="0" collapsed="false">
      <c r="A1200" s="2" t="s">
        <v>1482</v>
      </c>
      <c r="B1200" s="8" t="n">
        <v>46122</v>
      </c>
      <c r="C1200" s="2" t="s">
        <v>102</v>
      </c>
      <c r="D1200" s="3" t="str">
        <f aca="false">INDEX(Vendedores!$C$2:$C$101,MATCH(C1200,Vendedores!$A$2:$A$101,0))</f>
        <v>L03</v>
      </c>
      <c r="E1200" s="3" t="str">
        <f aca="false">INDEX(Lojas!$E$2:$E$11,MATCH(D1200,Lojas!$A$2:$A$11,0))</f>
        <v>Sudeste</v>
      </c>
      <c r="F1200" s="2" t="s">
        <v>252</v>
      </c>
      <c r="G1200" s="3" t="str">
        <f aca="false">INDEX(Produtos!$B$2:$B$11,MATCH(F1200,Produtos!$A$2:$A$11,0))&amp;" "&amp;INDEX(Produtos!$C$2:$C$11,MATCH(F1200,Produtos!$A$2:$A$11,0))</f>
        <v>Notebook Lenovo</v>
      </c>
      <c r="H1200" s="2" t="n">
        <v>2</v>
      </c>
      <c r="I1200" s="5" t="n">
        <f aca="false">INDEX(Produtos!$D$2:$D$11,MATCH(F1200,Produtos!$A$2:$A$11,0))</f>
        <v>3199</v>
      </c>
      <c r="J1200" s="5" t="n">
        <f aca="false">H1200*I1200</f>
        <v>6398</v>
      </c>
      <c r="K1200" s="5" t="n">
        <f aca="false">INDEX(Produtos!$E$2:$E$11,MATCH(F1200,Produtos!$A$2:$A$11,0))</f>
        <v>2350</v>
      </c>
      <c r="L1200" s="5" t="n">
        <f aca="false">H1200*K1200</f>
        <v>4700</v>
      </c>
    </row>
    <row r="1201" customFormat="false" ht="15" hidden="false" customHeight="false" outlineLevel="0" collapsed="false">
      <c r="A1201" s="2" t="s">
        <v>1483</v>
      </c>
      <c r="B1201" s="8" t="n">
        <v>46122</v>
      </c>
      <c r="C1201" s="2" t="s">
        <v>195</v>
      </c>
      <c r="D1201" s="3" t="str">
        <f aca="false">INDEX(Vendedores!$C$2:$C$101,MATCH(C1201,Vendedores!$A$2:$A$101,0))</f>
        <v>L08</v>
      </c>
      <c r="E1201" s="3" t="str">
        <f aca="false">INDEX(Lojas!$E$2:$E$11,MATCH(D1201,Lojas!$A$2:$A$11,0))</f>
        <v>Nordeste</v>
      </c>
      <c r="F1201" s="2" t="s">
        <v>267</v>
      </c>
      <c r="G1201" s="3" t="str">
        <f aca="false">INDEX(Produtos!$B$2:$B$11,MATCH(F1201,Produtos!$A$2:$A$11,0))&amp;" "&amp;INDEX(Produtos!$C$2:$C$11,MATCH(F1201,Produtos!$A$2:$A$11,0))</f>
        <v>Carregador de Celular Tipo C</v>
      </c>
      <c r="H1201" s="2" t="n">
        <v>1</v>
      </c>
      <c r="I1201" s="5" t="n">
        <f aca="false">INDEX(Produtos!$D$2:$D$11,MATCH(F1201,Produtos!$A$2:$A$11,0))</f>
        <v>44.9</v>
      </c>
      <c r="J1201" s="5" t="n">
        <f aca="false">H1201*I1201</f>
        <v>44.9</v>
      </c>
      <c r="K1201" s="5" t="n">
        <f aca="false">INDEX(Produtos!$E$2:$E$11,MATCH(F1201,Produtos!$A$2:$A$11,0))</f>
        <v>18</v>
      </c>
      <c r="L1201" s="5" t="n">
        <f aca="false">H1201*K1201</f>
        <v>18</v>
      </c>
    </row>
    <row r="1202" customFormat="false" ht="15" hidden="false" customHeight="false" outlineLevel="0" collapsed="false">
      <c r="A1202" s="2" t="s">
        <v>1484</v>
      </c>
      <c r="B1202" s="8" t="n">
        <v>46122</v>
      </c>
      <c r="C1202" s="2" t="s">
        <v>211</v>
      </c>
      <c r="D1202" s="3" t="str">
        <f aca="false">INDEX(Vendedores!$C$2:$C$101,MATCH(C1202,Vendedores!$A$2:$A$101,0))</f>
        <v>L09</v>
      </c>
      <c r="E1202" s="3" t="str">
        <f aca="false">INDEX(Lojas!$E$2:$E$11,MATCH(D1202,Lojas!$A$2:$A$11,0))</f>
        <v>Nordeste</v>
      </c>
      <c r="F1202" s="2" t="s">
        <v>260</v>
      </c>
      <c r="G1202" s="3" t="str">
        <f aca="false">INDEX(Produtos!$B$2:$B$11,MATCH(F1202,Produtos!$A$2:$A$11,0))&amp;" "&amp;INDEX(Produtos!$C$2:$C$11,MATCH(F1202,Produtos!$A$2:$A$11,0))</f>
        <v>Celular Motorola</v>
      </c>
      <c r="H1202" s="2" t="n">
        <v>1</v>
      </c>
      <c r="I1202" s="5" t="n">
        <f aca="false">INDEX(Produtos!$D$2:$D$11,MATCH(F1202,Produtos!$A$2:$A$11,0))</f>
        <v>1799</v>
      </c>
      <c r="J1202" s="5" t="n">
        <f aca="false">H1202*I1202</f>
        <v>1799</v>
      </c>
      <c r="K1202" s="5" t="n">
        <f aca="false">INDEX(Produtos!$E$2:$E$11,MATCH(F1202,Produtos!$A$2:$A$11,0))</f>
        <v>1250</v>
      </c>
      <c r="L1202" s="5" t="n">
        <f aca="false">H1202*K1202</f>
        <v>1250</v>
      </c>
    </row>
    <row r="1203" customFormat="false" ht="15" hidden="false" customHeight="false" outlineLevel="0" collapsed="false">
      <c r="A1203" s="2" t="s">
        <v>1485</v>
      </c>
      <c r="B1203" s="8" t="n">
        <v>46122</v>
      </c>
      <c r="C1203" s="2" t="s">
        <v>154</v>
      </c>
      <c r="D1203" s="3" t="str">
        <f aca="false">INDEX(Vendedores!$C$2:$C$101,MATCH(C1203,Vendedores!$A$2:$A$101,0))</f>
        <v>L06</v>
      </c>
      <c r="E1203" s="3" t="str">
        <f aca="false">INDEX(Lojas!$E$2:$E$11,MATCH(D1203,Lojas!$A$2:$A$11,0))</f>
        <v>Sul</v>
      </c>
      <c r="F1203" s="2" t="s">
        <v>275</v>
      </c>
      <c r="G1203" s="3" t="str">
        <f aca="false">INDEX(Produtos!$B$2:$B$11,MATCH(F1203,Produtos!$A$2:$A$11,0))&amp;" "&amp;INDEX(Produtos!$C$2:$C$11,MATCH(F1203,Produtos!$A$2:$A$11,0))</f>
        <v>Controle de Videogame PS5</v>
      </c>
      <c r="H1203" s="2" t="n">
        <v>1</v>
      </c>
      <c r="I1203" s="5" t="n">
        <f aca="false">INDEX(Produtos!$D$2:$D$11,MATCH(F1203,Produtos!$A$2:$A$11,0))</f>
        <v>379.9</v>
      </c>
      <c r="J1203" s="5" t="n">
        <f aca="false">H1203*I1203</f>
        <v>379.9</v>
      </c>
      <c r="K1203" s="5" t="n">
        <f aca="false">INDEX(Produtos!$E$2:$E$11,MATCH(F1203,Produtos!$A$2:$A$11,0))</f>
        <v>235</v>
      </c>
      <c r="L1203" s="5" t="n">
        <f aca="false">H1203*K1203</f>
        <v>235</v>
      </c>
    </row>
    <row r="1204" customFormat="false" ht="15" hidden="false" customHeight="false" outlineLevel="0" collapsed="false">
      <c r="A1204" s="2" t="s">
        <v>1486</v>
      </c>
      <c r="B1204" s="8" t="n">
        <v>46122</v>
      </c>
      <c r="C1204" s="2" t="s">
        <v>221</v>
      </c>
      <c r="D1204" s="3" t="str">
        <f aca="false">INDEX(Vendedores!$C$2:$C$101,MATCH(C1204,Vendedores!$A$2:$A$101,0))</f>
        <v>L09</v>
      </c>
      <c r="E1204" s="3" t="str">
        <f aca="false">INDEX(Lojas!$E$2:$E$11,MATCH(D1204,Lojas!$A$2:$A$11,0))</f>
        <v>Nordeste</v>
      </c>
      <c r="F1204" s="2" t="s">
        <v>262</v>
      </c>
      <c r="G1204" s="3" t="str">
        <f aca="false">INDEX(Produtos!$B$2:$B$11,MATCH(F1204,Produtos!$A$2:$A$11,0))&amp;" "&amp;INDEX(Produtos!$C$2:$C$11,MATCH(F1204,Produtos!$A$2:$A$11,0))</f>
        <v>Fone de Ouvido De Celular</v>
      </c>
      <c r="H1204" s="2" t="n">
        <v>1</v>
      </c>
      <c r="I1204" s="5" t="n">
        <f aca="false">INDEX(Produtos!$D$2:$D$11,MATCH(F1204,Produtos!$A$2:$A$11,0))</f>
        <v>59.9</v>
      </c>
      <c r="J1204" s="5" t="n">
        <f aca="false">H1204*I1204</f>
        <v>59.9</v>
      </c>
      <c r="K1204" s="5" t="n">
        <f aca="false">INDEX(Produtos!$E$2:$E$11,MATCH(F1204,Produtos!$A$2:$A$11,0))</f>
        <v>28</v>
      </c>
      <c r="L1204" s="5" t="n">
        <f aca="false">H1204*K1204</f>
        <v>28</v>
      </c>
    </row>
    <row r="1205" customFormat="false" ht="15" hidden="false" customHeight="false" outlineLevel="0" collapsed="false">
      <c r="A1205" s="2" t="s">
        <v>1487</v>
      </c>
      <c r="B1205" s="8" t="n">
        <v>46122</v>
      </c>
      <c r="C1205" s="2" t="s">
        <v>193</v>
      </c>
      <c r="D1205" s="3" t="str">
        <f aca="false">INDEX(Vendedores!$C$2:$C$101,MATCH(C1205,Vendedores!$A$2:$A$101,0))</f>
        <v>L08</v>
      </c>
      <c r="E1205" s="3" t="str">
        <f aca="false">INDEX(Lojas!$E$2:$E$11,MATCH(D1205,Lojas!$A$2:$A$11,0))</f>
        <v>Nordeste</v>
      </c>
      <c r="F1205" s="2" t="s">
        <v>255</v>
      </c>
      <c r="G1205" s="3" t="str">
        <f aca="false">INDEX(Produtos!$B$2:$B$11,MATCH(F1205,Produtos!$A$2:$A$11,0))&amp;" "&amp;INDEX(Produtos!$C$2:$C$11,MATCH(F1205,Produtos!$A$2:$A$11,0))</f>
        <v>Notebook Positivo</v>
      </c>
      <c r="H1205" s="2" t="n">
        <v>1</v>
      </c>
      <c r="I1205" s="5" t="n">
        <f aca="false">INDEX(Produtos!$D$2:$D$11,MATCH(F1205,Produtos!$A$2:$A$11,0))</f>
        <v>2199</v>
      </c>
      <c r="J1205" s="5" t="n">
        <f aca="false">H1205*I1205</f>
        <v>2199</v>
      </c>
      <c r="K1205" s="5" t="n">
        <f aca="false">INDEX(Produtos!$E$2:$E$11,MATCH(F1205,Produtos!$A$2:$A$11,0))</f>
        <v>1550</v>
      </c>
      <c r="L1205" s="5" t="n">
        <f aca="false">H1205*K1205</f>
        <v>1550</v>
      </c>
    </row>
    <row r="1206" customFormat="false" ht="15" hidden="false" customHeight="false" outlineLevel="0" collapsed="false">
      <c r="A1206" s="2" t="s">
        <v>1488</v>
      </c>
      <c r="B1206" s="8" t="n">
        <v>46123</v>
      </c>
      <c r="C1206" s="2" t="s">
        <v>56</v>
      </c>
      <c r="D1206" s="3" t="str">
        <f aca="false">INDEX(Vendedores!$C$2:$C$101,MATCH(C1206,Vendedores!$A$2:$A$101,0))</f>
        <v>L01</v>
      </c>
      <c r="E1206" s="3" t="str">
        <f aca="false">INDEX(Lojas!$E$2:$E$11,MATCH(D1206,Lojas!$A$2:$A$11,0))</f>
        <v>Sudeste</v>
      </c>
      <c r="F1206" s="2" t="s">
        <v>273</v>
      </c>
      <c r="G1206" s="3" t="str">
        <f aca="false">INDEX(Produtos!$B$2:$B$11,MATCH(F1206,Produtos!$A$2:$A$11,0))&amp;" "&amp;INDEX(Produtos!$C$2:$C$11,MATCH(F1206,Produtos!$A$2:$A$11,0))</f>
        <v>Controle de Videogame PS4</v>
      </c>
      <c r="H1206" s="2" t="n">
        <v>1</v>
      </c>
      <c r="I1206" s="5" t="n">
        <f aca="false">INDEX(Produtos!$D$2:$D$11,MATCH(F1206,Produtos!$A$2:$A$11,0))</f>
        <v>299.9</v>
      </c>
      <c r="J1206" s="5" t="n">
        <f aca="false">H1206*I1206</f>
        <v>299.9</v>
      </c>
      <c r="K1206" s="5" t="n">
        <f aca="false">INDEX(Produtos!$E$2:$E$11,MATCH(F1206,Produtos!$A$2:$A$11,0))</f>
        <v>175</v>
      </c>
      <c r="L1206" s="5" t="n">
        <f aca="false">H1206*K1206</f>
        <v>175</v>
      </c>
    </row>
    <row r="1207" customFormat="false" ht="15" hidden="false" customHeight="false" outlineLevel="0" collapsed="false">
      <c r="A1207" s="2" t="s">
        <v>1489</v>
      </c>
      <c r="B1207" s="8" t="n">
        <v>46123</v>
      </c>
      <c r="C1207" s="2" t="s">
        <v>148</v>
      </c>
      <c r="D1207" s="3" t="str">
        <f aca="false">INDEX(Vendedores!$C$2:$C$101,MATCH(C1207,Vendedores!$A$2:$A$101,0))</f>
        <v>L06</v>
      </c>
      <c r="E1207" s="3" t="str">
        <f aca="false">INDEX(Lojas!$E$2:$E$11,MATCH(D1207,Lojas!$A$2:$A$11,0))</f>
        <v>Sul</v>
      </c>
      <c r="F1207" s="2" t="s">
        <v>267</v>
      </c>
      <c r="G1207" s="3" t="str">
        <f aca="false">INDEX(Produtos!$B$2:$B$11,MATCH(F1207,Produtos!$A$2:$A$11,0))&amp;" "&amp;INDEX(Produtos!$C$2:$C$11,MATCH(F1207,Produtos!$A$2:$A$11,0))</f>
        <v>Carregador de Celular Tipo C</v>
      </c>
      <c r="H1207" s="2" t="n">
        <v>1</v>
      </c>
      <c r="I1207" s="5" t="n">
        <f aca="false">INDEX(Produtos!$D$2:$D$11,MATCH(F1207,Produtos!$A$2:$A$11,0))</f>
        <v>44.9</v>
      </c>
      <c r="J1207" s="5" t="n">
        <f aca="false">H1207*I1207</f>
        <v>44.9</v>
      </c>
      <c r="K1207" s="5" t="n">
        <f aca="false">INDEX(Produtos!$E$2:$E$11,MATCH(F1207,Produtos!$A$2:$A$11,0))</f>
        <v>18</v>
      </c>
      <c r="L1207" s="5" t="n">
        <f aca="false">H1207*K1207</f>
        <v>18</v>
      </c>
    </row>
    <row r="1208" customFormat="false" ht="15" hidden="false" customHeight="false" outlineLevel="0" collapsed="false">
      <c r="A1208" s="2" t="s">
        <v>1490</v>
      </c>
      <c r="B1208" s="8" t="n">
        <v>46123</v>
      </c>
      <c r="C1208" s="2" t="s">
        <v>122</v>
      </c>
      <c r="D1208" s="3" t="str">
        <f aca="false">INDEX(Vendedores!$C$2:$C$101,MATCH(C1208,Vendedores!$A$2:$A$101,0))</f>
        <v>L04</v>
      </c>
      <c r="E1208" s="3" t="str">
        <f aca="false">INDEX(Lojas!$E$2:$E$11,MATCH(D1208,Lojas!$A$2:$A$11,0))</f>
        <v>Sudeste</v>
      </c>
      <c r="F1208" s="2" t="s">
        <v>262</v>
      </c>
      <c r="G1208" s="3" t="str">
        <f aca="false">INDEX(Produtos!$B$2:$B$11,MATCH(F1208,Produtos!$A$2:$A$11,0))&amp;" "&amp;INDEX(Produtos!$C$2:$C$11,MATCH(F1208,Produtos!$A$2:$A$11,0))</f>
        <v>Fone de Ouvido De Celular</v>
      </c>
      <c r="H1208" s="2" t="n">
        <v>2</v>
      </c>
      <c r="I1208" s="5" t="n">
        <f aca="false">INDEX(Produtos!$D$2:$D$11,MATCH(F1208,Produtos!$A$2:$A$11,0))</f>
        <v>59.9</v>
      </c>
      <c r="J1208" s="5" t="n">
        <f aca="false">H1208*I1208</f>
        <v>119.8</v>
      </c>
      <c r="K1208" s="5" t="n">
        <f aca="false">INDEX(Produtos!$E$2:$E$11,MATCH(F1208,Produtos!$A$2:$A$11,0))</f>
        <v>28</v>
      </c>
      <c r="L1208" s="5" t="n">
        <f aca="false">H1208*K1208</f>
        <v>56</v>
      </c>
    </row>
    <row r="1209" customFormat="false" ht="15" hidden="false" customHeight="false" outlineLevel="0" collapsed="false">
      <c r="A1209" s="2" t="s">
        <v>1491</v>
      </c>
      <c r="B1209" s="8" t="n">
        <v>46123</v>
      </c>
      <c r="C1209" s="2" t="s">
        <v>227</v>
      </c>
      <c r="D1209" s="3" t="str">
        <f aca="false">INDEX(Vendedores!$C$2:$C$101,MATCH(C1209,Vendedores!$A$2:$A$101,0))</f>
        <v>L10</v>
      </c>
      <c r="E1209" s="3" t="str">
        <f aca="false">INDEX(Lojas!$E$2:$E$11,MATCH(D1209,Lojas!$A$2:$A$11,0))</f>
        <v>Nordeste</v>
      </c>
      <c r="F1209" s="2" t="s">
        <v>260</v>
      </c>
      <c r="G1209" s="3" t="str">
        <f aca="false">INDEX(Produtos!$B$2:$B$11,MATCH(F1209,Produtos!$A$2:$A$11,0))&amp;" "&amp;INDEX(Produtos!$C$2:$C$11,MATCH(F1209,Produtos!$A$2:$A$11,0))</f>
        <v>Celular Motorola</v>
      </c>
      <c r="H1209" s="2" t="n">
        <v>1</v>
      </c>
      <c r="I1209" s="5" t="n">
        <f aca="false">INDEX(Produtos!$D$2:$D$11,MATCH(F1209,Produtos!$A$2:$A$11,0))</f>
        <v>1799</v>
      </c>
      <c r="J1209" s="5" t="n">
        <f aca="false">H1209*I1209</f>
        <v>1799</v>
      </c>
      <c r="K1209" s="5" t="n">
        <f aca="false">INDEX(Produtos!$E$2:$E$11,MATCH(F1209,Produtos!$A$2:$A$11,0))</f>
        <v>1250</v>
      </c>
      <c r="L1209" s="5" t="n">
        <f aca="false">H1209*K1209</f>
        <v>1250</v>
      </c>
    </row>
    <row r="1210" customFormat="false" ht="15" hidden="false" customHeight="false" outlineLevel="0" collapsed="false">
      <c r="A1210" s="2" t="s">
        <v>1492</v>
      </c>
      <c r="B1210" s="8" t="n">
        <v>46123</v>
      </c>
      <c r="C1210" s="2" t="s">
        <v>114</v>
      </c>
      <c r="D1210" s="3" t="str">
        <f aca="false">INDEX(Vendedores!$C$2:$C$101,MATCH(C1210,Vendedores!$A$2:$A$101,0))</f>
        <v>L04</v>
      </c>
      <c r="E1210" s="3" t="str">
        <f aca="false">INDEX(Lojas!$E$2:$E$11,MATCH(D1210,Lojas!$A$2:$A$11,0))</f>
        <v>Sudeste</v>
      </c>
      <c r="F1210" s="2" t="s">
        <v>273</v>
      </c>
      <c r="G1210" s="3" t="str">
        <f aca="false">INDEX(Produtos!$B$2:$B$11,MATCH(F1210,Produtos!$A$2:$A$11,0))&amp;" "&amp;INDEX(Produtos!$C$2:$C$11,MATCH(F1210,Produtos!$A$2:$A$11,0))</f>
        <v>Controle de Videogame PS4</v>
      </c>
      <c r="H1210" s="2" t="n">
        <v>1</v>
      </c>
      <c r="I1210" s="5" t="n">
        <f aca="false">INDEX(Produtos!$D$2:$D$11,MATCH(F1210,Produtos!$A$2:$A$11,0))</f>
        <v>299.9</v>
      </c>
      <c r="J1210" s="5" t="n">
        <f aca="false">H1210*I1210</f>
        <v>299.9</v>
      </c>
      <c r="K1210" s="5" t="n">
        <f aca="false">INDEX(Produtos!$E$2:$E$11,MATCH(F1210,Produtos!$A$2:$A$11,0))</f>
        <v>175</v>
      </c>
      <c r="L1210" s="5" t="n">
        <f aca="false">H1210*K1210</f>
        <v>175</v>
      </c>
    </row>
    <row r="1211" customFormat="false" ht="15" hidden="false" customHeight="false" outlineLevel="0" collapsed="false">
      <c r="A1211" s="2" t="s">
        <v>1493</v>
      </c>
      <c r="B1211" s="8" t="n">
        <v>46123</v>
      </c>
      <c r="C1211" s="2" t="s">
        <v>72</v>
      </c>
      <c r="D1211" s="3" t="str">
        <f aca="false">INDEX(Vendedores!$C$2:$C$101,MATCH(C1211,Vendedores!$A$2:$A$101,0))</f>
        <v>L02</v>
      </c>
      <c r="E1211" s="3" t="str">
        <f aca="false">INDEX(Lojas!$E$2:$E$11,MATCH(D1211,Lojas!$A$2:$A$11,0))</f>
        <v>Sudeste</v>
      </c>
      <c r="F1211" s="2" t="s">
        <v>273</v>
      </c>
      <c r="G1211" s="3" t="str">
        <f aca="false">INDEX(Produtos!$B$2:$B$11,MATCH(F1211,Produtos!$A$2:$A$11,0))&amp;" "&amp;INDEX(Produtos!$C$2:$C$11,MATCH(F1211,Produtos!$A$2:$A$11,0))</f>
        <v>Controle de Videogame PS4</v>
      </c>
      <c r="H1211" s="2" t="n">
        <v>2</v>
      </c>
      <c r="I1211" s="5" t="n">
        <f aca="false">INDEX(Produtos!$D$2:$D$11,MATCH(F1211,Produtos!$A$2:$A$11,0))</f>
        <v>299.9</v>
      </c>
      <c r="J1211" s="5" t="n">
        <f aca="false">H1211*I1211</f>
        <v>599.8</v>
      </c>
      <c r="K1211" s="5" t="n">
        <f aca="false">INDEX(Produtos!$E$2:$E$11,MATCH(F1211,Produtos!$A$2:$A$11,0))</f>
        <v>175</v>
      </c>
      <c r="L1211" s="5" t="n">
        <f aca="false">H1211*K1211</f>
        <v>350</v>
      </c>
    </row>
    <row r="1212" customFormat="false" ht="15" hidden="false" customHeight="false" outlineLevel="0" collapsed="false">
      <c r="A1212" s="2" t="s">
        <v>1494</v>
      </c>
      <c r="B1212" s="8" t="n">
        <v>46123</v>
      </c>
      <c r="C1212" s="2" t="s">
        <v>168</v>
      </c>
      <c r="D1212" s="3" t="str">
        <f aca="false">INDEX(Vendedores!$C$2:$C$101,MATCH(C1212,Vendedores!$A$2:$A$101,0))</f>
        <v>L07</v>
      </c>
      <c r="E1212" s="3" t="str">
        <f aca="false">INDEX(Lojas!$E$2:$E$11,MATCH(D1212,Lojas!$A$2:$A$11,0))</f>
        <v>Sul</v>
      </c>
      <c r="F1212" s="2" t="s">
        <v>262</v>
      </c>
      <c r="G1212" s="3" t="str">
        <f aca="false">INDEX(Produtos!$B$2:$B$11,MATCH(F1212,Produtos!$A$2:$A$11,0))&amp;" "&amp;INDEX(Produtos!$C$2:$C$11,MATCH(F1212,Produtos!$A$2:$A$11,0))</f>
        <v>Fone de Ouvido De Celular</v>
      </c>
      <c r="H1212" s="2" t="n">
        <v>1</v>
      </c>
      <c r="I1212" s="5" t="n">
        <f aca="false">INDEX(Produtos!$D$2:$D$11,MATCH(F1212,Produtos!$A$2:$A$11,0))</f>
        <v>59.9</v>
      </c>
      <c r="J1212" s="5" t="n">
        <f aca="false">H1212*I1212</f>
        <v>59.9</v>
      </c>
      <c r="K1212" s="5" t="n">
        <f aca="false">INDEX(Produtos!$E$2:$E$11,MATCH(F1212,Produtos!$A$2:$A$11,0))</f>
        <v>28</v>
      </c>
      <c r="L1212" s="5" t="n">
        <f aca="false">H1212*K1212</f>
        <v>28</v>
      </c>
    </row>
    <row r="1213" customFormat="false" ht="15" hidden="false" customHeight="false" outlineLevel="0" collapsed="false">
      <c r="A1213" s="2" t="s">
        <v>1495</v>
      </c>
      <c r="B1213" s="8" t="n">
        <v>46123</v>
      </c>
      <c r="C1213" s="2" t="s">
        <v>133</v>
      </c>
      <c r="D1213" s="3" t="str">
        <f aca="false">INDEX(Vendedores!$C$2:$C$101,MATCH(C1213,Vendedores!$A$2:$A$101,0))</f>
        <v>L05</v>
      </c>
      <c r="E1213" s="3" t="str">
        <f aca="false">INDEX(Lojas!$E$2:$E$11,MATCH(D1213,Lojas!$A$2:$A$11,0))</f>
        <v>Sul</v>
      </c>
      <c r="F1213" s="2" t="s">
        <v>270</v>
      </c>
      <c r="G1213" s="3" t="str">
        <f aca="false">INDEX(Produtos!$B$2:$B$11,MATCH(F1213,Produtos!$A$2:$A$11,0))&amp;" "&amp;INDEX(Produtos!$C$2:$C$11,MATCH(F1213,Produtos!$A$2:$A$11,0))</f>
        <v>Controle de Videogame Xbox</v>
      </c>
      <c r="H1213" s="2" t="n">
        <v>2</v>
      </c>
      <c r="I1213" s="5" t="n">
        <f aca="false">INDEX(Produtos!$D$2:$D$11,MATCH(F1213,Produtos!$A$2:$A$11,0))</f>
        <v>349.9</v>
      </c>
      <c r="J1213" s="5" t="n">
        <f aca="false">H1213*I1213</f>
        <v>699.8</v>
      </c>
      <c r="K1213" s="5" t="n">
        <f aca="false">INDEX(Produtos!$E$2:$E$11,MATCH(F1213,Produtos!$A$2:$A$11,0))</f>
        <v>215</v>
      </c>
      <c r="L1213" s="5" t="n">
        <f aca="false">H1213*K1213</f>
        <v>430</v>
      </c>
    </row>
    <row r="1214" customFormat="false" ht="15" hidden="false" customHeight="false" outlineLevel="0" collapsed="false">
      <c r="A1214" s="2" t="s">
        <v>1496</v>
      </c>
      <c r="B1214" s="8" t="n">
        <v>46123</v>
      </c>
      <c r="C1214" s="2" t="s">
        <v>158</v>
      </c>
      <c r="D1214" s="3" t="str">
        <f aca="false">INDEX(Vendedores!$C$2:$C$101,MATCH(C1214,Vendedores!$A$2:$A$101,0))</f>
        <v>L06</v>
      </c>
      <c r="E1214" s="3" t="str">
        <f aca="false">INDEX(Lojas!$E$2:$E$11,MATCH(D1214,Lojas!$A$2:$A$11,0))</f>
        <v>Sul</v>
      </c>
      <c r="F1214" s="2" t="s">
        <v>275</v>
      </c>
      <c r="G1214" s="3" t="str">
        <f aca="false">INDEX(Produtos!$B$2:$B$11,MATCH(F1214,Produtos!$A$2:$A$11,0))&amp;" "&amp;INDEX(Produtos!$C$2:$C$11,MATCH(F1214,Produtos!$A$2:$A$11,0))</f>
        <v>Controle de Videogame PS5</v>
      </c>
      <c r="H1214" s="2" t="n">
        <v>1</v>
      </c>
      <c r="I1214" s="5" t="n">
        <f aca="false">INDEX(Produtos!$D$2:$D$11,MATCH(F1214,Produtos!$A$2:$A$11,0))</f>
        <v>379.9</v>
      </c>
      <c r="J1214" s="5" t="n">
        <f aca="false">H1214*I1214</f>
        <v>379.9</v>
      </c>
      <c r="K1214" s="5" t="n">
        <f aca="false">INDEX(Produtos!$E$2:$E$11,MATCH(F1214,Produtos!$A$2:$A$11,0))</f>
        <v>235</v>
      </c>
      <c r="L1214" s="5" t="n">
        <f aca="false">H1214*K1214</f>
        <v>235</v>
      </c>
    </row>
    <row r="1215" customFormat="false" ht="15" hidden="false" customHeight="false" outlineLevel="0" collapsed="false">
      <c r="A1215" s="2" t="s">
        <v>1497</v>
      </c>
      <c r="B1215" s="8" t="n">
        <v>46123</v>
      </c>
      <c r="C1215" s="2" t="s">
        <v>138</v>
      </c>
      <c r="D1215" s="3" t="str">
        <f aca="false">INDEX(Vendedores!$C$2:$C$101,MATCH(C1215,Vendedores!$A$2:$A$101,0))</f>
        <v>L05</v>
      </c>
      <c r="E1215" s="3" t="str">
        <f aca="false">INDEX(Lojas!$E$2:$E$11,MATCH(D1215,Lojas!$A$2:$A$11,0))</f>
        <v>Sul</v>
      </c>
      <c r="F1215" s="2" t="s">
        <v>257</v>
      </c>
      <c r="G1215" s="3" t="str">
        <f aca="false">INDEX(Produtos!$B$2:$B$11,MATCH(F1215,Produtos!$A$2:$A$11,0))&amp;" "&amp;INDEX(Produtos!$C$2:$C$11,MATCH(F1215,Produtos!$A$2:$A$11,0))</f>
        <v>Celular Samsung</v>
      </c>
      <c r="H1215" s="2" t="n">
        <v>3</v>
      </c>
      <c r="I1215" s="5" t="n">
        <f aca="false">INDEX(Produtos!$D$2:$D$11,MATCH(F1215,Produtos!$A$2:$A$11,0))</f>
        <v>2499</v>
      </c>
      <c r="J1215" s="5" t="n">
        <f aca="false">H1215*I1215</f>
        <v>7497</v>
      </c>
      <c r="K1215" s="5" t="n">
        <f aca="false">INDEX(Produtos!$E$2:$E$11,MATCH(F1215,Produtos!$A$2:$A$11,0))</f>
        <v>1800</v>
      </c>
      <c r="L1215" s="5" t="n">
        <f aca="false">H1215*K1215</f>
        <v>5400</v>
      </c>
    </row>
    <row r="1216" customFormat="false" ht="15" hidden="false" customHeight="false" outlineLevel="0" collapsed="false">
      <c r="A1216" s="2" t="s">
        <v>1498</v>
      </c>
      <c r="B1216" s="8" t="n">
        <v>46123</v>
      </c>
      <c r="C1216" s="2" t="s">
        <v>178</v>
      </c>
      <c r="D1216" s="3" t="str">
        <f aca="false">INDEX(Vendedores!$C$2:$C$101,MATCH(C1216,Vendedores!$A$2:$A$101,0))</f>
        <v>L07</v>
      </c>
      <c r="E1216" s="3" t="str">
        <f aca="false">INDEX(Lojas!$E$2:$E$11,MATCH(D1216,Lojas!$A$2:$A$11,0))</f>
        <v>Sul</v>
      </c>
      <c r="F1216" s="2" t="s">
        <v>260</v>
      </c>
      <c r="G1216" s="3" t="str">
        <f aca="false">INDEX(Produtos!$B$2:$B$11,MATCH(F1216,Produtos!$A$2:$A$11,0))&amp;" "&amp;INDEX(Produtos!$C$2:$C$11,MATCH(F1216,Produtos!$A$2:$A$11,0))</f>
        <v>Celular Motorola</v>
      </c>
      <c r="H1216" s="2" t="n">
        <v>1</v>
      </c>
      <c r="I1216" s="5" t="n">
        <f aca="false">INDEX(Produtos!$D$2:$D$11,MATCH(F1216,Produtos!$A$2:$A$11,0))</f>
        <v>1799</v>
      </c>
      <c r="J1216" s="5" t="n">
        <f aca="false">H1216*I1216</f>
        <v>1799</v>
      </c>
      <c r="K1216" s="5" t="n">
        <f aca="false">INDEX(Produtos!$E$2:$E$11,MATCH(F1216,Produtos!$A$2:$A$11,0))</f>
        <v>1250</v>
      </c>
      <c r="L1216" s="5" t="n">
        <f aca="false">H1216*K1216</f>
        <v>1250</v>
      </c>
    </row>
    <row r="1217" customFormat="false" ht="15" hidden="false" customHeight="false" outlineLevel="0" collapsed="false">
      <c r="A1217" s="2" t="s">
        <v>1499</v>
      </c>
      <c r="B1217" s="8" t="n">
        <v>46124</v>
      </c>
      <c r="C1217" s="2" t="s">
        <v>223</v>
      </c>
      <c r="D1217" s="3" t="str">
        <f aca="false">INDEX(Vendedores!$C$2:$C$101,MATCH(C1217,Vendedores!$A$2:$A$101,0))</f>
        <v>L09</v>
      </c>
      <c r="E1217" s="3" t="str">
        <f aca="false">INDEX(Lojas!$E$2:$E$11,MATCH(D1217,Lojas!$A$2:$A$11,0))</f>
        <v>Nordeste</v>
      </c>
      <c r="F1217" s="2" t="s">
        <v>260</v>
      </c>
      <c r="G1217" s="3" t="str">
        <f aca="false">INDEX(Produtos!$B$2:$B$11,MATCH(F1217,Produtos!$A$2:$A$11,0))&amp;" "&amp;INDEX(Produtos!$C$2:$C$11,MATCH(F1217,Produtos!$A$2:$A$11,0))</f>
        <v>Celular Motorola</v>
      </c>
      <c r="H1217" s="2" t="n">
        <v>3</v>
      </c>
      <c r="I1217" s="5" t="n">
        <f aca="false">INDEX(Produtos!$D$2:$D$11,MATCH(F1217,Produtos!$A$2:$A$11,0))</f>
        <v>1799</v>
      </c>
      <c r="J1217" s="5" t="n">
        <f aca="false">H1217*I1217</f>
        <v>5397</v>
      </c>
      <c r="K1217" s="5" t="n">
        <f aca="false">INDEX(Produtos!$E$2:$E$11,MATCH(F1217,Produtos!$A$2:$A$11,0))</f>
        <v>1250</v>
      </c>
      <c r="L1217" s="5" t="n">
        <f aca="false">H1217*K1217</f>
        <v>3750</v>
      </c>
    </row>
    <row r="1218" customFormat="false" ht="15" hidden="false" customHeight="false" outlineLevel="0" collapsed="false">
      <c r="A1218" s="2" t="s">
        <v>1500</v>
      </c>
      <c r="B1218" s="8" t="n">
        <v>46124</v>
      </c>
      <c r="C1218" s="2" t="s">
        <v>150</v>
      </c>
      <c r="D1218" s="3" t="str">
        <f aca="false">INDEX(Vendedores!$C$2:$C$101,MATCH(C1218,Vendedores!$A$2:$A$101,0))</f>
        <v>L06</v>
      </c>
      <c r="E1218" s="3" t="str">
        <f aca="false">INDEX(Lojas!$E$2:$E$11,MATCH(D1218,Lojas!$A$2:$A$11,0))</f>
        <v>Sul</v>
      </c>
      <c r="F1218" s="2" t="s">
        <v>262</v>
      </c>
      <c r="G1218" s="3" t="str">
        <f aca="false">INDEX(Produtos!$B$2:$B$11,MATCH(F1218,Produtos!$A$2:$A$11,0))&amp;" "&amp;INDEX(Produtos!$C$2:$C$11,MATCH(F1218,Produtos!$A$2:$A$11,0))</f>
        <v>Fone de Ouvido De Celular</v>
      </c>
      <c r="H1218" s="2" t="n">
        <v>1</v>
      </c>
      <c r="I1218" s="5" t="n">
        <f aca="false">INDEX(Produtos!$D$2:$D$11,MATCH(F1218,Produtos!$A$2:$A$11,0))</f>
        <v>59.9</v>
      </c>
      <c r="J1218" s="5" t="n">
        <f aca="false">H1218*I1218</f>
        <v>59.9</v>
      </c>
      <c r="K1218" s="5" t="n">
        <f aca="false">INDEX(Produtos!$E$2:$E$11,MATCH(F1218,Produtos!$A$2:$A$11,0))</f>
        <v>28</v>
      </c>
      <c r="L1218" s="5" t="n">
        <f aca="false">H1218*K1218</f>
        <v>28</v>
      </c>
    </row>
    <row r="1219" customFormat="false" ht="15" hidden="false" customHeight="false" outlineLevel="0" collapsed="false">
      <c r="A1219" s="2" t="s">
        <v>1501</v>
      </c>
      <c r="B1219" s="8" t="n">
        <v>46124</v>
      </c>
      <c r="C1219" s="2" t="s">
        <v>88</v>
      </c>
      <c r="D1219" s="3" t="str">
        <f aca="false">INDEX(Vendedores!$C$2:$C$101,MATCH(C1219,Vendedores!$A$2:$A$101,0))</f>
        <v>L02</v>
      </c>
      <c r="E1219" s="3" t="str">
        <f aca="false">INDEX(Lojas!$E$2:$E$11,MATCH(D1219,Lojas!$A$2:$A$11,0))</f>
        <v>Sudeste</v>
      </c>
      <c r="F1219" s="2" t="s">
        <v>257</v>
      </c>
      <c r="G1219" s="3" t="str">
        <f aca="false">INDEX(Produtos!$B$2:$B$11,MATCH(F1219,Produtos!$A$2:$A$11,0))&amp;" "&amp;INDEX(Produtos!$C$2:$C$11,MATCH(F1219,Produtos!$A$2:$A$11,0))</f>
        <v>Celular Samsung</v>
      </c>
      <c r="H1219" s="2" t="n">
        <v>3</v>
      </c>
      <c r="I1219" s="5" t="n">
        <f aca="false">INDEX(Produtos!$D$2:$D$11,MATCH(F1219,Produtos!$A$2:$A$11,0))</f>
        <v>2499</v>
      </c>
      <c r="J1219" s="5" t="n">
        <f aca="false">H1219*I1219</f>
        <v>7497</v>
      </c>
      <c r="K1219" s="5" t="n">
        <f aca="false">INDEX(Produtos!$E$2:$E$11,MATCH(F1219,Produtos!$A$2:$A$11,0))</f>
        <v>1800</v>
      </c>
      <c r="L1219" s="5" t="n">
        <f aca="false">H1219*K1219</f>
        <v>5400</v>
      </c>
    </row>
    <row r="1220" customFormat="false" ht="15" hidden="false" customHeight="false" outlineLevel="0" collapsed="false">
      <c r="A1220" s="2" t="s">
        <v>1502</v>
      </c>
      <c r="B1220" s="8" t="n">
        <v>46124</v>
      </c>
      <c r="C1220" s="2" t="s">
        <v>187</v>
      </c>
      <c r="D1220" s="3" t="str">
        <f aca="false">INDEX(Vendedores!$C$2:$C$101,MATCH(C1220,Vendedores!$A$2:$A$101,0))</f>
        <v>L08</v>
      </c>
      <c r="E1220" s="3" t="str">
        <f aca="false">INDEX(Lojas!$E$2:$E$11,MATCH(D1220,Lojas!$A$2:$A$11,0))</f>
        <v>Nordeste</v>
      </c>
      <c r="F1220" s="2" t="s">
        <v>260</v>
      </c>
      <c r="G1220" s="3" t="str">
        <f aca="false">INDEX(Produtos!$B$2:$B$11,MATCH(F1220,Produtos!$A$2:$A$11,0))&amp;" "&amp;INDEX(Produtos!$C$2:$C$11,MATCH(F1220,Produtos!$A$2:$A$11,0))</f>
        <v>Celular Motorola</v>
      </c>
      <c r="H1220" s="2" t="n">
        <v>1</v>
      </c>
      <c r="I1220" s="5" t="n">
        <f aca="false">INDEX(Produtos!$D$2:$D$11,MATCH(F1220,Produtos!$A$2:$A$11,0))</f>
        <v>1799</v>
      </c>
      <c r="J1220" s="5" t="n">
        <f aca="false">H1220*I1220</f>
        <v>1799</v>
      </c>
      <c r="K1220" s="5" t="n">
        <f aca="false">INDEX(Produtos!$E$2:$E$11,MATCH(F1220,Produtos!$A$2:$A$11,0))</f>
        <v>1250</v>
      </c>
      <c r="L1220" s="5" t="n">
        <f aca="false">H1220*K1220</f>
        <v>1250</v>
      </c>
    </row>
    <row r="1221" customFormat="false" ht="15" hidden="false" customHeight="false" outlineLevel="0" collapsed="false">
      <c r="A1221" s="2" t="s">
        <v>1503</v>
      </c>
      <c r="B1221" s="8" t="n">
        <v>46124</v>
      </c>
      <c r="C1221" s="2" t="s">
        <v>233</v>
      </c>
      <c r="D1221" s="3" t="str">
        <f aca="false">INDEX(Vendedores!$C$2:$C$101,MATCH(C1221,Vendedores!$A$2:$A$101,0))</f>
        <v>L10</v>
      </c>
      <c r="E1221" s="3" t="str">
        <f aca="false">INDEX(Lojas!$E$2:$E$11,MATCH(D1221,Lojas!$A$2:$A$11,0))</f>
        <v>Nordeste</v>
      </c>
      <c r="F1221" s="2" t="s">
        <v>260</v>
      </c>
      <c r="G1221" s="3" t="str">
        <f aca="false">INDEX(Produtos!$B$2:$B$11,MATCH(F1221,Produtos!$A$2:$A$11,0))&amp;" "&amp;INDEX(Produtos!$C$2:$C$11,MATCH(F1221,Produtos!$A$2:$A$11,0))</f>
        <v>Celular Motorola</v>
      </c>
      <c r="H1221" s="2" t="n">
        <v>2</v>
      </c>
      <c r="I1221" s="5" t="n">
        <f aca="false">INDEX(Produtos!$D$2:$D$11,MATCH(F1221,Produtos!$A$2:$A$11,0))</f>
        <v>1799</v>
      </c>
      <c r="J1221" s="5" t="n">
        <f aca="false">H1221*I1221</f>
        <v>3598</v>
      </c>
      <c r="K1221" s="5" t="n">
        <f aca="false">INDEX(Produtos!$E$2:$E$11,MATCH(F1221,Produtos!$A$2:$A$11,0))</f>
        <v>1250</v>
      </c>
      <c r="L1221" s="5" t="n">
        <f aca="false">H1221*K1221</f>
        <v>2500</v>
      </c>
    </row>
    <row r="1222" customFormat="false" ht="15" hidden="false" customHeight="false" outlineLevel="0" collapsed="false">
      <c r="A1222" s="2" t="s">
        <v>1504</v>
      </c>
      <c r="B1222" s="8" t="n">
        <v>46124</v>
      </c>
      <c r="C1222" s="2" t="s">
        <v>68</v>
      </c>
      <c r="D1222" s="3" t="str">
        <f aca="false">INDEX(Vendedores!$C$2:$C$101,MATCH(C1222,Vendedores!$A$2:$A$101,0))</f>
        <v>L01</v>
      </c>
      <c r="E1222" s="3" t="str">
        <f aca="false">INDEX(Lojas!$E$2:$E$11,MATCH(D1222,Lojas!$A$2:$A$11,0))</f>
        <v>Sudeste</v>
      </c>
      <c r="F1222" s="2" t="s">
        <v>273</v>
      </c>
      <c r="G1222" s="3" t="str">
        <f aca="false">INDEX(Produtos!$B$2:$B$11,MATCH(F1222,Produtos!$A$2:$A$11,0))&amp;" "&amp;INDEX(Produtos!$C$2:$C$11,MATCH(F1222,Produtos!$A$2:$A$11,0))</f>
        <v>Controle de Videogame PS4</v>
      </c>
      <c r="H1222" s="2" t="n">
        <v>1</v>
      </c>
      <c r="I1222" s="5" t="n">
        <f aca="false">INDEX(Produtos!$D$2:$D$11,MATCH(F1222,Produtos!$A$2:$A$11,0))</f>
        <v>299.9</v>
      </c>
      <c r="J1222" s="5" t="n">
        <f aca="false">H1222*I1222</f>
        <v>299.9</v>
      </c>
      <c r="K1222" s="5" t="n">
        <f aca="false">INDEX(Produtos!$E$2:$E$11,MATCH(F1222,Produtos!$A$2:$A$11,0))</f>
        <v>175</v>
      </c>
      <c r="L1222" s="5" t="n">
        <f aca="false">H1222*K1222</f>
        <v>175</v>
      </c>
    </row>
    <row r="1223" customFormat="false" ht="15" hidden="false" customHeight="false" outlineLevel="0" collapsed="false">
      <c r="A1223" s="2" t="s">
        <v>1505</v>
      </c>
      <c r="B1223" s="8" t="n">
        <v>46124</v>
      </c>
      <c r="C1223" s="2" t="s">
        <v>187</v>
      </c>
      <c r="D1223" s="3" t="str">
        <f aca="false">INDEX(Vendedores!$C$2:$C$101,MATCH(C1223,Vendedores!$A$2:$A$101,0))</f>
        <v>L08</v>
      </c>
      <c r="E1223" s="3" t="str">
        <f aca="false">INDEX(Lojas!$E$2:$E$11,MATCH(D1223,Lojas!$A$2:$A$11,0))</f>
        <v>Nordeste</v>
      </c>
      <c r="F1223" s="2" t="s">
        <v>267</v>
      </c>
      <c r="G1223" s="3" t="str">
        <f aca="false">INDEX(Produtos!$B$2:$B$11,MATCH(F1223,Produtos!$A$2:$A$11,0))&amp;" "&amp;INDEX(Produtos!$C$2:$C$11,MATCH(F1223,Produtos!$A$2:$A$11,0))</f>
        <v>Carregador de Celular Tipo C</v>
      </c>
      <c r="H1223" s="2" t="n">
        <v>1</v>
      </c>
      <c r="I1223" s="5" t="n">
        <f aca="false">INDEX(Produtos!$D$2:$D$11,MATCH(F1223,Produtos!$A$2:$A$11,0))</f>
        <v>44.9</v>
      </c>
      <c r="J1223" s="5" t="n">
        <f aca="false">H1223*I1223</f>
        <v>44.9</v>
      </c>
      <c r="K1223" s="5" t="n">
        <f aca="false">INDEX(Produtos!$E$2:$E$11,MATCH(F1223,Produtos!$A$2:$A$11,0))</f>
        <v>18</v>
      </c>
      <c r="L1223" s="5" t="n">
        <f aca="false">H1223*K1223</f>
        <v>18</v>
      </c>
    </row>
    <row r="1224" customFormat="false" ht="15" hidden="false" customHeight="false" outlineLevel="0" collapsed="false">
      <c r="A1224" s="2" t="s">
        <v>1506</v>
      </c>
      <c r="B1224" s="8" t="n">
        <v>46124</v>
      </c>
      <c r="C1224" s="2" t="s">
        <v>189</v>
      </c>
      <c r="D1224" s="3" t="str">
        <f aca="false">INDEX(Vendedores!$C$2:$C$101,MATCH(C1224,Vendedores!$A$2:$A$101,0))</f>
        <v>L08</v>
      </c>
      <c r="E1224" s="3" t="str">
        <f aca="false">INDEX(Lojas!$E$2:$E$11,MATCH(D1224,Lojas!$A$2:$A$11,0))</f>
        <v>Nordeste</v>
      </c>
      <c r="F1224" s="2" t="s">
        <v>255</v>
      </c>
      <c r="G1224" s="3" t="str">
        <f aca="false">INDEX(Produtos!$B$2:$B$11,MATCH(F1224,Produtos!$A$2:$A$11,0))&amp;" "&amp;INDEX(Produtos!$C$2:$C$11,MATCH(F1224,Produtos!$A$2:$A$11,0))</f>
        <v>Notebook Positivo</v>
      </c>
      <c r="H1224" s="2" t="n">
        <v>2</v>
      </c>
      <c r="I1224" s="5" t="n">
        <f aca="false">INDEX(Produtos!$D$2:$D$11,MATCH(F1224,Produtos!$A$2:$A$11,0))</f>
        <v>2199</v>
      </c>
      <c r="J1224" s="5" t="n">
        <f aca="false">H1224*I1224</f>
        <v>4398</v>
      </c>
      <c r="K1224" s="5" t="n">
        <f aca="false">INDEX(Produtos!$E$2:$E$11,MATCH(F1224,Produtos!$A$2:$A$11,0))</f>
        <v>1550</v>
      </c>
      <c r="L1224" s="5" t="n">
        <f aca="false">H1224*K1224</f>
        <v>3100</v>
      </c>
    </row>
    <row r="1225" customFormat="false" ht="15" hidden="false" customHeight="false" outlineLevel="0" collapsed="false">
      <c r="A1225" s="2" t="s">
        <v>1507</v>
      </c>
      <c r="B1225" s="8" t="n">
        <v>46124</v>
      </c>
      <c r="C1225" s="2" t="s">
        <v>207</v>
      </c>
      <c r="D1225" s="3" t="str">
        <f aca="false">INDEX(Vendedores!$C$2:$C$101,MATCH(C1225,Vendedores!$A$2:$A$101,0))</f>
        <v>L09</v>
      </c>
      <c r="E1225" s="3" t="str">
        <f aca="false">INDEX(Lojas!$E$2:$E$11,MATCH(D1225,Lojas!$A$2:$A$11,0))</f>
        <v>Nordeste</v>
      </c>
      <c r="F1225" s="2" t="s">
        <v>273</v>
      </c>
      <c r="G1225" s="3" t="str">
        <f aca="false">INDEX(Produtos!$B$2:$B$11,MATCH(F1225,Produtos!$A$2:$A$11,0))&amp;" "&amp;INDEX(Produtos!$C$2:$C$11,MATCH(F1225,Produtos!$A$2:$A$11,0))</f>
        <v>Controle de Videogame PS4</v>
      </c>
      <c r="H1225" s="2" t="n">
        <v>1</v>
      </c>
      <c r="I1225" s="5" t="n">
        <f aca="false">INDEX(Produtos!$D$2:$D$11,MATCH(F1225,Produtos!$A$2:$A$11,0))</f>
        <v>299.9</v>
      </c>
      <c r="J1225" s="5" t="n">
        <f aca="false">H1225*I1225</f>
        <v>299.9</v>
      </c>
      <c r="K1225" s="5" t="n">
        <f aca="false">INDEX(Produtos!$E$2:$E$11,MATCH(F1225,Produtos!$A$2:$A$11,0))</f>
        <v>175</v>
      </c>
      <c r="L1225" s="5" t="n">
        <f aca="false">H1225*K1225</f>
        <v>175</v>
      </c>
    </row>
    <row r="1226" customFormat="false" ht="15" hidden="false" customHeight="false" outlineLevel="0" collapsed="false">
      <c r="A1226" s="2" t="s">
        <v>1508</v>
      </c>
      <c r="B1226" s="8" t="n">
        <v>46124</v>
      </c>
      <c r="C1226" s="2" t="s">
        <v>168</v>
      </c>
      <c r="D1226" s="3" t="str">
        <f aca="false">INDEX(Vendedores!$C$2:$C$101,MATCH(C1226,Vendedores!$A$2:$A$101,0))</f>
        <v>L07</v>
      </c>
      <c r="E1226" s="3" t="str">
        <f aca="false">INDEX(Lojas!$E$2:$E$11,MATCH(D1226,Lojas!$A$2:$A$11,0))</f>
        <v>Sul</v>
      </c>
      <c r="F1226" s="2" t="s">
        <v>267</v>
      </c>
      <c r="G1226" s="3" t="str">
        <f aca="false">INDEX(Produtos!$B$2:$B$11,MATCH(F1226,Produtos!$A$2:$A$11,0))&amp;" "&amp;INDEX(Produtos!$C$2:$C$11,MATCH(F1226,Produtos!$A$2:$A$11,0))</f>
        <v>Carregador de Celular Tipo C</v>
      </c>
      <c r="H1226" s="2" t="n">
        <v>1</v>
      </c>
      <c r="I1226" s="5" t="n">
        <f aca="false">INDEX(Produtos!$D$2:$D$11,MATCH(F1226,Produtos!$A$2:$A$11,0))</f>
        <v>44.9</v>
      </c>
      <c r="J1226" s="5" t="n">
        <f aca="false">H1226*I1226</f>
        <v>44.9</v>
      </c>
      <c r="K1226" s="5" t="n">
        <f aca="false">INDEX(Produtos!$E$2:$E$11,MATCH(F1226,Produtos!$A$2:$A$11,0))</f>
        <v>18</v>
      </c>
      <c r="L1226" s="5" t="n">
        <f aca="false">H1226*K1226</f>
        <v>18</v>
      </c>
    </row>
    <row r="1227" customFormat="false" ht="15" hidden="false" customHeight="false" outlineLevel="0" collapsed="false">
      <c r="A1227" s="2" t="s">
        <v>1509</v>
      </c>
      <c r="B1227" s="8" t="n">
        <v>46124</v>
      </c>
      <c r="C1227" s="2" t="s">
        <v>174</v>
      </c>
      <c r="D1227" s="3" t="str">
        <f aca="false">INDEX(Vendedores!$C$2:$C$101,MATCH(C1227,Vendedores!$A$2:$A$101,0))</f>
        <v>L07</v>
      </c>
      <c r="E1227" s="3" t="str">
        <f aca="false">INDEX(Lojas!$E$2:$E$11,MATCH(D1227,Lojas!$A$2:$A$11,0))</f>
        <v>Sul</v>
      </c>
      <c r="F1227" s="2" t="s">
        <v>262</v>
      </c>
      <c r="G1227" s="3" t="str">
        <f aca="false">INDEX(Produtos!$B$2:$B$11,MATCH(F1227,Produtos!$A$2:$A$11,0))&amp;" "&amp;INDEX(Produtos!$C$2:$C$11,MATCH(F1227,Produtos!$A$2:$A$11,0))</f>
        <v>Fone de Ouvido De Celular</v>
      </c>
      <c r="H1227" s="2" t="n">
        <v>1</v>
      </c>
      <c r="I1227" s="5" t="n">
        <f aca="false">INDEX(Produtos!$D$2:$D$11,MATCH(F1227,Produtos!$A$2:$A$11,0))</f>
        <v>59.9</v>
      </c>
      <c r="J1227" s="5" t="n">
        <f aca="false">H1227*I1227</f>
        <v>59.9</v>
      </c>
      <c r="K1227" s="5" t="n">
        <f aca="false">INDEX(Produtos!$E$2:$E$11,MATCH(F1227,Produtos!$A$2:$A$11,0))</f>
        <v>28</v>
      </c>
      <c r="L1227" s="5" t="n">
        <f aca="false">H1227*K1227</f>
        <v>28</v>
      </c>
    </row>
    <row r="1228" customFormat="false" ht="15" hidden="false" customHeight="false" outlineLevel="0" collapsed="false">
      <c r="A1228" s="2" t="s">
        <v>1510</v>
      </c>
      <c r="B1228" s="8" t="n">
        <v>46124</v>
      </c>
      <c r="C1228" s="2" t="s">
        <v>82</v>
      </c>
      <c r="D1228" s="3" t="str">
        <f aca="false">INDEX(Vendedores!$C$2:$C$101,MATCH(C1228,Vendedores!$A$2:$A$101,0))</f>
        <v>L02</v>
      </c>
      <c r="E1228" s="3" t="str">
        <f aca="false">INDEX(Lojas!$E$2:$E$11,MATCH(D1228,Lojas!$A$2:$A$11,0))</f>
        <v>Sudeste</v>
      </c>
      <c r="F1228" s="2" t="s">
        <v>252</v>
      </c>
      <c r="G1228" s="3" t="str">
        <f aca="false">INDEX(Produtos!$B$2:$B$11,MATCH(F1228,Produtos!$A$2:$A$11,0))&amp;" "&amp;INDEX(Produtos!$C$2:$C$11,MATCH(F1228,Produtos!$A$2:$A$11,0))</f>
        <v>Notebook Lenovo</v>
      </c>
      <c r="H1228" s="2" t="n">
        <v>1</v>
      </c>
      <c r="I1228" s="5" t="n">
        <f aca="false">INDEX(Produtos!$D$2:$D$11,MATCH(F1228,Produtos!$A$2:$A$11,0))</f>
        <v>3199</v>
      </c>
      <c r="J1228" s="5" t="n">
        <f aca="false">H1228*I1228</f>
        <v>3199</v>
      </c>
      <c r="K1228" s="5" t="n">
        <f aca="false">INDEX(Produtos!$E$2:$E$11,MATCH(F1228,Produtos!$A$2:$A$11,0))</f>
        <v>2350</v>
      </c>
      <c r="L1228" s="5" t="n">
        <f aca="false">H1228*K1228</f>
        <v>2350</v>
      </c>
    </row>
    <row r="1229" customFormat="false" ht="15" hidden="false" customHeight="false" outlineLevel="0" collapsed="false">
      <c r="A1229" s="2" t="s">
        <v>1511</v>
      </c>
      <c r="B1229" s="8" t="n">
        <v>46124</v>
      </c>
      <c r="C1229" s="2" t="s">
        <v>225</v>
      </c>
      <c r="D1229" s="3" t="str">
        <f aca="false">INDEX(Vendedores!$C$2:$C$101,MATCH(C1229,Vendedores!$A$2:$A$101,0))</f>
        <v>L10</v>
      </c>
      <c r="E1229" s="3" t="str">
        <f aca="false">INDEX(Lojas!$E$2:$E$11,MATCH(D1229,Lojas!$A$2:$A$11,0))</f>
        <v>Nordeste</v>
      </c>
      <c r="F1229" s="2" t="s">
        <v>275</v>
      </c>
      <c r="G1229" s="3" t="str">
        <f aca="false">INDEX(Produtos!$B$2:$B$11,MATCH(F1229,Produtos!$A$2:$A$11,0))&amp;" "&amp;INDEX(Produtos!$C$2:$C$11,MATCH(F1229,Produtos!$A$2:$A$11,0))</f>
        <v>Controle de Videogame PS5</v>
      </c>
      <c r="H1229" s="2" t="n">
        <v>1</v>
      </c>
      <c r="I1229" s="5" t="n">
        <f aca="false">INDEX(Produtos!$D$2:$D$11,MATCH(F1229,Produtos!$A$2:$A$11,0))</f>
        <v>379.9</v>
      </c>
      <c r="J1229" s="5" t="n">
        <f aca="false">H1229*I1229</f>
        <v>379.9</v>
      </c>
      <c r="K1229" s="5" t="n">
        <f aca="false">INDEX(Produtos!$E$2:$E$11,MATCH(F1229,Produtos!$A$2:$A$11,0))</f>
        <v>235</v>
      </c>
      <c r="L1229" s="5" t="n">
        <f aca="false">H1229*K1229</f>
        <v>235</v>
      </c>
    </row>
    <row r="1230" customFormat="false" ht="15" hidden="false" customHeight="false" outlineLevel="0" collapsed="false">
      <c r="A1230" s="2" t="s">
        <v>1512</v>
      </c>
      <c r="B1230" s="8" t="n">
        <v>46124</v>
      </c>
      <c r="C1230" s="2" t="s">
        <v>187</v>
      </c>
      <c r="D1230" s="3" t="str">
        <f aca="false">INDEX(Vendedores!$C$2:$C$101,MATCH(C1230,Vendedores!$A$2:$A$101,0))</f>
        <v>L08</v>
      </c>
      <c r="E1230" s="3" t="str">
        <f aca="false">INDEX(Lojas!$E$2:$E$11,MATCH(D1230,Lojas!$A$2:$A$11,0))</f>
        <v>Nordeste</v>
      </c>
      <c r="F1230" s="2" t="s">
        <v>255</v>
      </c>
      <c r="G1230" s="3" t="str">
        <f aca="false">INDEX(Produtos!$B$2:$B$11,MATCH(F1230,Produtos!$A$2:$A$11,0))&amp;" "&amp;INDEX(Produtos!$C$2:$C$11,MATCH(F1230,Produtos!$A$2:$A$11,0))</f>
        <v>Notebook Positivo</v>
      </c>
      <c r="H1230" s="2" t="n">
        <v>1</v>
      </c>
      <c r="I1230" s="5" t="n">
        <f aca="false">INDEX(Produtos!$D$2:$D$11,MATCH(F1230,Produtos!$A$2:$A$11,0))</f>
        <v>2199</v>
      </c>
      <c r="J1230" s="5" t="n">
        <f aca="false">H1230*I1230</f>
        <v>2199</v>
      </c>
      <c r="K1230" s="5" t="n">
        <f aca="false">INDEX(Produtos!$E$2:$E$11,MATCH(F1230,Produtos!$A$2:$A$11,0))</f>
        <v>1550</v>
      </c>
      <c r="L1230" s="5" t="n">
        <f aca="false">H1230*K1230</f>
        <v>1550</v>
      </c>
    </row>
    <row r="1231" customFormat="false" ht="15" hidden="false" customHeight="false" outlineLevel="0" collapsed="false">
      <c r="A1231" s="2" t="s">
        <v>1513</v>
      </c>
      <c r="B1231" s="8" t="n">
        <v>46124</v>
      </c>
      <c r="C1231" s="2" t="s">
        <v>152</v>
      </c>
      <c r="D1231" s="3" t="str">
        <f aca="false">INDEX(Vendedores!$C$2:$C$101,MATCH(C1231,Vendedores!$A$2:$A$101,0))</f>
        <v>L06</v>
      </c>
      <c r="E1231" s="3" t="str">
        <f aca="false">INDEX(Lojas!$E$2:$E$11,MATCH(D1231,Lojas!$A$2:$A$11,0))</f>
        <v>Sul</v>
      </c>
      <c r="F1231" s="2" t="s">
        <v>257</v>
      </c>
      <c r="G1231" s="3" t="str">
        <f aca="false">INDEX(Produtos!$B$2:$B$11,MATCH(F1231,Produtos!$A$2:$A$11,0))&amp;" "&amp;INDEX(Produtos!$C$2:$C$11,MATCH(F1231,Produtos!$A$2:$A$11,0))</f>
        <v>Celular Samsung</v>
      </c>
      <c r="H1231" s="2" t="n">
        <v>2</v>
      </c>
      <c r="I1231" s="5" t="n">
        <f aca="false">INDEX(Produtos!$D$2:$D$11,MATCH(F1231,Produtos!$A$2:$A$11,0))</f>
        <v>2499</v>
      </c>
      <c r="J1231" s="5" t="n">
        <f aca="false">H1231*I1231</f>
        <v>4998</v>
      </c>
      <c r="K1231" s="5" t="n">
        <f aca="false">INDEX(Produtos!$E$2:$E$11,MATCH(F1231,Produtos!$A$2:$A$11,0))</f>
        <v>1800</v>
      </c>
      <c r="L1231" s="5" t="n">
        <f aca="false">H1231*K1231</f>
        <v>3600</v>
      </c>
    </row>
    <row r="1232" customFormat="false" ht="15" hidden="false" customHeight="false" outlineLevel="0" collapsed="false">
      <c r="A1232" s="2" t="s">
        <v>1514</v>
      </c>
      <c r="B1232" s="8" t="n">
        <v>46125</v>
      </c>
      <c r="C1232" s="2" t="s">
        <v>133</v>
      </c>
      <c r="D1232" s="3" t="str">
        <f aca="false">INDEX(Vendedores!$C$2:$C$101,MATCH(C1232,Vendedores!$A$2:$A$101,0))</f>
        <v>L05</v>
      </c>
      <c r="E1232" s="3" t="str">
        <f aca="false">INDEX(Lojas!$E$2:$E$11,MATCH(D1232,Lojas!$A$2:$A$11,0))</f>
        <v>Sul</v>
      </c>
      <c r="F1232" s="2" t="s">
        <v>275</v>
      </c>
      <c r="G1232" s="3" t="str">
        <f aca="false">INDEX(Produtos!$B$2:$B$11,MATCH(F1232,Produtos!$A$2:$A$11,0))&amp;" "&amp;INDEX(Produtos!$C$2:$C$11,MATCH(F1232,Produtos!$A$2:$A$11,0))</f>
        <v>Controle de Videogame PS5</v>
      </c>
      <c r="H1232" s="2" t="n">
        <v>1</v>
      </c>
      <c r="I1232" s="5" t="n">
        <f aca="false">INDEX(Produtos!$D$2:$D$11,MATCH(F1232,Produtos!$A$2:$A$11,0))</f>
        <v>379.9</v>
      </c>
      <c r="J1232" s="5" t="n">
        <f aca="false">H1232*I1232</f>
        <v>379.9</v>
      </c>
      <c r="K1232" s="5" t="n">
        <f aca="false">INDEX(Produtos!$E$2:$E$11,MATCH(F1232,Produtos!$A$2:$A$11,0))</f>
        <v>235</v>
      </c>
      <c r="L1232" s="5" t="n">
        <f aca="false">H1232*K1232</f>
        <v>235</v>
      </c>
    </row>
    <row r="1233" customFormat="false" ht="15" hidden="false" customHeight="false" outlineLevel="0" collapsed="false">
      <c r="A1233" s="2" t="s">
        <v>1515</v>
      </c>
      <c r="B1233" s="8" t="n">
        <v>46125</v>
      </c>
      <c r="C1233" s="2" t="s">
        <v>211</v>
      </c>
      <c r="D1233" s="3" t="str">
        <f aca="false">INDEX(Vendedores!$C$2:$C$101,MATCH(C1233,Vendedores!$A$2:$A$101,0))</f>
        <v>L09</v>
      </c>
      <c r="E1233" s="3" t="str">
        <f aca="false">INDEX(Lojas!$E$2:$E$11,MATCH(D1233,Lojas!$A$2:$A$11,0))</f>
        <v>Nordeste</v>
      </c>
      <c r="F1233" s="2" t="s">
        <v>275</v>
      </c>
      <c r="G1233" s="3" t="str">
        <f aca="false">INDEX(Produtos!$B$2:$B$11,MATCH(F1233,Produtos!$A$2:$A$11,0))&amp;" "&amp;INDEX(Produtos!$C$2:$C$11,MATCH(F1233,Produtos!$A$2:$A$11,0))</f>
        <v>Controle de Videogame PS5</v>
      </c>
      <c r="H1233" s="2" t="n">
        <v>2</v>
      </c>
      <c r="I1233" s="5" t="n">
        <f aca="false">INDEX(Produtos!$D$2:$D$11,MATCH(F1233,Produtos!$A$2:$A$11,0))</f>
        <v>379.9</v>
      </c>
      <c r="J1233" s="5" t="n">
        <f aca="false">H1233*I1233</f>
        <v>759.8</v>
      </c>
      <c r="K1233" s="5" t="n">
        <f aca="false">INDEX(Produtos!$E$2:$E$11,MATCH(F1233,Produtos!$A$2:$A$11,0))</f>
        <v>235</v>
      </c>
      <c r="L1233" s="5" t="n">
        <f aca="false">H1233*K1233</f>
        <v>470</v>
      </c>
    </row>
    <row r="1234" customFormat="false" ht="15" hidden="false" customHeight="false" outlineLevel="0" collapsed="false">
      <c r="A1234" s="2" t="s">
        <v>1516</v>
      </c>
      <c r="B1234" s="8" t="n">
        <v>46125</v>
      </c>
      <c r="C1234" s="2" t="s">
        <v>176</v>
      </c>
      <c r="D1234" s="3" t="str">
        <f aca="false">INDEX(Vendedores!$C$2:$C$101,MATCH(C1234,Vendedores!$A$2:$A$101,0))</f>
        <v>L07</v>
      </c>
      <c r="E1234" s="3" t="str">
        <f aca="false">INDEX(Lojas!$E$2:$E$11,MATCH(D1234,Lojas!$A$2:$A$11,0))</f>
        <v>Sul</v>
      </c>
      <c r="F1234" s="2" t="s">
        <v>275</v>
      </c>
      <c r="G1234" s="3" t="str">
        <f aca="false">INDEX(Produtos!$B$2:$B$11,MATCH(F1234,Produtos!$A$2:$A$11,0))&amp;" "&amp;INDEX(Produtos!$C$2:$C$11,MATCH(F1234,Produtos!$A$2:$A$11,0))</f>
        <v>Controle de Videogame PS5</v>
      </c>
      <c r="H1234" s="2" t="n">
        <v>1</v>
      </c>
      <c r="I1234" s="5" t="n">
        <f aca="false">INDEX(Produtos!$D$2:$D$11,MATCH(F1234,Produtos!$A$2:$A$11,0))</f>
        <v>379.9</v>
      </c>
      <c r="J1234" s="5" t="n">
        <f aca="false">H1234*I1234</f>
        <v>379.9</v>
      </c>
      <c r="K1234" s="5" t="n">
        <f aca="false">INDEX(Produtos!$E$2:$E$11,MATCH(F1234,Produtos!$A$2:$A$11,0))</f>
        <v>235</v>
      </c>
      <c r="L1234" s="5" t="n">
        <f aca="false">H1234*K1234</f>
        <v>235</v>
      </c>
    </row>
    <row r="1235" customFormat="false" ht="15" hidden="false" customHeight="false" outlineLevel="0" collapsed="false">
      <c r="A1235" s="2" t="s">
        <v>1517</v>
      </c>
      <c r="B1235" s="8" t="n">
        <v>46125</v>
      </c>
      <c r="C1235" s="2" t="s">
        <v>148</v>
      </c>
      <c r="D1235" s="3" t="str">
        <f aca="false">INDEX(Vendedores!$C$2:$C$101,MATCH(C1235,Vendedores!$A$2:$A$101,0))</f>
        <v>L06</v>
      </c>
      <c r="E1235" s="3" t="str">
        <f aca="false">INDEX(Lojas!$E$2:$E$11,MATCH(D1235,Lojas!$A$2:$A$11,0))</f>
        <v>Sul</v>
      </c>
      <c r="F1235" s="2" t="s">
        <v>275</v>
      </c>
      <c r="G1235" s="3" t="str">
        <f aca="false">INDEX(Produtos!$B$2:$B$11,MATCH(F1235,Produtos!$A$2:$A$11,0))&amp;" "&amp;INDEX(Produtos!$C$2:$C$11,MATCH(F1235,Produtos!$A$2:$A$11,0))</f>
        <v>Controle de Videogame PS5</v>
      </c>
      <c r="H1235" s="2" t="n">
        <v>1</v>
      </c>
      <c r="I1235" s="5" t="n">
        <f aca="false">INDEX(Produtos!$D$2:$D$11,MATCH(F1235,Produtos!$A$2:$A$11,0))</f>
        <v>379.9</v>
      </c>
      <c r="J1235" s="5" t="n">
        <f aca="false">H1235*I1235</f>
        <v>379.9</v>
      </c>
      <c r="K1235" s="5" t="n">
        <f aca="false">INDEX(Produtos!$E$2:$E$11,MATCH(F1235,Produtos!$A$2:$A$11,0))</f>
        <v>235</v>
      </c>
      <c r="L1235" s="5" t="n">
        <f aca="false">H1235*K1235</f>
        <v>235</v>
      </c>
    </row>
    <row r="1236" customFormat="false" ht="15" hidden="false" customHeight="false" outlineLevel="0" collapsed="false">
      <c r="A1236" s="2" t="s">
        <v>1518</v>
      </c>
      <c r="B1236" s="8" t="n">
        <v>46125</v>
      </c>
      <c r="C1236" s="2" t="s">
        <v>183</v>
      </c>
      <c r="D1236" s="3" t="str">
        <f aca="false">INDEX(Vendedores!$C$2:$C$101,MATCH(C1236,Vendedores!$A$2:$A$101,0))</f>
        <v>L07</v>
      </c>
      <c r="E1236" s="3" t="str">
        <f aca="false">INDEX(Lojas!$E$2:$E$11,MATCH(D1236,Lojas!$A$2:$A$11,0))</f>
        <v>Sul</v>
      </c>
      <c r="F1236" s="2" t="s">
        <v>265</v>
      </c>
      <c r="G1236" s="3" t="str">
        <f aca="false">INDEX(Produtos!$B$2:$B$11,MATCH(F1236,Produtos!$A$2:$A$11,0))&amp;" "&amp;INDEX(Produtos!$C$2:$C$11,MATCH(F1236,Produtos!$A$2:$A$11,0))</f>
        <v>Fone de Ouvido Headset</v>
      </c>
      <c r="H1236" s="2" t="n">
        <v>1</v>
      </c>
      <c r="I1236" s="5" t="n">
        <f aca="false">INDEX(Produtos!$D$2:$D$11,MATCH(F1236,Produtos!$A$2:$A$11,0))</f>
        <v>249.9</v>
      </c>
      <c r="J1236" s="5" t="n">
        <f aca="false">H1236*I1236</f>
        <v>249.9</v>
      </c>
      <c r="K1236" s="5" t="n">
        <f aca="false">INDEX(Produtos!$E$2:$E$11,MATCH(F1236,Produtos!$A$2:$A$11,0))</f>
        <v>145</v>
      </c>
      <c r="L1236" s="5" t="n">
        <f aca="false">H1236*K1236</f>
        <v>145</v>
      </c>
    </row>
    <row r="1237" customFormat="false" ht="15" hidden="false" customHeight="false" outlineLevel="0" collapsed="false">
      <c r="A1237" s="2" t="s">
        <v>1519</v>
      </c>
      <c r="B1237" s="8" t="n">
        <v>46125</v>
      </c>
      <c r="C1237" s="2" t="s">
        <v>180</v>
      </c>
      <c r="D1237" s="3" t="str">
        <f aca="false">INDEX(Vendedores!$C$2:$C$101,MATCH(C1237,Vendedores!$A$2:$A$101,0))</f>
        <v>L07</v>
      </c>
      <c r="E1237" s="3" t="str">
        <f aca="false">INDEX(Lojas!$E$2:$E$11,MATCH(D1237,Lojas!$A$2:$A$11,0))</f>
        <v>Sul</v>
      </c>
      <c r="F1237" s="2" t="s">
        <v>267</v>
      </c>
      <c r="G1237" s="3" t="str">
        <f aca="false">INDEX(Produtos!$B$2:$B$11,MATCH(F1237,Produtos!$A$2:$A$11,0))&amp;" "&amp;INDEX(Produtos!$C$2:$C$11,MATCH(F1237,Produtos!$A$2:$A$11,0))</f>
        <v>Carregador de Celular Tipo C</v>
      </c>
      <c r="H1237" s="2" t="n">
        <v>1</v>
      </c>
      <c r="I1237" s="5" t="n">
        <f aca="false">INDEX(Produtos!$D$2:$D$11,MATCH(F1237,Produtos!$A$2:$A$11,0))</f>
        <v>44.9</v>
      </c>
      <c r="J1237" s="5" t="n">
        <f aca="false">H1237*I1237</f>
        <v>44.9</v>
      </c>
      <c r="K1237" s="5" t="n">
        <f aca="false">INDEX(Produtos!$E$2:$E$11,MATCH(F1237,Produtos!$A$2:$A$11,0))</f>
        <v>18</v>
      </c>
      <c r="L1237" s="5" t="n">
        <f aca="false">H1237*K1237</f>
        <v>18</v>
      </c>
    </row>
    <row r="1238" customFormat="false" ht="15" hidden="false" customHeight="false" outlineLevel="0" collapsed="false">
      <c r="A1238" s="2" t="s">
        <v>1520</v>
      </c>
      <c r="B1238" s="8" t="n">
        <v>46125</v>
      </c>
      <c r="C1238" s="2" t="s">
        <v>227</v>
      </c>
      <c r="D1238" s="3" t="str">
        <f aca="false">INDEX(Vendedores!$C$2:$C$101,MATCH(C1238,Vendedores!$A$2:$A$101,0))</f>
        <v>L10</v>
      </c>
      <c r="E1238" s="3" t="str">
        <f aca="false">INDEX(Lojas!$E$2:$E$11,MATCH(D1238,Lojas!$A$2:$A$11,0))</f>
        <v>Nordeste</v>
      </c>
      <c r="F1238" s="2" t="s">
        <v>255</v>
      </c>
      <c r="G1238" s="3" t="str">
        <f aca="false">INDEX(Produtos!$B$2:$B$11,MATCH(F1238,Produtos!$A$2:$A$11,0))&amp;" "&amp;INDEX(Produtos!$C$2:$C$11,MATCH(F1238,Produtos!$A$2:$A$11,0))</f>
        <v>Notebook Positivo</v>
      </c>
      <c r="H1238" s="2" t="n">
        <v>2</v>
      </c>
      <c r="I1238" s="5" t="n">
        <f aca="false">INDEX(Produtos!$D$2:$D$11,MATCH(F1238,Produtos!$A$2:$A$11,0))</f>
        <v>2199</v>
      </c>
      <c r="J1238" s="5" t="n">
        <f aca="false">H1238*I1238</f>
        <v>4398</v>
      </c>
      <c r="K1238" s="5" t="n">
        <f aca="false">INDEX(Produtos!$E$2:$E$11,MATCH(F1238,Produtos!$A$2:$A$11,0))</f>
        <v>1550</v>
      </c>
      <c r="L1238" s="5" t="n">
        <f aca="false">H1238*K1238</f>
        <v>3100</v>
      </c>
    </row>
    <row r="1239" customFormat="false" ht="15" hidden="false" customHeight="false" outlineLevel="0" collapsed="false">
      <c r="A1239" s="2" t="s">
        <v>1521</v>
      </c>
      <c r="B1239" s="8" t="n">
        <v>46126</v>
      </c>
      <c r="C1239" s="2" t="s">
        <v>225</v>
      </c>
      <c r="D1239" s="3" t="str">
        <f aca="false">INDEX(Vendedores!$C$2:$C$101,MATCH(C1239,Vendedores!$A$2:$A$101,0))</f>
        <v>L10</v>
      </c>
      <c r="E1239" s="3" t="str">
        <f aca="false">INDEX(Lojas!$E$2:$E$11,MATCH(D1239,Lojas!$A$2:$A$11,0))</f>
        <v>Nordeste</v>
      </c>
      <c r="F1239" s="2" t="s">
        <v>275</v>
      </c>
      <c r="G1239" s="3" t="str">
        <f aca="false">INDEX(Produtos!$B$2:$B$11,MATCH(F1239,Produtos!$A$2:$A$11,0))&amp;" "&amp;INDEX(Produtos!$C$2:$C$11,MATCH(F1239,Produtos!$A$2:$A$11,0))</f>
        <v>Controle de Videogame PS5</v>
      </c>
      <c r="H1239" s="2" t="n">
        <v>2</v>
      </c>
      <c r="I1239" s="5" t="n">
        <f aca="false">INDEX(Produtos!$D$2:$D$11,MATCH(F1239,Produtos!$A$2:$A$11,0))</f>
        <v>379.9</v>
      </c>
      <c r="J1239" s="5" t="n">
        <f aca="false">H1239*I1239</f>
        <v>759.8</v>
      </c>
      <c r="K1239" s="5" t="n">
        <f aca="false">INDEX(Produtos!$E$2:$E$11,MATCH(F1239,Produtos!$A$2:$A$11,0))</f>
        <v>235</v>
      </c>
      <c r="L1239" s="5" t="n">
        <f aca="false">H1239*K1239</f>
        <v>470</v>
      </c>
    </row>
    <row r="1240" customFormat="false" ht="15" hidden="false" customHeight="false" outlineLevel="0" collapsed="false">
      <c r="A1240" s="2" t="s">
        <v>1522</v>
      </c>
      <c r="B1240" s="8" t="n">
        <v>46126</v>
      </c>
      <c r="C1240" s="2" t="s">
        <v>176</v>
      </c>
      <c r="D1240" s="3" t="str">
        <f aca="false">INDEX(Vendedores!$C$2:$C$101,MATCH(C1240,Vendedores!$A$2:$A$101,0))</f>
        <v>L07</v>
      </c>
      <c r="E1240" s="3" t="str">
        <f aca="false">INDEX(Lojas!$E$2:$E$11,MATCH(D1240,Lojas!$A$2:$A$11,0))</f>
        <v>Sul</v>
      </c>
      <c r="F1240" s="2" t="s">
        <v>255</v>
      </c>
      <c r="G1240" s="3" t="str">
        <f aca="false">INDEX(Produtos!$B$2:$B$11,MATCH(F1240,Produtos!$A$2:$A$11,0))&amp;" "&amp;INDEX(Produtos!$C$2:$C$11,MATCH(F1240,Produtos!$A$2:$A$11,0))</f>
        <v>Notebook Positivo</v>
      </c>
      <c r="H1240" s="2" t="n">
        <v>2</v>
      </c>
      <c r="I1240" s="5" t="n">
        <f aca="false">INDEX(Produtos!$D$2:$D$11,MATCH(F1240,Produtos!$A$2:$A$11,0))</f>
        <v>2199</v>
      </c>
      <c r="J1240" s="5" t="n">
        <f aca="false">H1240*I1240</f>
        <v>4398</v>
      </c>
      <c r="K1240" s="5" t="n">
        <f aca="false">INDEX(Produtos!$E$2:$E$11,MATCH(F1240,Produtos!$A$2:$A$11,0))</f>
        <v>1550</v>
      </c>
      <c r="L1240" s="5" t="n">
        <f aca="false">H1240*K1240</f>
        <v>3100</v>
      </c>
    </row>
    <row r="1241" customFormat="false" ht="15" hidden="false" customHeight="false" outlineLevel="0" collapsed="false">
      <c r="A1241" s="2" t="s">
        <v>1523</v>
      </c>
      <c r="B1241" s="8" t="n">
        <v>46126</v>
      </c>
      <c r="C1241" s="2" t="s">
        <v>131</v>
      </c>
      <c r="D1241" s="3" t="str">
        <f aca="false">INDEX(Vendedores!$C$2:$C$101,MATCH(C1241,Vendedores!$A$2:$A$101,0))</f>
        <v>L05</v>
      </c>
      <c r="E1241" s="3" t="str">
        <f aca="false">INDEX(Lojas!$E$2:$E$11,MATCH(D1241,Lojas!$A$2:$A$11,0))</f>
        <v>Sul</v>
      </c>
      <c r="F1241" s="2" t="s">
        <v>252</v>
      </c>
      <c r="G1241" s="3" t="str">
        <f aca="false">INDEX(Produtos!$B$2:$B$11,MATCH(F1241,Produtos!$A$2:$A$11,0))&amp;" "&amp;INDEX(Produtos!$C$2:$C$11,MATCH(F1241,Produtos!$A$2:$A$11,0))</f>
        <v>Notebook Lenovo</v>
      </c>
      <c r="H1241" s="2" t="n">
        <v>2</v>
      </c>
      <c r="I1241" s="5" t="n">
        <f aca="false">INDEX(Produtos!$D$2:$D$11,MATCH(F1241,Produtos!$A$2:$A$11,0))</f>
        <v>3199</v>
      </c>
      <c r="J1241" s="5" t="n">
        <f aca="false">H1241*I1241</f>
        <v>6398</v>
      </c>
      <c r="K1241" s="5" t="n">
        <f aca="false">INDEX(Produtos!$E$2:$E$11,MATCH(F1241,Produtos!$A$2:$A$11,0))</f>
        <v>2350</v>
      </c>
      <c r="L1241" s="5" t="n">
        <f aca="false">H1241*K1241</f>
        <v>4700</v>
      </c>
    </row>
    <row r="1242" customFormat="false" ht="15" hidden="false" customHeight="false" outlineLevel="0" collapsed="false">
      <c r="A1242" s="2" t="s">
        <v>1524</v>
      </c>
      <c r="B1242" s="8" t="n">
        <v>46126</v>
      </c>
      <c r="C1242" s="2" t="s">
        <v>150</v>
      </c>
      <c r="D1242" s="3" t="str">
        <f aca="false">INDEX(Vendedores!$C$2:$C$101,MATCH(C1242,Vendedores!$A$2:$A$101,0))</f>
        <v>L06</v>
      </c>
      <c r="E1242" s="3" t="str">
        <f aca="false">INDEX(Lojas!$E$2:$E$11,MATCH(D1242,Lojas!$A$2:$A$11,0))</f>
        <v>Sul</v>
      </c>
      <c r="F1242" s="2" t="s">
        <v>260</v>
      </c>
      <c r="G1242" s="3" t="str">
        <f aca="false">INDEX(Produtos!$B$2:$B$11,MATCH(F1242,Produtos!$A$2:$A$11,0))&amp;" "&amp;INDEX(Produtos!$C$2:$C$11,MATCH(F1242,Produtos!$A$2:$A$11,0))</f>
        <v>Celular Motorola</v>
      </c>
      <c r="H1242" s="2" t="n">
        <v>1</v>
      </c>
      <c r="I1242" s="5" t="n">
        <f aca="false">INDEX(Produtos!$D$2:$D$11,MATCH(F1242,Produtos!$A$2:$A$11,0))</f>
        <v>1799</v>
      </c>
      <c r="J1242" s="5" t="n">
        <f aca="false">H1242*I1242</f>
        <v>1799</v>
      </c>
      <c r="K1242" s="5" t="n">
        <f aca="false">INDEX(Produtos!$E$2:$E$11,MATCH(F1242,Produtos!$A$2:$A$11,0))</f>
        <v>1250</v>
      </c>
      <c r="L1242" s="5" t="n">
        <f aca="false">H1242*K1242</f>
        <v>1250</v>
      </c>
    </row>
    <row r="1243" customFormat="false" ht="15" hidden="false" customHeight="false" outlineLevel="0" collapsed="false">
      <c r="A1243" s="2" t="s">
        <v>1525</v>
      </c>
      <c r="B1243" s="8" t="n">
        <v>46126</v>
      </c>
      <c r="C1243" s="2" t="s">
        <v>221</v>
      </c>
      <c r="D1243" s="3" t="str">
        <f aca="false">INDEX(Vendedores!$C$2:$C$101,MATCH(C1243,Vendedores!$A$2:$A$101,0))</f>
        <v>L09</v>
      </c>
      <c r="E1243" s="3" t="str">
        <f aca="false">INDEX(Lojas!$E$2:$E$11,MATCH(D1243,Lojas!$A$2:$A$11,0))</f>
        <v>Nordeste</v>
      </c>
      <c r="F1243" s="2" t="s">
        <v>265</v>
      </c>
      <c r="G1243" s="3" t="str">
        <f aca="false">INDEX(Produtos!$B$2:$B$11,MATCH(F1243,Produtos!$A$2:$A$11,0))&amp;" "&amp;INDEX(Produtos!$C$2:$C$11,MATCH(F1243,Produtos!$A$2:$A$11,0))</f>
        <v>Fone de Ouvido Headset</v>
      </c>
      <c r="H1243" s="2" t="n">
        <v>2</v>
      </c>
      <c r="I1243" s="5" t="n">
        <f aca="false">INDEX(Produtos!$D$2:$D$11,MATCH(F1243,Produtos!$A$2:$A$11,0))</f>
        <v>249.9</v>
      </c>
      <c r="J1243" s="5" t="n">
        <f aca="false">H1243*I1243</f>
        <v>499.8</v>
      </c>
      <c r="K1243" s="5" t="n">
        <f aca="false">INDEX(Produtos!$E$2:$E$11,MATCH(F1243,Produtos!$A$2:$A$11,0))</f>
        <v>145</v>
      </c>
      <c r="L1243" s="5" t="n">
        <f aca="false">H1243*K1243</f>
        <v>290</v>
      </c>
    </row>
    <row r="1244" customFormat="false" ht="15" hidden="false" customHeight="false" outlineLevel="0" collapsed="false">
      <c r="A1244" s="2" t="s">
        <v>1526</v>
      </c>
      <c r="B1244" s="8" t="n">
        <v>46126</v>
      </c>
      <c r="C1244" s="2" t="s">
        <v>116</v>
      </c>
      <c r="D1244" s="3" t="str">
        <f aca="false">INDEX(Vendedores!$C$2:$C$101,MATCH(C1244,Vendedores!$A$2:$A$101,0))</f>
        <v>L04</v>
      </c>
      <c r="E1244" s="3" t="str">
        <f aca="false">INDEX(Lojas!$E$2:$E$11,MATCH(D1244,Lojas!$A$2:$A$11,0))</f>
        <v>Sudeste</v>
      </c>
      <c r="F1244" s="2" t="s">
        <v>275</v>
      </c>
      <c r="G1244" s="3" t="str">
        <f aca="false">INDEX(Produtos!$B$2:$B$11,MATCH(F1244,Produtos!$A$2:$A$11,0))&amp;" "&amp;INDEX(Produtos!$C$2:$C$11,MATCH(F1244,Produtos!$A$2:$A$11,0))</f>
        <v>Controle de Videogame PS5</v>
      </c>
      <c r="H1244" s="2" t="n">
        <v>1</v>
      </c>
      <c r="I1244" s="5" t="n">
        <f aca="false">INDEX(Produtos!$D$2:$D$11,MATCH(F1244,Produtos!$A$2:$A$11,0))</f>
        <v>379.9</v>
      </c>
      <c r="J1244" s="5" t="n">
        <f aca="false">H1244*I1244</f>
        <v>379.9</v>
      </c>
      <c r="K1244" s="5" t="n">
        <f aca="false">INDEX(Produtos!$E$2:$E$11,MATCH(F1244,Produtos!$A$2:$A$11,0))</f>
        <v>235</v>
      </c>
      <c r="L1244" s="5" t="n">
        <f aca="false">H1244*K1244</f>
        <v>235</v>
      </c>
    </row>
    <row r="1245" customFormat="false" ht="15" hidden="false" customHeight="false" outlineLevel="0" collapsed="false">
      <c r="A1245" s="2" t="s">
        <v>1527</v>
      </c>
      <c r="B1245" s="8" t="n">
        <v>46126</v>
      </c>
      <c r="C1245" s="2" t="s">
        <v>142</v>
      </c>
      <c r="D1245" s="3" t="str">
        <f aca="false">INDEX(Vendedores!$C$2:$C$101,MATCH(C1245,Vendedores!$A$2:$A$101,0))</f>
        <v>L05</v>
      </c>
      <c r="E1245" s="3" t="str">
        <f aca="false">INDEX(Lojas!$E$2:$E$11,MATCH(D1245,Lojas!$A$2:$A$11,0))</f>
        <v>Sul</v>
      </c>
      <c r="F1245" s="2" t="s">
        <v>252</v>
      </c>
      <c r="G1245" s="3" t="str">
        <f aca="false">INDEX(Produtos!$B$2:$B$11,MATCH(F1245,Produtos!$A$2:$A$11,0))&amp;" "&amp;INDEX(Produtos!$C$2:$C$11,MATCH(F1245,Produtos!$A$2:$A$11,0))</f>
        <v>Notebook Lenovo</v>
      </c>
      <c r="H1245" s="2" t="n">
        <v>1</v>
      </c>
      <c r="I1245" s="5" t="n">
        <f aca="false">INDEX(Produtos!$D$2:$D$11,MATCH(F1245,Produtos!$A$2:$A$11,0))</f>
        <v>3199</v>
      </c>
      <c r="J1245" s="5" t="n">
        <f aca="false">H1245*I1245</f>
        <v>3199</v>
      </c>
      <c r="K1245" s="5" t="n">
        <f aca="false">INDEX(Produtos!$E$2:$E$11,MATCH(F1245,Produtos!$A$2:$A$11,0))</f>
        <v>2350</v>
      </c>
      <c r="L1245" s="5" t="n">
        <f aca="false">H1245*K1245</f>
        <v>2350</v>
      </c>
    </row>
    <row r="1246" customFormat="false" ht="15" hidden="false" customHeight="false" outlineLevel="0" collapsed="false">
      <c r="A1246" s="2" t="s">
        <v>1528</v>
      </c>
      <c r="B1246" s="8" t="n">
        <v>46126</v>
      </c>
      <c r="C1246" s="2" t="s">
        <v>146</v>
      </c>
      <c r="D1246" s="3" t="str">
        <f aca="false">INDEX(Vendedores!$C$2:$C$101,MATCH(C1246,Vendedores!$A$2:$A$101,0))</f>
        <v>L05</v>
      </c>
      <c r="E1246" s="3" t="str">
        <f aca="false">INDEX(Lojas!$E$2:$E$11,MATCH(D1246,Lojas!$A$2:$A$11,0))</f>
        <v>Sul</v>
      </c>
      <c r="F1246" s="2" t="s">
        <v>270</v>
      </c>
      <c r="G1246" s="3" t="str">
        <f aca="false">INDEX(Produtos!$B$2:$B$11,MATCH(F1246,Produtos!$A$2:$A$11,0))&amp;" "&amp;INDEX(Produtos!$C$2:$C$11,MATCH(F1246,Produtos!$A$2:$A$11,0))</f>
        <v>Controle de Videogame Xbox</v>
      </c>
      <c r="H1246" s="2" t="n">
        <v>1</v>
      </c>
      <c r="I1246" s="5" t="n">
        <f aca="false">INDEX(Produtos!$D$2:$D$11,MATCH(F1246,Produtos!$A$2:$A$11,0))</f>
        <v>349.9</v>
      </c>
      <c r="J1246" s="5" t="n">
        <f aca="false">H1246*I1246</f>
        <v>349.9</v>
      </c>
      <c r="K1246" s="5" t="n">
        <f aca="false">INDEX(Produtos!$E$2:$E$11,MATCH(F1246,Produtos!$A$2:$A$11,0))</f>
        <v>215</v>
      </c>
      <c r="L1246" s="5" t="n">
        <f aca="false">H1246*K1246</f>
        <v>215</v>
      </c>
    </row>
    <row r="1247" customFormat="false" ht="15" hidden="false" customHeight="false" outlineLevel="0" collapsed="false">
      <c r="A1247" s="2" t="s">
        <v>1529</v>
      </c>
      <c r="B1247" s="8" t="n">
        <v>46126</v>
      </c>
      <c r="C1247" s="2" t="s">
        <v>223</v>
      </c>
      <c r="D1247" s="3" t="str">
        <f aca="false">INDEX(Vendedores!$C$2:$C$101,MATCH(C1247,Vendedores!$A$2:$A$101,0))</f>
        <v>L09</v>
      </c>
      <c r="E1247" s="3" t="str">
        <f aca="false">INDEX(Lojas!$E$2:$E$11,MATCH(D1247,Lojas!$A$2:$A$11,0))</f>
        <v>Nordeste</v>
      </c>
      <c r="F1247" s="2" t="s">
        <v>262</v>
      </c>
      <c r="G1247" s="3" t="str">
        <f aca="false">INDEX(Produtos!$B$2:$B$11,MATCH(F1247,Produtos!$A$2:$A$11,0))&amp;" "&amp;INDEX(Produtos!$C$2:$C$11,MATCH(F1247,Produtos!$A$2:$A$11,0))</f>
        <v>Fone de Ouvido De Celular</v>
      </c>
      <c r="H1247" s="2" t="n">
        <v>1</v>
      </c>
      <c r="I1247" s="5" t="n">
        <f aca="false">INDEX(Produtos!$D$2:$D$11,MATCH(F1247,Produtos!$A$2:$A$11,0))</f>
        <v>59.9</v>
      </c>
      <c r="J1247" s="5" t="n">
        <f aca="false">H1247*I1247</f>
        <v>59.9</v>
      </c>
      <c r="K1247" s="5" t="n">
        <f aca="false">INDEX(Produtos!$E$2:$E$11,MATCH(F1247,Produtos!$A$2:$A$11,0))</f>
        <v>28</v>
      </c>
      <c r="L1247" s="5" t="n">
        <f aca="false">H1247*K1247</f>
        <v>28</v>
      </c>
    </row>
    <row r="1248" customFormat="false" ht="15" hidden="false" customHeight="false" outlineLevel="0" collapsed="false">
      <c r="A1248" s="2" t="s">
        <v>1530</v>
      </c>
      <c r="B1248" s="8" t="n">
        <v>46126</v>
      </c>
      <c r="C1248" s="2" t="s">
        <v>126</v>
      </c>
      <c r="D1248" s="3" t="str">
        <f aca="false">INDEX(Vendedores!$C$2:$C$101,MATCH(C1248,Vendedores!$A$2:$A$101,0))</f>
        <v>L04</v>
      </c>
      <c r="E1248" s="3" t="str">
        <f aca="false">INDEX(Lojas!$E$2:$E$11,MATCH(D1248,Lojas!$A$2:$A$11,0))</f>
        <v>Sudeste</v>
      </c>
      <c r="F1248" s="2" t="s">
        <v>273</v>
      </c>
      <c r="G1248" s="3" t="str">
        <f aca="false">INDEX(Produtos!$B$2:$B$11,MATCH(F1248,Produtos!$A$2:$A$11,0))&amp;" "&amp;INDEX(Produtos!$C$2:$C$11,MATCH(F1248,Produtos!$A$2:$A$11,0))</f>
        <v>Controle de Videogame PS4</v>
      </c>
      <c r="H1248" s="2" t="n">
        <v>3</v>
      </c>
      <c r="I1248" s="5" t="n">
        <f aca="false">INDEX(Produtos!$D$2:$D$11,MATCH(F1248,Produtos!$A$2:$A$11,0))</f>
        <v>299.9</v>
      </c>
      <c r="J1248" s="5" t="n">
        <f aca="false">H1248*I1248</f>
        <v>899.7</v>
      </c>
      <c r="K1248" s="5" t="n">
        <f aca="false">INDEX(Produtos!$E$2:$E$11,MATCH(F1248,Produtos!$A$2:$A$11,0))</f>
        <v>175</v>
      </c>
      <c r="L1248" s="5" t="n">
        <f aca="false">H1248*K1248</f>
        <v>525</v>
      </c>
    </row>
    <row r="1249" customFormat="false" ht="15" hidden="false" customHeight="false" outlineLevel="0" collapsed="false">
      <c r="A1249" s="2" t="s">
        <v>1531</v>
      </c>
      <c r="B1249" s="8" t="n">
        <v>46126</v>
      </c>
      <c r="C1249" s="2" t="s">
        <v>148</v>
      </c>
      <c r="D1249" s="3" t="str">
        <f aca="false">INDEX(Vendedores!$C$2:$C$101,MATCH(C1249,Vendedores!$A$2:$A$101,0))</f>
        <v>L06</v>
      </c>
      <c r="E1249" s="3" t="str">
        <f aca="false">INDEX(Lojas!$E$2:$E$11,MATCH(D1249,Lojas!$A$2:$A$11,0))</f>
        <v>Sul</v>
      </c>
      <c r="F1249" s="2" t="s">
        <v>252</v>
      </c>
      <c r="G1249" s="3" t="str">
        <f aca="false">INDEX(Produtos!$B$2:$B$11,MATCH(F1249,Produtos!$A$2:$A$11,0))&amp;" "&amp;INDEX(Produtos!$C$2:$C$11,MATCH(F1249,Produtos!$A$2:$A$11,0))</f>
        <v>Notebook Lenovo</v>
      </c>
      <c r="H1249" s="2" t="n">
        <v>1</v>
      </c>
      <c r="I1249" s="5" t="n">
        <f aca="false">INDEX(Produtos!$D$2:$D$11,MATCH(F1249,Produtos!$A$2:$A$11,0))</f>
        <v>3199</v>
      </c>
      <c r="J1249" s="5" t="n">
        <f aca="false">H1249*I1249</f>
        <v>3199</v>
      </c>
      <c r="K1249" s="5" t="n">
        <f aca="false">INDEX(Produtos!$E$2:$E$11,MATCH(F1249,Produtos!$A$2:$A$11,0))</f>
        <v>2350</v>
      </c>
      <c r="L1249" s="5" t="n">
        <f aca="false">H1249*K1249</f>
        <v>2350</v>
      </c>
    </row>
    <row r="1250" customFormat="false" ht="15" hidden="false" customHeight="false" outlineLevel="0" collapsed="false">
      <c r="A1250" s="2" t="s">
        <v>1532</v>
      </c>
      <c r="B1250" s="8" t="n">
        <v>46127</v>
      </c>
      <c r="C1250" s="2" t="s">
        <v>148</v>
      </c>
      <c r="D1250" s="3" t="str">
        <f aca="false">INDEX(Vendedores!$C$2:$C$101,MATCH(C1250,Vendedores!$A$2:$A$101,0))</f>
        <v>L06</v>
      </c>
      <c r="E1250" s="3" t="str">
        <f aca="false">INDEX(Lojas!$E$2:$E$11,MATCH(D1250,Lojas!$A$2:$A$11,0))</f>
        <v>Sul</v>
      </c>
      <c r="F1250" s="2" t="s">
        <v>262</v>
      </c>
      <c r="G1250" s="3" t="str">
        <f aca="false">INDEX(Produtos!$B$2:$B$11,MATCH(F1250,Produtos!$A$2:$A$11,0))&amp;" "&amp;INDEX(Produtos!$C$2:$C$11,MATCH(F1250,Produtos!$A$2:$A$11,0))</f>
        <v>Fone de Ouvido De Celular</v>
      </c>
      <c r="H1250" s="2" t="n">
        <v>1</v>
      </c>
      <c r="I1250" s="5" t="n">
        <f aca="false">INDEX(Produtos!$D$2:$D$11,MATCH(F1250,Produtos!$A$2:$A$11,0))</f>
        <v>59.9</v>
      </c>
      <c r="J1250" s="5" t="n">
        <f aca="false">H1250*I1250</f>
        <v>59.9</v>
      </c>
      <c r="K1250" s="5" t="n">
        <f aca="false">INDEX(Produtos!$E$2:$E$11,MATCH(F1250,Produtos!$A$2:$A$11,0))</f>
        <v>28</v>
      </c>
      <c r="L1250" s="5" t="n">
        <f aca="false">H1250*K1250</f>
        <v>28</v>
      </c>
    </row>
    <row r="1251" customFormat="false" ht="15" hidden="false" customHeight="false" outlineLevel="0" collapsed="false">
      <c r="A1251" s="2" t="s">
        <v>1533</v>
      </c>
      <c r="B1251" s="8" t="n">
        <v>46127</v>
      </c>
      <c r="C1251" s="2" t="s">
        <v>174</v>
      </c>
      <c r="D1251" s="3" t="str">
        <f aca="false">INDEX(Vendedores!$C$2:$C$101,MATCH(C1251,Vendedores!$A$2:$A$101,0))</f>
        <v>L07</v>
      </c>
      <c r="E1251" s="3" t="str">
        <f aca="false">INDEX(Lojas!$E$2:$E$11,MATCH(D1251,Lojas!$A$2:$A$11,0))</f>
        <v>Sul</v>
      </c>
      <c r="F1251" s="2" t="s">
        <v>262</v>
      </c>
      <c r="G1251" s="3" t="str">
        <f aca="false">INDEX(Produtos!$B$2:$B$11,MATCH(F1251,Produtos!$A$2:$A$11,0))&amp;" "&amp;INDEX(Produtos!$C$2:$C$11,MATCH(F1251,Produtos!$A$2:$A$11,0))</f>
        <v>Fone de Ouvido De Celular</v>
      </c>
      <c r="H1251" s="2" t="n">
        <v>1</v>
      </c>
      <c r="I1251" s="5" t="n">
        <f aca="false">INDEX(Produtos!$D$2:$D$11,MATCH(F1251,Produtos!$A$2:$A$11,0))</f>
        <v>59.9</v>
      </c>
      <c r="J1251" s="5" t="n">
        <f aca="false">H1251*I1251</f>
        <v>59.9</v>
      </c>
      <c r="K1251" s="5" t="n">
        <f aca="false">INDEX(Produtos!$E$2:$E$11,MATCH(F1251,Produtos!$A$2:$A$11,0))</f>
        <v>28</v>
      </c>
      <c r="L1251" s="5" t="n">
        <f aca="false">H1251*K1251</f>
        <v>28</v>
      </c>
    </row>
    <row r="1252" customFormat="false" ht="15" hidden="false" customHeight="false" outlineLevel="0" collapsed="false">
      <c r="A1252" s="2" t="s">
        <v>1534</v>
      </c>
      <c r="B1252" s="8" t="n">
        <v>46127</v>
      </c>
      <c r="C1252" s="2" t="s">
        <v>86</v>
      </c>
      <c r="D1252" s="3" t="str">
        <f aca="false">INDEX(Vendedores!$C$2:$C$101,MATCH(C1252,Vendedores!$A$2:$A$101,0))</f>
        <v>L02</v>
      </c>
      <c r="E1252" s="3" t="str">
        <f aca="false">INDEX(Lojas!$E$2:$E$11,MATCH(D1252,Lojas!$A$2:$A$11,0))</f>
        <v>Sudeste</v>
      </c>
      <c r="F1252" s="2" t="s">
        <v>257</v>
      </c>
      <c r="G1252" s="3" t="str">
        <f aca="false">INDEX(Produtos!$B$2:$B$11,MATCH(F1252,Produtos!$A$2:$A$11,0))&amp;" "&amp;INDEX(Produtos!$C$2:$C$11,MATCH(F1252,Produtos!$A$2:$A$11,0))</f>
        <v>Celular Samsung</v>
      </c>
      <c r="H1252" s="2" t="n">
        <v>1</v>
      </c>
      <c r="I1252" s="5" t="n">
        <f aca="false">INDEX(Produtos!$D$2:$D$11,MATCH(F1252,Produtos!$A$2:$A$11,0))</f>
        <v>2499</v>
      </c>
      <c r="J1252" s="5" t="n">
        <f aca="false">H1252*I1252</f>
        <v>2499</v>
      </c>
      <c r="K1252" s="5" t="n">
        <f aca="false">INDEX(Produtos!$E$2:$E$11,MATCH(F1252,Produtos!$A$2:$A$11,0))</f>
        <v>1800</v>
      </c>
      <c r="L1252" s="5" t="n">
        <f aca="false">H1252*K1252</f>
        <v>1800</v>
      </c>
    </row>
    <row r="1253" customFormat="false" ht="15" hidden="false" customHeight="false" outlineLevel="0" collapsed="false">
      <c r="A1253" s="2" t="s">
        <v>1535</v>
      </c>
      <c r="B1253" s="8" t="n">
        <v>46127</v>
      </c>
      <c r="C1253" s="2" t="s">
        <v>217</v>
      </c>
      <c r="D1253" s="3" t="str">
        <f aca="false">INDEX(Vendedores!$C$2:$C$101,MATCH(C1253,Vendedores!$A$2:$A$101,0))</f>
        <v>L09</v>
      </c>
      <c r="E1253" s="3" t="str">
        <f aca="false">INDEX(Lojas!$E$2:$E$11,MATCH(D1253,Lojas!$A$2:$A$11,0))</f>
        <v>Nordeste</v>
      </c>
      <c r="F1253" s="2" t="s">
        <v>260</v>
      </c>
      <c r="G1253" s="3" t="str">
        <f aca="false">INDEX(Produtos!$B$2:$B$11,MATCH(F1253,Produtos!$A$2:$A$11,0))&amp;" "&amp;INDEX(Produtos!$C$2:$C$11,MATCH(F1253,Produtos!$A$2:$A$11,0))</f>
        <v>Celular Motorola</v>
      </c>
      <c r="H1253" s="2" t="n">
        <v>1</v>
      </c>
      <c r="I1253" s="5" t="n">
        <f aca="false">INDEX(Produtos!$D$2:$D$11,MATCH(F1253,Produtos!$A$2:$A$11,0))</f>
        <v>1799</v>
      </c>
      <c r="J1253" s="5" t="n">
        <f aca="false">H1253*I1253</f>
        <v>1799</v>
      </c>
      <c r="K1253" s="5" t="n">
        <f aca="false">INDEX(Produtos!$E$2:$E$11,MATCH(F1253,Produtos!$A$2:$A$11,0))</f>
        <v>1250</v>
      </c>
      <c r="L1253" s="5" t="n">
        <f aca="false">H1253*K1253</f>
        <v>1250</v>
      </c>
    </row>
    <row r="1254" customFormat="false" ht="15" hidden="false" customHeight="false" outlineLevel="0" collapsed="false">
      <c r="A1254" s="2" t="s">
        <v>1536</v>
      </c>
      <c r="B1254" s="8" t="n">
        <v>46127</v>
      </c>
      <c r="C1254" s="2" t="s">
        <v>82</v>
      </c>
      <c r="D1254" s="3" t="str">
        <f aca="false">INDEX(Vendedores!$C$2:$C$101,MATCH(C1254,Vendedores!$A$2:$A$101,0))</f>
        <v>L02</v>
      </c>
      <c r="E1254" s="3" t="str">
        <f aca="false">INDEX(Lojas!$E$2:$E$11,MATCH(D1254,Lojas!$A$2:$A$11,0))</f>
        <v>Sudeste</v>
      </c>
      <c r="F1254" s="2" t="s">
        <v>265</v>
      </c>
      <c r="G1254" s="3" t="str">
        <f aca="false">INDEX(Produtos!$B$2:$B$11,MATCH(F1254,Produtos!$A$2:$A$11,0))&amp;" "&amp;INDEX(Produtos!$C$2:$C$11,MATCH(F1254,Produtos!$A$2:$A$11,0))</f>
        <v>Fone de Ouvido Headset</v>
      </c>
      <c r="H1254" s="2" t="n">
        <v>1</v>
      </c>
      <c r="I1254" s="5" t="n">
        <f aca="false">INDEX(Produtos!$D$2:$D$11,MATCH(F1254,Produtos!$A$2:$A$11,0))</f>
        <v>249.9</v>
      </c>
      <c r="J1254" s="5" t="n">
        <f aca="false">H1254*I1254</f>
        <v>249.9</v>
      </c>
      <c r="K1254" s="5" t="n">
        <f aca="false">INDEX(Produtos!$E$2:$E$11,MATCH(F1254,Produtos!$A$2:$A$11,0))</f>
        <v>145</v>
      </c>
      <c r="L1254" s="5" t="n">
        <f aca="false">H1254*K1254</f>
        <v>145</v>
      </c>
    </row>
    <row r="1255" customFormat="false" ht="15" hidden="false" customHeight="false" outlineLevel="0" collapsed="false">
      <c r="A1255" s="2" t="s">
        <v>1537</v>
      </c>
      <c r="B1255" s="8" t="n">
        <v>46127</v>
      </c>
      <c r="C1255" s="2" t="s">
        <v>179</v>
      </c>
      <c r="D1255" s="3" t="str">
        <f aca="false">INDEX(Vendedores!$C$2:$C$101,MATCH(C1255,Vendedores!$A$2:$A$101,0))</f>
        <v>L07</v>
      </c>
      <c r="E1255" s="3" t="str">
        <f aca="false">INDEX(Lojas!$E$2:$E$11,MATCH(D1255,Lojas!$A$2:$A$11,0))</f>
        <v>Sul</v>
      </c>
      <c r="F1255" s="2" t="s">
        <v>262</v>
      </c>
      <c r="G1255" s="3" t="str">
        <f aca="false">INDEX(Produtos!$B$2:$B$11,MATCH(F1255,Produtos!$A$2:$A$11,0))&amp;" "&amp;INDEX(Produtos!$C$2:$C$11,MATCH(F1255,Produtos!$A$2:$A$11,0))</f>
        <v>Fone de Ouvido De Celular</v>
      </c>
      <c r="H1255" s="2" t="n">
        <v>2</v>
      </c>
      <c r="I1255" s="5" t="n">
        <f aca="false">INDEX(Produtos!$D$2:$D$11,MATCH(F1255,Produtos!$A$2:$A$11,0))</f>
        <v>59.9</v>
      </c>
      <c r="J1255" s="5" t="n">
        <f aca="false">H1255*I1255</f>
        <v>119.8</v>
      </c>
      <c r="K1255" s="5" t="n">
        <f aca="false">INDEX(Produtos!$E$2:$E$11,MATCH(F1255,Produtos!$A$2:$A$11,0))</f>
        <v>28</v>
      </c>
      <c r="L1255" s="5" t="n">
        <f aca="false">H1255*K1255</f>
        <v>56</v>
      </c>
    </row>
    <row r="1256" customFormat="false" ht="15" hidden="false" customHeight="false" outlineLevel="0" collapsed="false">
      <c r="A1256" s="2" t="s">
        <v>1538</v>
      </c>
      <c r="B1256" s="8" t="n">
        <v>46127</v>
      </c>
      <c r="C1256" s="2" t="s">
        <v>195</v>
      </c>
      <c r="D1256" s="3" t="str">
        <f aca="false">INDEX(Vendedores!$C$2:$C$101,MATCH(C1256,Vendedores!$A$2:$A$101,0))</f>
        <v>L08</v>
      </c>
      <c r="E1256" s="3" t="str">
        <f aca="false">INDEX(Lojas!$E$2:$E$11,MATCH(D1256,Lojas!$A$2:$A$11,0))</f>
        <v>Nordeste</v>
      </c>
      <c r="F1256" s="2" t="s">
        <v>257</v>
      </c>
      <c r="G1256" s="3" t="str">
        <f aca="false">INDEX(Produtos!$B$2:$B$11,MATCH(F1256,Produtos!$A$2:$A$11,0))&amp;" "&amp;INDEX(Produtos!$C$2:$C$11,MATCH(F1256,Produtos!$A$2:$A$11,0))</f>
        <v>Celular Samsung</v>
      </c>
      <c r="H1256" s="2" t="n">
        <v>1</v>
      </c>
      <c r="I1256" s="5" t="n">
        <f aca="false">INDEX(Produtos!$D$2:$D$11,MATCH(F1256,Produtos!$A$2:$A$11,0))</f>
        <v>2499</v>
      </c>
      <c r="J1256" s="5" t="n">
        <f aca="false">H1256*I1256</f>
        <v>2499</v>
      </c>
      <c r="K1256" s="5" t="n">
        <f aca="false">INDEX(Produtos!$E$2:$E$11,MATCH(F1256,Produtos!$A$2:$A$11,0))</f>
        <v>1800</v>
      </c>
      <c r="L1256" s="5" t="n">
        <f aca="false">H1256*K1256</f>
        <v>1800</v>
      </c>
    </row>
    <row r="1257" customFormat="false" ht="15" hidden="false" customHeight="false" outlineLevel="0" collapsed="false">
      <c r="A1257" s="2" t="s">
        <v>1539</v>
      </c>
      <c r="B1257" s="8" t="n">
        <v>46127</v>
      </c>
      <c r="C1257" s="2" t="s">
        <v>241</v>
      </c>
      <c r="D1257" s="3" t="str">
        <f aca="false">INDEX(Vendedores!$C$2:$C$101,MATCH(C1257,Vendedores!$A$2:$A$101,0))</f>
        <v>L10</v>
      </c>
      <c r="E1257" s="3" t="str">
        <f aca="false">INDEX(Lojas!$E$2:$E$11,MATCH(D1257,Lojas!$A$2:$A$11,0))</f>
        <v>Nordeste</v>
      </c>
      <c r="F1257" s="2" t="s">
        <v>273</v>
      </c>
      <c r="G1257" s="3" t="str">
        <f aca="false">INDEX(Produtos!$B$2:$B$11,MATCH(F1257,Produtos!$A$2:$A$11,0))&amp;" "&amp;INDEX(Produtos!$C$2:$C$11,MATCH(F1257,Produtos!$A$2:$A$11,0))</f>
        <v>Controle de Videogame PS4</v>
      </c>
      <c r="H1257" s="2" t="n">
        <v>2</v>
      </c>
      <c r="I1257" s="5" t="n">
        <f aca="false">INDEX(Produtos!$D$2:$D$11,MATCH(F1257,Produtos!$A$2:$A$11,0))</f>
        <v>299.9</v>
      </c>
      <c r="J1257" s="5" t="n">
        <f aca="false">H1257*I1257</f>
        <v>599.8</v>
      </c>
      <c r="K1257" s="5" t="n">
        <f aca="false">INDEX(Produtos!$E$2:$E$11,MATCH(F1257,Produtos!$A$2:$A$11,0))</f>
        <v>175</v>
      </c>
      <c r="L1257" s="5" t="n">
        <f aca="false">H1257*K1257</f>
        <v>350</v>
      </c>
    </row>
    <row r="1258" customFormat="false" ht="15" hidden="false" customHeight="false" outlineLevel="0" collapsed="false">
      <c r="A1258" s="2" t="s">
        <v>1540</v>
      </c>
      <c r="B1258" s="8" t="n">
        <v>46127</v>
      </c>
      <c r="C1258" s="2" t="s">
        <v>211</v>
      </c>
      <c r="D1258" s="3" t="str">
        <f aca="false">INDEX(Vendedores!$C$2:$C$101,MATCH(C1258,Vendedores!$A$2:$A$101,0))</f>
        <v>L09</v>
      </c>
      <c r="E1258" s="3" t="str">
        <f aca="false">INDEX(Lojas!$E$2:$E$11,MATCH(D1258,Lojas!$A$2:$A$11,0))</f>
        <v>Nordeste</v>
      </c>
      <c r="F1258" s="2" t="s">
        <v>275</v>
      </c>
      <c r="G1258" s="3" t="str">
        <f aca="false">INDEX(Produtos!$B$2:$B$11,MATCH(F1258,Produtos!$A$2:$A$11,0))&amp;" "&amp;INDEX(Produtos!$C$2:$C$11,MATCH(F1258,Produtos!$A$2:$A$11,0))</f>
        <v>Controle de Videogame PS5</v>
      </c>
      <c r="H1258" s="2" t="n">
        <v>1</v>
      </c>
      <c r="I1258" s="5" t="n">
        <f aca="false">INDEX(Produtos!$D$2:$D$11,MATCH(F1258,Produtos!$A$2:$A$11,0))</f>
        <v>379.9</v>
      </c>
      <c r="J1258" s="5" t="n">
        <f aca="false">H1258*I1258</f>
        <v>379.9</v>
      </c>
      <c r="K1258" s="5" t="n">
        <f aca="false">INDEX(Produtos!$E$2:$E$11,MATCH(F1258,Produtos!$A$2:$A$11,0))</f>
        <v>235</v>
      </c>
      <c r="L1258" s="5" t="n">
        <f aca="false">H1258*K1258</f>
        <v>235</v>
      </c>
    </row>
    <row r="1259" customFormat="false" ht="15" hidden="false" customHeight="false" outlineLevel="0" collapsed="false">
      <c r="A1259" s="2" t="s">
        <v>1541</v>
      </c>
      <c r="B1259" s="8" t="n">
        <v>46127</v>
      </c>
      <c r="C1259" s="2" t="s">
        <v>195</v>
      </c>
      <c r="D1259" s="3" t="str">
        <f aca="false">INDEX(Vendedores!$C$2:$C$101,MATCH(C1259,Vendedores!$A$2:$A$101,0))</f>
        <v>L08</v>
      </c>
      <c r="E1259" s="3" t="str">
        <f aca="false">INDEX(Lojas!$E$2:$E$11,MATCH(D1259,Lojas!$A$2:$A$11,0))</f>
        <v>Nordeste</v>
      </c>
      <c r="F1259" s="2" t="s">
        <v>252</v>
      </c>
      <c r="G1259" s="3" t="str">
        <f aca="false">INDEX(Produtos!$B$2:$B$11,MATCH(F1259,Produtos!$A$2:$A$11,0))&amp;" "&amp;INDEX(Produtos!$C$2:$C$11,MATCH(F1259,Produtos!$A$2:$A$11,0))</f>
        <v>Notebook Lenovo</v>
      </c>
      <c r="H1259" s="2" t="n">
        <v>1</v>
      </c>
      <c r="I1259" s="5" t="n">
        <f aca="false">INDEX(Produtos!$D$2:$D$11,MATCH(F1259,Produtos!$A$2:$A$11,0))</f>
        <v>3199</v>
      </c>
      <c r="J1259" s="5" t="n">
        <f aca="false">H1259*I1259</f>
        <v>3199</v>
      </c>
      <c r="K1259" s="5" t="n">
        <f aca="false">INDEX(Produtos!$E$2:$E$11,MATCH(F1259,Produtos!$A$2:$A$11,0))</f>
        <v>2350</v>
      </c>
      <c r="L1259" s="5" t="n">
        <f aca="false">H1259*K1259</f>
        <v>2350</v>
      </c>
    </row>
    <row r="1260" customFormat="false" ht="15" hidden="false" customHeight="false" outlineLevel="0" collapsed="false">
      <c r="A1260" s="2" t="s">
        <v>1542</v>
      </c>
      <c r="B1260" s="8" t="n">
        <v>46127</v>
      </c>
      <c r="C1260" s="2" t="s">
        <v>110</v>
      </c>
      <c r="D1260" s="3" t="str">
        <f aca="false">INDEX(Vendedores!$C$2:$C$101,MATCH(C1260,Vendedores!$A$2:$A$101,0))</f>
        <v>L04</v>
      </c>
      <c r="E1260" s="3" t="str">
        <f aca="false">INDEX(Lojas!$E$2:$E$11,MATCH(D1260,Lojas!$A$2:$A$11,0))</f>
        <v>Sudeste</v>
      </c>
      <c r="F1260" s="2" t="s">
        <v>252</v>
      </c>
      <c r="G1260" s="3" t="str">
        <f aca="false">INDEX(Produtos!$B$2:$B$11,MATCH(F1260,Produtos!$A$2:$A$11,0))&amp;" "&amp;INDEX(Produtos!$C$2:$C$11,MATCH(F1260,Produtos!$A$2:$A$11,0))</f>
        <v>Notebook Lenovo</v>
      </c>
      <c r="H1260" s="2" t="n">
        <v>1</v>
      </c>
      <c r="I1260" s="5" t="n">
        <f aca="false">INDEX(Produtos!$D$2:$D$11,MATCH(F1260,Produtos!$A$2:$A$11,0))</f>
        <v>3199</v>
      </c>
      <c r="J1260" s="5" t="n">
        <f aca="false">H1260*I1260</f>
        <v>3199</v>
      </c>
      <c r="K1260" s="5" t="n">
        <f aca="false">INDEX(Produtos!$E$2:$E$11,MATCH(F1260,Produtos!$A$2:$A$11,0))</f>
        <v>2350</v>
      </c>
      <c r="L1260" s="5" t="n">
        <f aca="false">H1260*K1260</f>
        <v>2350</v>
      </c>
    </row>
    <row r="1261" customFormat="false" ht="15" hidden="false" customHeight="false" outlineLevel="0" collapsed="false">
      <c r="A1261" s="2" t="s">
        <v>1543</v>
      </c>
      <c r="B1261" s="8" t="n">
        <v>46127</v>
      </c>
      <c r="C1261" s="2" t="s">
        <v>182</v>
      </c>
      <c r="D1261" s="3" t="str">
        <f aca="false">INDEX(Vendedores!$C$2:$C$101,MATCH(C1261,Vendedores!$A$2:$A$101,0))</f>
        <v>L07</v>
      </c>
      <c r="E1261" s="3" t="str">
        <f aca="false">INDEX(Lojas!$E$2:$E$11,MATCH(D1261,Lojas!$A$2:$A$11,0))</f>
        <v>Sul</v>
      </c>
      <c r="F1261" s="2" t="s">
        <v>252</v>
      </c>
      <c r="G1261" s="3" t="str">
        <f aca="false">INDEX(Produtos!$B$2:$B$11,MATCH(F1261,Produtos!$A$2:$A$11,0))&amp;" "&amp;INDEX(Produtos!$C$2:$C$11,MATCH(F1261,Produtos!$A$2:$A$11,0))</f>
        <v>Notebook Lenovo</v>
      </c>
      <c r="H1261" s="2" t="n">
        <v>3</v>
      </c>
      <c r="I1261" s="5" t="n">
        <f aca="false">INDEX(Produtos!$D$2:$D$11,MATCH(F1261,Produtos!$A$2:$A$11,0))</f>
        <v>3199</v>
      </c>
      <c r="J1261" s="5" t="n">
        <f aca="false">H1261*I1261</f>
        <v>9597</v>
      </c>
      <c r="K1261" s="5" t="n">
        <f aca="false">INDEX(Produtos!$E$2:$E$11,MATCH(F1261,Produtos!$A$2:$A$11,0))</f>
        <v>2350</v>
      </c>
      <c r="L1261" s="5" t="n">
        <f aca="false">H1261*K1261</f>
        <v>7050</v>
      </c>
    </row>
    <row r="1262" customFormat="false" ht="15" hidden="false" customHeight="false" outlineLevel="0" collapsed="false">
      <c r="A1262" s="2" t="s">
        <v>1544</v>
      </c>
      <c r="B1262" s="8" t="n">
        <v>46127</v>
      </c>
      <c r="C1262" s="2" t="s">
        <v>162</v>
      </c>
      <c r="D1262" s="3" t="str">
        <f aca="false">INDEX(Vendedores!$C$2:$C$101,MATCH(C1262,Vendedores!$A$2:$A$101,0))</f>
        <v>L06</v>
      </c>
      <c r="E1262" s="3" t="str">
        <f aca="false">INDEX(Lojas!$E$2:$E$11,MATCH(D1262,Lojas!$A$2:$A$11,0))</f>
        <v>Sul</v>
      </c>
      <c r="F1262" s="2" t="s">
        <v>275</v>
      </c>
      <c r="G1262" s="3" t="str">
        <f aca="false">INDEX(Produtos!$B$2:$B$11,MATCH(F1262,Produtos!$A$2:$A$11,0))&amp;" "&amp;INDEX(Produtos!$C$2:$C$11,MATCH(F1262,Produtos!$A$2:$A$11,0))</f>
        <v>Controle de Videogame PS5</v>
      </c>
      <c r="H1262" s="2" t="n">
        <v>1</v>
      </c>
      <c r="I1262" s="5" t="n">
        <f aca="false">INDEX(Produtos!$D$2:$D$11,MATCH(F1262,Produtos!$A$2:$A$11,0))</f>
        <v>379.9</v>
      </c>
      <c r="J1262" s="5" t="n">
        <f aca="false">H1262*I1262</f>
        <v>379.9</v>
      </c>
      <c r="K1262" s="5" t="n">
        <f aca="false">INDEX(Produtos!$E$2:$E$11,MATCH(F1262,Produtos!$A$2:$A$11,0))</f>
        <v>235</v>
      </c>
      <c r="L1262" s="5" t="n">
        <f aca="false">H1262*K1262</f>
        <v>235</v>
      </c>
    </row>
    <row r="1263" customFormat="false" ht="15" hidden="false" customHeight="false" outlineLevel="0" collapsed="false">
      <c r="A1263" s="2" t="s">
        <v>1545</v>
      </c>
      <c r="B1263" s="8" t="n">
        <v>46128</v>
      </c>
      <c r="C1263" s="2" t="s">
        <v>138</v>
      </c>
      <c r="D1263" s="3" t="str">
        <f aca="false">INDEX(Vendedores!$C$2:$C$101,MATCH(C1263,Vendedores!$A$2:$A$101,0))</f>
        <v>L05</v>
      </c>
      <c r="E1263" s="3" t="str">
        <f aca="false">INDEX(Lojas!$E$2:$E$11,MATCH(D1263,Lojas!$A$2:$A$11,0))</f>
        <v>Sul</v>
      </c>
      <c r="F1263" s="2" t="s">
        <v>262</v>
      </c>
      <c r="G1263" s="3" t="str">
        <f aca="false">INDEX(Produtos!$B$2:$B$11,MATCH(F1263,Produtos!$A$2:$A$11,0))&amp;" "&amp;INDEX(Produtos!$C$2:$C$11,MATCH(F1263,Produtos!$A$2:$A$11,0))</f>
        <v>Fone de Ouvido De Celular</v>
      </c>
      <c r="H1263" s="2" t="n">
        <v>1</v>
      </c>
      <c r="I1263" s="5" t="n">
        <f aca="false">INDEX(Produtos!$D$2:$D$11,MATCH(F1263,Produtos!$A$2:$A$11,0))</f>
        <v>59.9</v>
      </c>
      <c r="J1263" s="5" t="n">
        <f aca="false">H1263*I1263</f>
        <v>59.9</v>
      </c>
      <c r="K1263" s="5" t="n">
        <f aca="false">INDEX(Produtos!$E$2:$E$11,MATCH(F1263,Produtos!$A$2:$A$11,0))</f>
        <v>28</v>
      </c>
      <c r="L1263" s="5" t="n">
        <f aca="false">H1263*K1263</f>
        <v>28</v>
      </c>
    </row>
    <row r="1264" customFormat="false" ht="15" hidden="false" customHeight="false" outlineLevel="0" collapsed="false">
      <c r="A1264" s="2" t="s">
        <v>1546</v>
      </c>
      <c r="B1264" s="8" t="n">
        <v>46128</v>
      </c>
      <c r="C1264" s="2" t="s">
        <v>237</v>
      </c>
      <c r="D1264" s="3" t="str">
        <f aca="false">INDEX(Vendedores!$C$2:$C$101,MATCH(C1264,Vendedores!$A$2:$A$101,0))</f>
        <v>L10</v>
      </c>
      <c r="E1264" s="3" t="str">
        <f aca="false">INDEX(Lojas!$E$2:$E$11,MATCH(D1264,Lojas!$A$2:$A$11,0))</f>
        <v>Nordeste</v>
      </c>
      <c r="F1264" s="2" t="s">
        <v>267</v>
      </c>
      <c r="G1264" s="3" t="str">
        <f aca="false">INDEX(Produtos!$B$2:$B$11,MATCH(F1264,Produtos!$A$2:$A$11,0))&amp;" "&amp;INDEX(Produtos!$C$2:$C$11,MATCH(F1264,Produtos!$A$2:$A$11,0))</f>
        <v>Carregador de Celular Tipo C</v>
      </c>
      <c r="H1264" s="2" t="n">
        <v>2</v>
      </c>
      <c r="I1264" s="5" t="n">
        <f aca="false">INDEX(Produtos!$D$2:$D$11,MATCH(F1264,Produtos!$A$2:$A$11,0))</f>
        <v>44.9</v>
      </c>
      <c r="J1264" s="5" t="n">
        <f aca="false">H1264*I1264</f>
        <v>89.8</v>
      </c>
      <c r="K1264" s="5" t="n">
        <f aca="false">INDEX(Produtos!$E$2:$E$11,MATCH(F1264,Produtos!$A$2:$A$11,0))</f>
        <v>18</v>
      </c>
      <c r="L1264" s="5" t="n">
        <f aca="false">H1264*K1264</f>
        <v>36</v>
      </c>
    </row>
    <row r="1265" customFormat="false" ht="15" hidden="false" customHeight="false" outlineLevel="0" collapsed="false">
      <c r="A1265" s="2" t="s">
        <v>1547</v>
      </c>
      <c r="B1265" s="8" t="n">
        <v>46128</v>
      </c>
      <c r="C1265" s="2" t="s">
        <v>112</v>
      </c>
      <c r="D1265" s="3" t="str">
        <f aca="false">INDEX(Vendedores!$C$2:$C$101,MATCH(C1265,Vendedores!$A$2:$A$101,0))</f>
        <v>L04</v>
      </c>
      <c r="E1265" s="3" t="str">
        <f aca="false">INDEX(Lojas!$E$2:$E$11,MATCH(D1265,Lojas!$A$2:$A$11,0))</f>
        <v>Sudeste</v>
      </c>
      <c r="F1265" s="2" t="s">
        <v>273</v>
      </c>
      <c r="G1265" s="3" t="str">
        <f aca="false">INDEX(Produtos!$B$2:$B$11,MATCH(F1265,Produtos!$A$2:$A$11,0))&amp;" "&amp;INDEX(Produtos!$C$2:$C$11,MATCH(F1265,Produtos!$A$2:$A$11,0))</f>
        <v>Controle de Videogame PS4</v>
      </c>
      <c r="H1265" s="2" t="n">
        <v>1</v>
      </c>
      <c r="I1265" s="5" t="n">
        <f aca="false">INDEX(Produtos!$D$2:$D$11,MATCH(F1265,Produtos!$A$2:$A$11,0))</f>
        <v>299.9</v>
      </c>
      <c r="J1265" s="5" t="n">
        <f aca="false">H1265*I1265</f>
        <v>299.9</v>
      </c>
      <c r="K1265" s="5" t="n">
        <f aca="false">INDEX(Produtos!$E$2:$E$11,MATCH(F1265,Produtos!$A$2:$A$11,0))</f>
        <v>175</v>
      </c>
      <c r="L1265" s="5" t="n">
        <f aca="false">H1265*K1265</f>
        <v>175</v>
      </c>
    </row>
    <row r="1266" customFormat="false" ht="15" hidden="false" customHeight="false" outlineLevel="0" collapsed="false">
      <c r="A1266" s="2" t="s">
        <v>1548</v>
      </c>
      <c r="B1266" s="8" t="n">
        <v>46128</v>
      </c>
      <c r="C1266" s="2" t="s">
        <v>211</v>
      </c>
      <c r="D1266" s="3" t="str">
        <f aca="false">INDEX(Vendedores!$C$2:$C$101,MATCH(C1266,Vendedores!$A$2:$A$101,0))</f>
        <v>L09</v>
      </c>
      <c r="E1266" s="3" t="str">
        <f aca="false">INDEX(Lojas!$E$2:$E$11,MATCH(D1266,Lojas!$A$2:$A$11,0))</f>
        <v>Nordeste</v>
      </c>
      <c r="F1266" s="2" t="s">
        <v>267</v>
      </c>
      <c r="G1266" s="3" t="str">
        <f aca="false">INDEX(Produtos!$B$2:$B$11,MATCH(F1266,Produtos!$A$2:$A$11,0))&amp;" "&amp;INDEX(Produtos!$C$2:$C$11,MATCH(F1266,Produtos!$A$2:$A$11,0))</f>
        <v>Carregador de Celular Tipo C</v>
      </c>
      <c r="H1266" s="2" t="n">
        <v>1</v>
      </c>
      <c r="I1266" s="5" t="n">
        <f aca="false">INDEX(Produtos!$D$2:$D$11,MATCH(F1266,Produtos!$A$2:$A$11,0))</f>
        <v>44.9</v>
      </c>
      <c r="J1266" s="5" t="n">
        <f aca="false">H1266*I1266</f>
        <v>44.9</v>
      </c>
      <c r="K1266" s="5" t="n">
        <f aca="false">INDEX(Produtos!$E$2:$E$11,MATCH(F1266,Produtos!$A$2:$A$11,0))</f>
        <v>18</v>
      </c>
      <c r="L1266" s="5" t="n">
        <f aca="false">H1266*K1266</f>
        <v>18</v>
      </c>
    </row>
    <row r="1267" customFormat="false" ht="15" hidden="false" customHeight="false" outlineLevel="0" collapsed="false">
      <c r="A1267" s="2" t="s">
        <v>1549</v>
      </c>
      <c r="B1267" s="8" t="n">
        <v>46128</v>
      </c>
      <c r="C1267" s="2" t="s">
        <v>182</v>
      </c>
      <c r="D1267" s="3" t="str">
        <f aca="false">INDEX(Vendedores!$C$2:$C$101,MATCH(C1267,Vendedores!$A$2:$A$101,0))</f>
        <v>L07</v>
      </c>
      <c r="E1267" s="3" t="str">
        <f aca="false">INDEX(Lojas!$E$2:$E$11,MATCH(D1267,Lojas!$A$2:$A$11,0))</f>
        <v>Sul</v>
      </c>
      <c r="F1267" s="2" t="s">
        <v>262</v>
      </c>
      <c r="G1267" s="3" t="str">
        <f aca="false">INDEX(Produtos!$B$2:$B$11,MATCH(F1267,Produtos!$A$2:$A$11,0))&amp;" "&amp;INDEX(Produtos!$C$2:$C$11,MATCH(F1267,Produtos!$A$2:$A$11,0))</f>
        <v>Fone de Ouvido De Celular</v>
      </c>
      <c r="H1267" s="2" t="n">
        <v>1</v>
      </c>
      <c r="I1267" s="5" t="n">
        <f aca="false">INDEX(Produtos!$D$2:$D$11,MATCH(F1267,Produtos!$A$2:$A$11,0))</f>
        <v>59.9</v>
      </c>
      <c r="J1267" s="5" t="n">
        <f aca="false">H1267*I1267</f>
        <v>59.9</v>
      </c>
      <c r="K1267" s="5" t="n">
        <f aca="false">INDEX(Produtos!$E$2:$E$11,MATCH(F1267,Produtos!$A$2:$A$11,0))</f>
        <v>28</v>
      </c>
      <c r="L1267" s="5" t="n">
        <f aca="false">H1267*K1267</f>
        <v>28</v>
      </c>
    </row>
    <row r="1268" customFormat="false" ht="15" hidden="false" customHeight="false" outlineLevel="0" collapsed="false">
      <c r="A1268" s="2" t="s">
        <v>1550</v>
      </c>
      <c r="B1268" s="8" t="n">
        <v>46128</v>
      </c>
      <c r="C1268" s="2" t="s">
        <v>120</v>
      </c>
      <c r="D1268" s="3" t="str">
        <f aca="false">INDEX(Vendedores!$C$2:$C$101,MATCH(C1268,Vendedores!$A$2:$A$101,0))</f>
        <v>L04</v>
      </c>
      <c r="E1268" s="3" t="str">
        <f aca="false">INDEX(Lojas!$E$2:$E$11,MATCH(D1268,Lojas!$A$2:$A$11,0))</f>
        <v>Sudeste</v>
      </c>
      <c r="F1268" s="2" t="s">
        <v>260</v>
      </c>
      <c r="G1268" s="3" t="str">
        <f aca="false">INDEX(Produtos!$B$2:$B$11,MATCH(F1268,Produtos!$A$2:$A$11,0))&amp;" "&amp;INDEX(Produtos!$C$2:$C$11,MATCH(F1268,Produtos!$A$2:$A$11,0))</f>
        <v>Celular Motorola</v>
      </c>
      <c r="H1268" s="2" t="n">
        <v>1</v>
      </c>
      <c r="I1268" s="5" t="n">
        <f aca="false">INDEX(Produtos!$D$2:$D$11,MATCH(F1268,Produtos!$A$2:$A$11,0))</f>
        <v>1799</v>
      </c>
      <c r="J1268" s="5" t="n">
        <f aca="false">H1268*I1268</f>
        <v>1799</v>
      </c>
      <c r="K1268" s="5" t="n">
        <f aca="false">INDEX(Produtos!$E$2:$E$11,MATCH(F1268,Produtos!$A$2:$A$11,0))</f>
        <v>1250</v>
      </c>
      <c r="L1268" s="5" t="n">
        <f aca="false">H1268*K1268</f>
        <v>1250</v>
      </c>
    </row>
    <row r="1269" customFormat="false" ht="15" hidden="false" customHeight="false" outlineLevel="0" collapsed="false">
      <c r="A1269" s="2" t="s">
        <v>1551</v>
      </c>
      <c r="B1269" s="8" t="n">
        <v>46128</v>
      </c>
      <c r="C1269" s="2" t="s">
        <v>92</v>
      </c>
      <c r="D1269" s="3" t="str">
        <f aca="false">INDEX(Vendedores!$C$2:$C$101,MATCH(C1269,Vendedores!$A$2:$A$101,0))</f>
        <v>L03</v>
      </c>
      <c r="E1269" s="3" t="str">
        <f aca="false">INDEX(Lojas!$E$2:$E$11,MATCH(D1269,Lojas!$A$2:$A$11,0))</f>
        <v>Sudeste</v>
      </c>
      <c r="F1269" s="2" t="s">
        <v>252</v>
      </c>
      <c r="G1269" s="3" t="str">
        <f aca="false">INDEX(Produtos!$B$2:$B$11,MATCH(F1269,Produtos!$A$2:$A$11,0))&amp;" "&amp;INDEX(Produtos!$C$2:$C$11,MATCH(F1269,Produtos!$A$2:$A$11,0))</f>
        <v>Notebook Lenovo</v>
      </c>
      <c r="H1269" s="2" t="n">
        <v>2</v>
      </c>
      <c r="I1269" s="5" t="n">
        <f aca="false">INDEX(Produtos!$D$2:$D$11,MATCH(F1269,Produtos!$A$2:$A$11,0))</f>
        <v>3199</v>
      </c>
      <c r="J1269" s="5" t="n">
        <f aca="false">H1269*I1269</f>
        <v>6398</v>
      </c>
      <c r="K1269" s="5" t="n">
        <f aca="false">INDEX(Produtos!$E$2:$E$11,MATCH(F1269,Produtos!$A$2:$A$11,0))</f>
        <v>2350</v>
      </c>
      <c r="L1269" s="5" t="n">
        <f aca="false">H1269*K1269</f>
        <v>4700</v>
      </c>
    </row>
    <row r="1270" customFormat="false" ht="15" hidden="false" customHeight="false" outlineLevel="0" collapsed="false">
      <c r="A1270" s="2" t="s">
        <v>1552</v>
      </c>
      <c r="B1270" s="8" t="n">
        <v>46128</v>
      </c>
      <c r="C1270" s="2" t="s">
        <v>160</v>
      </c>
      <c r="D1270" s="3" t="str">
        <f aca="false">INDEX(Vendedores!$C$2:$C$101,MATCH(C1270,Vendedores!$A$2:$A$101,0))</f>
        <v>L06</v>
      </c>
      <c r="E1270" s="3" t="str">
        <f aca="false">INDEX(Lojas!$E$2:$E$11,MATCH(D1270,Lojas!$A$2:$A$11,0))</f>
        <v>Sul</v>
      </c>
      <c r="F1270" s="2" t="s">
        <v>257</v>
      </c>
      <c r="G1270" s="3" t="str">
        <f aca="false">INDEX(Produtos!$B$2:$B$11,MATCH(F1270,Produtos!$A$2:$A$11,0))&amp;" "&amp;INDEX(Produtos!$C$2:$C$11,MATCH(F1270,Produtos!$A$2:$A$11,0))</f>
        <v>Celular Samsung</v>
      </c>
      <c r="H1270" s="2" t="n">
        <v>2</v>
      </c>
      <c r="I1270" s="5" t="n">
        <f aca="false">INDEX(Produtos!$D$2:$D$11,MATCH(F1270,Produtos!$A$2:$A$11,0))</f>
        <v>2499</v>
      </c>
      <c r="J1270" s="5" t="n">
        <f aca="false">H1270*I1270</f>
        <v>4998</v>
      </c>
      <c r="K1270" s="5" t="n">
        <f aca="false">INDEX(Produtos!$E$2:$E$11,MATCH(F1270,Produtos!$A$2:$A$11,0))</f>
        <v>1800</v>
      </c>
      <c r="L1270" s="5" t="n">
        <f aca="false">H1270*K1270</f>
        <v>3600</v>
      </c>
    </row>
    <row r="1271" customFormat="false" ht="15" hidden="false" customHeight="false" outlineLevel="0" collapsed="false">
      <c r="A1271" s="2" t="s">
        <v>1553</v>
      </c>
      <c r="B1271" s="8" t="n">
        <v>46128</v>
      </c>
      <c r="C1271" s="2" t="s">
        <v>72</v>
      </c>
      <c r="D1271" s="3" t="str">
        <f aca="false">INDEX(Vendedores!$C$2:$C$101,MATCH(C1271,Vendedores!$A$2:$A$101,0))</f>
        <v>L02</v>
      </c>
      <c r="E1271" s="3" t="str">
        <f aca="false">INDEX(Lojas!$E$2:$E$11,MATCH(D1271,Lojas!$A$2:$A$11,0))</f>
        <v>Sudeste</v>
      </c>
      <c r="F1271" s="2" t="s">
        <v>275</v>
      </c>
      <c r="G1271" s="3" t="str">
        <f aca="false">INDEX(Produtos!$B$2:$B$11,MATCH(F1271,Produtos!$A$2:$A$11,0))&amp;" "&amp;INDEX(Produtos!$C$2:$C$11,MATCH(F1271,Produtos!$A$2:$A$11,0))</f>
        <v>Controle de Videogame PS5</v>
      </c>
      <c r="H1271" s="2" t="n">
        <v>1</v>
      </c>
      <c r="I1271" s="5" t="n">
        <f aca="false">INDEX(Produtos!$D$2:$D$11,MATCH(F1271,Produtos!$A$2:$A$11,0))</f>
        <v>379.9</v>
      </c>
      <c r="J1271" s="5" t="n">
        <f aca="false">H1271*I1271</f>
        <v>379.9</v>
      </c>
      <c r="K1271" s="5" t="n">
        <f aca="false">INDEX(Produtos!$E$2:$E$11,MATCH(F1271,Produtos!$A$2:$A$11,0))</f>
        <v>235</v>
      </c>
      <c r="L1271" s="5" t="n">
        <f aca="false">H1271*K1271</f>
        <v>235</v>
      </c>
    </row>
    <row r="1272" customFormat="false" ht="15" hidden="false" customHeight="false" outlineLevel="0" collapsed="false">
      <c r="A1272" s="2" t="s">
        <v>1554</v>
      </c>
      <c r="B1272" s="8" t="n">
        <v>46128</v>
      </c>
      <c r="C1272" s="2" t="s">
        <v>213</v>
      </c>
      <c r="D1272" s="3" t="str">
        <f aca="false">INDEX(Vendedores!$C$2:$C$101,MATCH(C1272,Vendedores!$A$2:$A$101,0))</f>
        <v>L09</v>
      </c>
      <c r="E1272" s="3" t="str">
        <f aca="false">INDEX(Lojas!$E$2:$E$11,MATCH(D1272,Lojas!$A$2:$A$11,0))</f>
        <v>Nordeste</v>
      </c>
      <c r="F1272" s="2" t="s">
        <v>267</v>
      </c>
      <c r="G1272" s="3" t="str">
        <f aca="false">INDEX(Produtos!$B$2:$B$11,MATCH(F1272,Produtos!$A$2:$A$11,0))&amp;" "&amp;INDEX(Produtos!$C$2:$C$11,MATCH(F1272,Produtos!$A$2:$A$11,0))</f>
        <v>Carregador de Celular Tipo C</v>
      </c>
      <c r="H1272" s="2" t="n">
        <v>1</v>
      </c>
      <c r="I1272" s="5" t="n">
        <f aca="false">INDEX(Produtos!$D$2:$D$11,MATCH(F1272,Produtos!$A$2:$A$11,0))</f>
        <v>44.9</v>
      </c>
      <c r="J1272" s="5" t="n">
        <f aca="false">H1272*I1272</f>
        <v>44.9</v>
      </c>
      <c r="K1272" s="5" t="n">
        <f aca="false">INDEX(Produtos!$E$2:$E$11,MATCH(F1272,Produtos!$A$2:$A$11,0))</f>
        <v>18</v>
      </c>
      <c r="L1272" s="5" t="n">
        <f aca="false">H1272*K1272</f>
        <v>18</v>
      </c>
    </row>
    <row r="1273" customFormat="false" ht="15" hidden="false" customHeight="false" outlineLevel="0" collapsed="false">
      <c r="A1273" s="2" t="s">
        <v>1555</v>
      </c>
      <c r="B1273" s="8" t="n">
        <v>46128</v>
      </c>
      <c r="C1273" s="2" t="s">
        <v>104</v>
      </c>
      <c r="D1273" s="3" t="str">
        <f aca="false">INDEX(Vendedores!$C$2:$C$101,MATCH(C1273,Vendedores!$A$2:$A$101,0))</f>
        <v>L03</v>
      </c>
      <c r="E1273" s="3" t="str">
        <f aca="false">INDEX(Lojas!$E$2:$E$11,MATCH(D1273,Lojas!$A$2:$A$11,0))</f>
        <v>Sudeste</v>
      </c>
      <c r="F1273" s="2" t="s">
        <v>275</v>
      </c>
      <c r="G1273" s="3" t="str">
        <f aca="false">INDEX(Produtos!$B$2:$B$11,MATCH(F1273,Produtos!$A$2:$A$11,0))&amp;" "&amp;INDEX(Produtos!$C$2:$C$11,MATCH(F1273,Produtos!$A$2:$A$11,0))</f>
        <v>Controle de Videogame PS5</v>
      </c>
      <c r="H1273" s="2" t="n">
        <v>1</v>
      </c>
      <c r="I1273" s="5" t="n">
        <f aca="false">INDEX(Produtos!$D$2:$D$11,MATCH(F1273,Produtos!$A$2:$A$11,0))</f>
        <v>379.9</v>
      </c>
      <c r="J1273" s="5" t="n">
        <f aca="false">H1273*I1273</f>
        <v>379.9</v>
      </c>
      <c r="K1273" s="5" t="n">
        <f aca="false">INDEX(Produtos!$E$2:$E$11,MATCH(F1273,Produtos!$A$2:$A$11,0))</f>
        <v>235</v>
      </c>
      <c r="L1273" s="5" t="n">
        <f aca="false">H1273*K1273</f>
        <v>235</v>
      </c>
    </row>
    <row r="1274" customFormat="false" ht="15" hidden="false" customHeight="false" outlineLevel="0" collapsed="false">
      <c r="A1274" s="2" t="s">
        <v>1556</v>
      </c>
      <c r="B1274" s="8" t="n">
        <v>46128</v>
      </c>
      <c r="C1274" s="2" t="s">
        <v>158</v>
      </c>
      <c r="D1274" s="3" t="str">
        <f aca="false">INDEX(Vendedores!$C$2:$C$101,MATCH(C1274,Vendedores!$A$2:$A$101,0))</f>
        <v>L06</v>
      </c>
      <c r="E1274" s="3" t="str">
        <f aca="false">INDEX(Lojas!$E$2:$E$11,MATCH(D1274,Lojas!$A$2:$A$11,0))</f>
        <v>Sul</v>
      </c>
      <c r="F1274" s="2" t="s">
        <v>262</v>
      </c>
      <c r="G1274" s="3" t="str">
        <f aca="false">INDEX(Produtos!$B$2:$B$11,MATCH(F1274,Produtos!$A$2:$A$11,0))&amp;" "&amp;INDEX(Produtos!$C$2:$C$11,MATCH(F1274,Produtos!$A$2:$A$11,0))</f>
        <v>Fone de Ouvido De Celular</v>
      </c>
      <c r="H1274" s="2" t="n">
        <v>2</v>
      </c>
      <c r="I1274" s="5" t="n">
        <f aca="false">INDEX(Produtos!$D$2:$D$11,MATCH(F1274,Produtos!$A$2:$A$11,0))</f>
        <v>59.9</v>
      </c>
      <c r="J1274" s="5" t="n">
        <f aca="false">H1274*I1274</f>
        <v>119.8</v>
      </c>
      <c r="K1274" s="5" t="n">
        <f aca="false">INDEX(Produtos!$E$2:$E$11,MATCH(F1274,Produtos!$A$2:$A$11,0))</f>
        <v>28</v>
      </c>
      <c r="L1274" s="5" t="n">
        <f aca="false">H1274*K1274</f>
        <v>56</v>
      </c>
    </row>
    <row r="1275" customFormat="false" ht="15" hidden="false" customHeight="false" outlineLevel="0" collapsed="false">
      <c r="A1275" s="2" t="s">
        <v>1557</v>
      </c>
      <c r="B1275" s="8" t="n">
        <v>46128</v>
      </c>
      <c r="C1275" s="2" t="s">
        <v>193</v>
      </c>
      <c r="D1275" s="3" t="str">
        <f aca="false">INDEX(Vendedores!$C$2:$C$101,MATCH(C1275,Vendedores!$A$2:$A$101,0))</f>
        <v>L08</v>
      </c>
      <c r="E1275" s="3" t="str">
        <f aca="false">INDEX(Lojas!$E$2:$E$11,MATCH(D1275,Lojas!$A$2:$A$11,0))</f>
        <v>Nordeste</v>
      </c>
      <c r="F1275" s="2" t="s">
        <v>260</v>
      </c>
      <c r="G1275" s="3" t="str">
        <f aca="false">INDEX(Produtos!$B$2:$B$11,MATCH(F1275,Produtos!$A$2:$A$11,0))&amp;" "&amp;INDEX(Produtos!$C$2:$C$11,MATCH(F1275,Produtos!$A$2:$A$11,0))</f>
        <v>Celular Motorola</v>
      </c>
      <c r="H1275" s="2" t="n">
        <v>1</v>
      </c>
      <c r="I1275" s="5" t="n">
        <f aca="false">INDEX(Produtos!$D$2:$D$11,MATCH(F1275,Produtos!$A$2:$A$11,0))</f>
        <v>1799</v>
      </c>
      <c r="J1275" s="5" t="n">
        <f aca="false">H1275*I1275</f>
        <v>1799</v>
      </c>
      <c r="K1275" s="5" t="n">
        <f aca="false">INDEX(Produtos!$E$2:$E$11,MATCH(F1275,Produtos!$A$2:$A$11,0))</f>
        <v>1250</v>
      </c>
      <c r="L1275" s="5" t="n">
        <f aca="false">H1275*K1275</f>
        <v>1250</v>
      </c>
    </row>
    <row r="1276" customFormat="false" ht="15" hidden="false" customHeight="false" outlineLevel="0" collapsed="false">
      <c r="A1276" s="2" t="s">
        <v>1558</v>
      </c>
      <c r="B1276" s="8" t="n">
        <v>46128</v>
      </c>
      <c r="C1276" s="2" t="s">
        <v>146</v>
      </c>
      <c r="D1276" s="3" t="str">
        <f aca="false">INDEX(Vendedores!$C$2:$C$101,MATCH(C1276,Vendedores!$A$2:$A$101,0))</f>
        <v>L05</v>
      </c>
      <c r="E1276" s="3" t="str">
        <f aca="false">INDEX(Lojas!$E$2:$E$11,MATCH(D1276,Lojas!$A$2:$A$11,0))</f>
        <v>Sul</v>
      </c>
      <c r="F1276" s="2" t="s">
        <v>262</v>
      </c>
      <c r="G1276" s="3" t="str">
        <f aca="false">INDEX(Produtos!$B$2:$B$11,MATCH(F1276,Produtos!$A$2:$A$11,0))&amp;" "&amp;INDEX(Produtos!$C$2:$C$11,MATCH(F1276,Produtos!$A$2:$A$11,0))</f>
        <v>Fone de Ouvido De Celular</v>
      </c>
      <c r="H1276" s="2" t="n">
        <v>1</v>
      </c>
      <c r="I1276" s="5" t="n">
        <f aca="false">INDEX(Produtos!$D$2:$D$11,MATCH(F1276,Produtos!$A$2:$A$11,0))</f>
        <v>59.9</v>
      </c>
      <c r="J1276" s="5" t="n">
        <f aca="false">H1276*I1276</f>
        <v>59.9</v>
      </c>
      <c r="K1276" s="5" t="n">
        <f aca="false">INDEX(Produtos!$E$2:$E$11,MATCH(F1276,Produtos!$A$2:$A$11,0))</f>
        <v>28</v>
      </c>
      <c r="L1276" s="5" t="n">
        <f aca="false">H1276*K1276</f>
        <v>28</v>
      </c>
    </row>
    <row r="1277" customFormat="false" ht="15" hidden="false" customHeight="false" outlineLevel="0" collapsed="false">
      <c r="A1277" s="2" t="s">
        <v>1559</v>
      </c>
      <c r="B1277" s="8" t="n">
        <v>46128</v>
      </c>
      <c r="C1277" s="2" t="s">
        <v>76</v>
      </c>
      <c r="D1277" s="3" t="str">
        <f aca="false">INDEX(Vendedores!$C$2:$C$101,MATCH(C1277,Vendedores!$A$2:$A$101,0))</f>
        <v>L02</v>
      </c>
      <c r="E1277" s="3" t="str">
        <f aca="false">INDEX(Lojas!$E$2:$E$11,MATCH(D1277,Lojas!$A$2:$A$11,0))</f>
        <v>Sudeste</v>
      </c>
      <c r="F1277" s="2" t="s">
        <v>257</v>
      </c>
      <c r="G1277" s="3" t="str">
        <f aca="false">INDEX(Produtos!$B$2:$B$11,MATCH(F1277,Produtos!$A$2:$A$11,0))&amp;" "&amp;INDEX(Produtos!$C$2:$C$11,MATCH(F1277,Produtos!$A$2:$A$11,0))</f>
        <v>Celular Samsung</v>
      </c>
      <c r="H1277" s="2" t="n">
        <v>1</v>
      </c>
      <c r="I1277" s="5" t="n">
        <f aca="false">INDEX(Produtos!$D$2:$D$11,MATCH(F1277,Produtos!$A$2:$A$11,0))</f>
        <v>2499</v>
      </c>
      <c r="J1277" s="5" t="n">
        <f aca="false">H1277*I1277</f>
        <v>2499</v>
      </c>
      <c r="K1277" s="5" t="n">
        <f aca="false">INDEX(Produtos!$E$2:$E$11,MATCH(F1277,Produtos!$A$2:$A$11,0))</f>
        <v>1800</v>
      </c>
      <c r="L1277" s="5" t="n">
        <f aca="false">H1277*K1277</f>
        <v>1800</v>
      </c>
    </row>
    <row r="1278" customFormat="false" ht="15" hidden="false" customHeight="false" outlineLevel="0" collapsed="false">
      <c r="A1278" s="2" t="s">
        <v>1560</v>
      </c>
      <c r="B1278" s="8" t="n">
        <v>46128</v>
      </c>
      <c r="C1278" s="2" t="s">
        <v>148</v>
      </c>
      <c r="D1278" s="3" t="str">
        <f aca="false">INDEX(Vendedores!$C$2:$C$101,MATCH(C1278,Vendedores!$A$2:$A$101,0))</f>
        <v>L06</v>
      </c>
      <c r="E1278" s="3" t="str">
        <f aca="false">INDEX(Lojas!$E$2:$E$11,MATCH(D1278,Lojas!$A$2:$A$11,0))</f>
        <v>Sul</v>
      </c>
      <c r="F1278" s="2" t="s">
        <v>270</v>
      </c>
      <c r="G1278" s="3" t="str">
        <f aca="false">INDEX(Produtos!$B$2:$B$11,MATCH(F1278,Produtos!$A$2:$A$11,0))&amp;" "&amp;INDEX(Produtos!$C$2:$C$11,MATCH(F1278,Produtos!$A$2:$A$11,0))</f>
        <v>Controle de Videogame Xbox</v>
      </c>
      <c r="H1278" s="2" t="n">
        <v>1</v>
      </c>
      <c r="I1278" s="5" t="n">
        <f aca="false">INDEX(Produtos!$D$2:$D$11,MATCH(F1278,Produtos!$A$2:$A$11,0))</f>
        <v>349.9</v>
      </c>
      <c r="J1278" s="5" t="n">
        <f aca="false">H1278*I1278</f>
        <v>349.9</v>
      </c>
      <c r="K1278" s="5" t="n">
        <f aca="false">INDEX(Produtos!$E$2:$E$11,MATCH(F1278,Produtos!$A$2:$A$11,0))</f>
        <v>215</v>
      </c>
      <c r="L1278" s="5" t="n">
        <f aca="false">H1278*K1278</f>
        <v>215</v>
      </c>
    </row>
    <row r="1279" customFormat="false" ht="15" hidden="false" customHeight="false" outlineLevel="0" collapsed="false">
      <c r="A1279" s="2" t="s">
        <v>1561</v>
      </c>
      <c r="B1279" s="8" t="n">
        <v>46129</v>
      </c>
      <c r="C1279" s="2" t="s">
        <v>219</v>
      </c>
      <c r="D1279" s="3" t="str">
        <f aca="false">INDEX(Vendedores!$C$2:$C$101,MATCH(C1279,Vendedores!$A$2:$A$101,0))</f>
        <v>L09</v>
      </c>
      <c r="E1279" s="3" t="str">
        <f aca="false">INDEX(Lojas!$E$2:$E$11,MATCH(D1279,Lojas!$A$2:$A$11,0))</f>
        <v>Nordeste</v>
      </c>
      <c r="F1279" s="2" t="s">
        <v>267</v>
      </c>
      <c r="G1279" s="3" t="str">
        <f aca="false">INDEX(Produtos!$B$2:$B$11,MATCH(F1279,Produtos!$A$2:$A$11,0))&amp;" "&amp;INDEX(Produtos!$C$2:$C$11,MATCH(F1279,Produtos!$A$2:$A$11,0))</f>
        <v>Carregador de Celular Tipo C</v>
      </c>
      <c r="H1279" s="2" t="n">
        <v>2</v>
      </c>
      <c r="I1279" s="5" t="n">
        <f aca="false">INDEX(Produtos!$D$2:$D$11,MATCH(F1279,Produtos!$A$2:$A$11,0))</f>
        <v>44.9</v>
      </c>
      <c r="J1279" s="5" t="n">
        <f aca="false">H1279*I1279</f>
        <v>89.8</v>
      </c>
      <c r="K1279" s="5" t="n">
        <f aca="false">INDEX(Produtos!$E$2:$E$11,MATCH(F1279,Produtos!$A$2:$A$11,0))</f>
        <v>18</v>
      </c>
      <c r="L1279" s="5" t="n">
        <f aca="false">H1279*K1279</f>
        <v>36</v>
      </c>
    </row>
    <row r="1280" customFormat="false" ht="15" hidden="false" customHeight="false" outlineLevel="0" collapsed="false">
      <c r="A1280" s="2" t="s">
        <v>1562</v>
      </c>
      <c r="B1280" s="8" t="n">
        <v>46129</v>
      </c>
      <c r="C1280" s="2" t="s">
        <v>84</v>
      </c>
      <c r="D1280" s="3" t="str">
        <f aca="false">INDEX(Vendedores!$C$2:$C$101,MATCH(C1280,Vendedores!$A$2:$A$101,0))</f>
        <v>L02</v>
      </c>
      <c r="E1280" s="3" t="str">
        <f aca="false">INDEX(Lojas!$E$2:$E$11,MATCH(D1280,Lojas!$A$2:$A$11,0))</f>
        <v>Sudeste</v>
      </c>
      <c r="F1280" s="2" t="s">
        <v>273</v>
      </c>
      <c r="G1280" s="3" t="str">
        <f aca="false">INDEX(Produtos!$B$2:$B$11,MATCH(F1280,Produtos!$A$2:$A$11,0))&amp;" "&amp;INDEX(Produtos!$C$2:$C$11,MATCH(F1280,Produtos!$A$2:$A$11,0))</f>
        <v>Controle de Videogame PS4</v>
      </c>
      <c r="H1280" s="2" t="n">
        <v>1</v>
      </c>
      <c r="I1280" s="5" t="n">
        <f aca="false">INDEX(Produtos!$D$2:$D$11,MATCH(F1280,Produtos!$A$2:$A$11,0))</f>
        <v>299.9</v>
      </c>
      <c r="J1280" s="5" t="n">
        <f aca="false">H1280*I1280</f>
        <v>299.9</v>
      </c>
      <c r="K1280" s="5" t="n">
        <f aca="false">INDEX(Produtos!$E$2:$E$11,MATCH(F1280,Produtos!$A$2:$A$11,0))</f>
        <v>175</v>
      </c>
      <c r="L1280" s="5" t="n">
        <f aca="false">H1280*K1280</f>
        <v>175</v>
      </c>
    </row>
    <row r="1281" customFormat="false" ht="15" hidden="false" customHeight="false" outlineLevel="0" collapsed="false">
      <c r="A1281" s="2" t="s">
        <v>1563</v>
      </c>
      <c r="B1281" s="8" t="n">
        <v>46129</v>
      </c>
      <c r="C1281" s="2" t="s">
        <v>215</v>
      </c>
      <c r="D1281" s="3" t="str">
        <f aca="false">INDEX(Vendedores!$C$2:$C$101,MATCH(C1281,Vendedores!$A$2:$A$101,0))</f>
        <v>L09</v>
      </c>
      <c r="E1281" s="3" t="str">
        <f aca="false">INDEX(Lojas!$E$2:$E$11,MATCH(D1281,Lojas!$A$2:$A$11,0))</f>
        <v>Nordeste</v>
      </c>
      <c r="F1281" s="2" t="s">
        <v>260</v>
      </c>
      <c r="G1281" s="3" t="str">
        <f aca="false">INDEX(Produtos!$B$2:$B$11,MATCH(F1281,Produtos!$A$2:$A$11,0))&amp;" "&amp;INDEX(Produtos!$C$2:$C$11,MATCH(F1281,Produtos!$A$2:$A$11,0))</f>
        <v>Celular Motorola</v>
      </c>
      <c r="H1281" s="2" t="n">
        <v>1</v>
      </c>
      <c r="I1281" s="5" t="n">
        <f aca="false">INDEX(Produtos!$D$2:$D$11,MATCH(F1281,Produtos!$A$2:$A$11,0))</f>
        <v>1799</v>
      </c>
      <c r="J1281" s="5" t="n">
        <f aca="false">H1281*I1281</f>
        <v>1799</v>
      </c>
      <c r="K1281" s="5" t="n">
        <f aca="false">INDEX(Produtos!$E$2:$E$11,MATCH(F1281,Produtos!$A$2:$A$11,0))</f>
        <v>1250</v>
      </c>
      <c r="L1281" s="5" t="n">
        <f aca="false">H1281*K1281</f>
        <v>1250</v>
      </c>
    </row>
    <row r="1282" customFormat="false" ht="15" hidden="false" customHeight="false" outlineLevel="0" collapsed="false">
      <c r="A1282" s="2" t="s">
        <v>1564</v>
      </c>
      <c r="B1282" s="8" t="n">
        <v>46129</v>
      </c>
      <c r="C1282" s="2" t="s">
        <v>64</v>
      </c>
      <c r="D1282" s="3" t="str">
        <f aca="false">INDEX(Vendedores!$C$2:$C$101,MATCH(C1282,Vendedores!$A$2:$A$101,0))</f>
        <v>L01</v>
      </c>
      <c r="E1282" s="3" t="str">
        <f aca="false">INDEX(Lojas!$E$2:$E$11,MATCH(D1282,Lojas!$A$2:$A$11,0))</f>
        <v>Sudeste</v>
      </c>
      <c r="F1282" s="2" t="s">
        <v>262</v>
      </c>
      <c r="G1282" s="3" t="str">
        <f aca="false">INDEX(Produtos!$B$2:$B$11,MATCH(F1282,Produtos!$A$2:$A$11,0))&amp;" "&amp;INDEX(Produtos!$C$2:$C$11,MATCH(F1282,Produtos!$A$2:$A$11,0))</f>
        <v>Fone de Ouvido De Celular</v>
      </c>
      <c r="H1282" s="2" t="n">
        <v>1</v>
      </c>
      <c r="I1282" s="5" t="n">
        <f aca="false">INDEX(Produtos!$D$2:$D$11,MATCH(F1282,Produtos!$A$2:$A$11,0))</f>
        <v>59.9</v>
      </c>
      <c r="J1282" s="5" t="n">
        <f aca="false">H1282*I1282</f>
        <v>59.9</v>
      </c>
      <c r="K1282" s="5" t="n">
        <f aca="false">INDEX(Produtos!$E$2:$E$11,MATCH(F1282,Produtos!$A$2:$A$11,0))</f>
        <v>28</v>
      </c>
      <c r="L1282" s="5" t="n">
        <f aca="false">H1282*K1282</f>
        <v>28</v>
      </c>
    </row>
    <row r="1283" customFormat="false" ht="15" hidden="false" customHeight="false" outlineLevel="0" collapsed="false">
      <c r="A1283" s="2" t="s">
        <v>1565</v>
      </c>
      <c r="B1283" s="8" t="n">
        <v>46129</v>
      </c>
      <c r="C1283" s="2" t="s">
        <v>122</v>
      </c>
      <c r="D1283" s="3" t="str">
        <f aca="false">INDEX(Vendedores!$C$2:$C$101,MATCH(C1283,Vendedores!$A$2:$A$101,0))</f>
        <v>L04</v>
      </c>
      <c r="E1283" s="3" t="str">
        <f aca="false">INDEX(Lojas!$E$2:$E$11,MATCH(D1283,Lojas!$A$2:$A$11,0))</f>
        <v>Sudeste</v>
      </c>
      <c r="F1283" s="2" t="s">
        <v>257</v>
      </c>
      <c r="G1283" s="3" t="str">
        <f aca="false">INDEX(Produtos!$B$2:$B$11,MATCH(F1283,Produtos!$A$2:$A$11,0))&amp;" "&amp;INDEX(Produtos!$C$2:$C$11,MATCH(F1283,Produtos!$A$2:$A$11,0))</f>
        <v>Celular Samsung</v>
      </c>
      <c r="H1283" s="2" t="n">
        <v>1</v>
      </c>
      <c r="I1283" s="5" t="n">
        <f aca="false">INDEX(Produtos!$D$2:$D$11,MATCH(F1283,Produtos!$A$2:$A$11,0))</f>
        <v>2499</v>
      </c>
      <c r="J1283" s="5" t="n">
        <f aca="false">H1283*I1283</f>
        <v>2499</v>
      </c>
      <c r="K1283" s="5" t="n">
        <f aca="false">INDEX(Produtos!$E$2:$E$11,MATCH(F1283,Produtos!$A$2:$A$11,0))</f>
        <v>1800</v>
      </c>
      <c r="L1283" s="5" t="n">
        <f aca="false">H1283*K1283</f>
        <v>1800</v>
      </c>
    </row>
    <row r="1284" customFormat="false" ht="15" hidden="false" customHeight="false" outlineLevel="0" collapsed="false">
      <c r="A1284" s="2" t="s">
        <v>1566</v>
      </c>
      <c r="B1284" s="8" t="n">
        <v>46129</v>
      </c>
      <c r="C1284" s="2" t="s">
        <v>104</v>
      </c>
      <c r="D1284" s="3" t="str">
        <f aca="false">INDEX(Vendedores!$C$2:$C$101,MATCH(C1284,Vendedores!$A$2:$A$101,0))</f>
        <v>L03</v>
      </c>
      <c r="E1284" s="3" t="str">
        <f aca="false">INDEX(Lojas!$E$2:$E$11,MATCH(D1284,Lojas!$A$2:$A$11,0))</f>
        <v>Sudeste</v>
      </c>
      <c r="F1284" s="2" t="s">
        <v>275</v>
      </c>
      <c r="G1284" s="3" t="str">
        <f aca="false">INDEX(Produtos!$B$2:$B$11,MATCH(F1284,Produtos!$A$2:$A$11,0))&amp;" "&amp;INDEX(Produtos!$C$2:$C$11,MATCH(F1284,Produtos!$A$2:$A$11,0))</f>
        <v>Controle de Videogame PS5</v>
      </c>
      <c r="H1284" s="2" t="n">
        <v>2</v>
      </c>
      <c r="I1284" s="5" t="n">
        <f aca="false">INDEX(Produtos!$D$2:$D$11,MATCH(F1284,Produtos!$A$2:$A$11,0))</f>
        <v>379.9</v>
      </c>
      <c r="J1284" s="5" t="n">
        <f aca="false">H1284*I1284</f>
        <v>759.8</v>
      </c>
      <c r="K1284" s="5" t="n">
        <f aca="false">INDEX(Produtos!$E$2:$E$11,MATCH(F1284,Produtos!$A$2:$A$11,0))</f>
        <v>235</v>
      </c>
      <c r="L1284" s="5" t="n">
        <f aca="false">H1284*K1284</f>
        <v>470</v>
      </c>
    </row>
    <row r="1285" customFormat="false" ht="15" hidden="false" customHeight="false" outlineLevel="0" collapsed="false">
      <c r="A1285" s="2" t="s">
        <v>1567</v>
      </c>
      <c r="B1285" s="8" t="n">
        <v>46129</v>
      </c>
      <c r="C1285" s="2" t="s">
        <v>176</v>
      </c>
      <c r="D1285" s="3" t="str">
        <f aca="false">INDEX(Vendedores!$C$2:$C$101,MATCH(C1285,Vendedores!$A$2:$A$101,0))</f>
        <v>L07</v>
      </c>
      <c r="E1285" s="3" t="str">
        <f aca="false">INDEX(Lojas!$E$2:$E$11,MATCH(D1285,Lojas!$A$2:$A$11,0))</f>
        <v>Sul</v>
      </c>
      <c r="F1285" s="2" t="s">
        <v>262</v>
      </c>
      <c r="G1285" s="3" t="str">
        <f aca="false">INDEX(Produtos!$B$2:$B$11,MATCH(F1285,Produtos!$A$2:$A$11,0))&amp;" "&amp;INDEX(Produtos!$C$2:$C$11,MATCH(F1285,Produtos!$A$2:$A$11,0))</f>
        <v>Fone de Ouvido De Celular</v>
      </c>
      <c r="H1285" s="2" t="n">
        <v>1</v>
      </c>
      <c r="I1285" s="5" t="n">
        <f aca="false">INDEX(Produtos!$D$2:$D$11,MATCH(F1285,Produtos!$A$2:$A$11,0))</f>
        <v>59.9</v>
      </c>
      <c r="J1285" s="5" t="n">
        <f aca="false">H1285*I1285</f>
        <v>59.9</v>
      </c>
      <c r="K1285" s="5" t="n">
        <f aca="false">INDEX(Produtos!$E$2:$E$11,MATCH(F1285,Produtos!$A$2:$A$11,0))</f>
        <v>28</v>
      </c>
      <c r="L1285" s="5" t="n">
        <f aca="false">H1285*K1285</f>
        <v>28</v>
      </c>
    </row>
    <row r="1286" customFormat="false" ht="15" hidden="false" customHeight="false" outlineLevel="0" collapsed="false">
      <c r="A1286" s="2" t="s">
        <v>1568</v>
      </c>
      <c r="B1286" s="8" t="n">
        <v>46129</v>
      </c>
      <c r="C1286" s="2" t="s">
        <v>96</v>
      </c>
      <c r="D1286" s="3" t="str">
        <f aca="false">INDEX(Vendedores!$C$2:$C$101,MATCH(C1286,Vendedores!$A$2:$A$101,0))</f>
        <v>L03</v>
      </c>
      <c r="E1286" s="3" t="str">
        <f aca="false">INDEX(Lojas!$E$2:$E$11,MATCH(D1286,Lojas!$A$2:$A$11,0))</f>
        <v>Sudeste</v>
      </c>
      <c r="F1286" s="2" t="s">
        <v>275</v>
      </c>
      <c r="G1286" s="3" t="str">
        <f aca="false">INDEX(Produtos!$B$2:$B$11,MATCH(F1286,Produtos!$A$2:$A$11,0))&amp;" "&amp;INDEX(Produtos!$C$2:$C$11,MATCH(F1286,Produtos!$A$2:$A$11,0))</f>
        <v>Controle de Videogame PS5</v>
      </c>
      <c r="H1286" s="2" t="n">
        <v>1</v>
      </c>
      <c r="I1286" s="5" t="n">
        <f aca="false">INDEX(Produtos!$D$2:$D$11,MATCH(F1286,Produtos!$A$2:$A$11,0))</f>
        <v>379.9</v>
      </c>
      <c r="J1286" s="5" t="n">
        <f aca="false">H1286*I1286</f>
        <v>379.9</v>
      </c>
      <c r="K1286" s="5" t="n">
        <f aca="false">INDEX(Produtos!$E$2:$E$11,MATCH(F1286,Produtos!$A$2:$A$11,0))</f>
        <v>235</v>
      </c>
      <c r="L1286" s="5" t="n">
        <f aca="false">H1286*K1286</f>
        <v>235</v>
      </c>
    </row>
    <row r="1287" customFormat="false" ht="15" hidden="false" customHeight="false" outlineLevel="0" collapsed="false">
      <c r="A1287" s="2" t="s">
        <v>1569</v>
      </c>
      <c r="B1287" s="8" t="n">
        <v>46130</v>
      </c>
      <c r="C1287" s="2" t="s">
        <v>94</v>
      </c>
      <c r="D1287" s="3" t="str">
        <f aca="false">INDEX(Vendedores!$C$2:$C$101,MATCH(C1287,Vendedores!$A$2:$A$101,0))</f>
        <v>L03</v>
      </c>
      <c r="E1287" s="3" t="str">
        <f aca="false">INDEX(Lojas!$E$2:$E$11,MATCH(D1287,Lojas!$A$2:$A$11,0))</f>
        <v>Sudeste</v>
      </c>
      <c r="F1287" s="2" t="s">
        <v>273</v>
      </c>
      <c r="G1287" s="3" t="str">
        <f aca="false">INDEX(Produtos!$B$2:$B$11,MATCH(F1287,Produtos!$A$2:$A$11,0))&amp;" "&amp;INDEX(Produtos!$C$2:$C$11,MATCH(F1287,Produtos!$A$2:$A$11,0))</f>
        <v>Controle de Videogame PS4</v>
      </c>
      <c r="H1287" s="2" t="n">
        <v>1</v>
      </c>
      <c r="I1287" s="5" t="n">
        <f aca="false">INDEX(Produtos!$D$2:$D$11,MATCH(F1287,Produtos!$A$2:$A$11,0))</f>
        <v>299.9</v>
      </c>
      <c r="J1287" s="5" t="n">
        <f aca="false">H1287*I1287</f>
        <v>299.9</v>
      </c>
      <c r="K1287" s="5" t="n">
        <f aca="false">INDEX(Produtos!$E$2:$E$11,MATCH(F1287,Produtos!$A$2:$A$11,0))</f>
        <v>175</v>
      </c>
      <c r="L1287" s="5" t="n">
        <f aca="false">H1287*K1287</f>
        <v>175</v>
      </c>
    </row>
    <row r="1288" customFormat="false" ht="15" hidden="false" customHeight="false" outlineLevel="0" collapsed="false">
      <c r="A1288" s="2" t="s">
        <v>1570</v>
      </c>
      <c r="B1288" s="8" t="n">
        <v>46130</v>
      </c>
      <c r="C1288" s="2" t="s">
        <v>124</v>
      </c>
      <c r="D1288" s="3" t="str">
        <f aca="false">INDEX(Vendedores!$C$2:$C$101,MATCH(C1288,Vendedores!$A$2:$A$101,0))</f>
        <v>L04</v>
      </c>
      <c r="E1288" s="3" t="str">
        <f aca="false">INDEX(Lojas!$E$2:$E$11,MATCH(D1288,Lojas!$A$2:$A$11,0))</f>
        <v>Sudeste</v>
      </c>
      <c r="F1288" s="2" t="s">
        <v>275</v>
      </c>
      <c r="G1288" s="3" t="str">
        <f aca="false">INDEX(Produtos!$B$2:$B$11,MATCH(F1288,Produtos!$A$2:$A$11,0))&amp;" "&amp;INDEX(Produtos!$C$2:$C$11,MATCH(F1288,Produtos!$A$2:$A$11,0))</f>
        <v>Controle de Videogame PS5</v>
      </c>
      <c r="H1288" s="2" t="n">
        <v>1</v>
      </c>
      <c r="I1288" s="5" t="n">
        <f aca="false">INDEX(Produtos!$D$2:$D$11,MATCH(F1288,Produtos!$A$2:$A$11,0))</f>
        <v>379.9</v>
      </c>
      <c r="J1288" s="5" t="n">
        <f aca="false">H1288*I1288</f>
        <v>379.9</v>
      </c>
      <c r="K1288" s="5" t="n">
        <f aca="false">INDEX(Produtos!$E$2:$E$11,MATCH(F1288,Produtos!$A$2:$A$11,0))</f>
        <v>235</v>
      </c>
      <c r="L1288" s="5" t="n">
        <f aca="false">H1288*K1288</f>
        <v>235</v>
      </c>
    </row>
    <row r="1289" customFormat="false" ht="15" hidden="false" customHeight="false" outlineLevel="0" collapsed="false">
      <c r="A1289" s="2" t="s">
        <v>1571</v>
      </c>
      <c r="B1289" s="8" t="n">
        <v>46130</v>
      </c>
      <c r="C1289" s="2" t="s">
        <v>201</v>
      </c>
      <c r="D1289" s="3" t="str">
        <f aca="false">INDEX(Vendedores!$C$2:$C$101,MATCH(C1289,Vendedores!$A$2:$A$101,0))</f>
        <v>L08</v>
      </c>
      <c r="E1289" s="3" t="str">
        <f aca="false">INDEX(Lojas!$E$2:$E$11,MATCH(D1289,Lojas!$A$2:$A$11,0))</f>
        <v>Nordeste</v>
      </c>
      <c r="F1289" s="2" t="s">
        <v>262</v>
      </c>
      <c r="G1289" s="3" t="str">
        <f aca="false">INDEX(Produtos!$B$2:$B$11,MATCH(F1289,Produtos!$A$2:$A$11,0))&amp;" "&amp;INDEX(Produtos!$C$2:$C$11,MATCH(F1289,Produtos!$A$2:$A$11,0))</f>
        <v>Fone de Ouvido De Celular</v>
      </c>
      <c r="H1289" s="2" t="n">
        <v>1</v>
      </c>
      <c r="I1289" s="5" t="n">
        <f aca="false">INDEX(Produtos!$D$2:$D$11,MATCH(F1289,Produtos!$A$2:$A$11,0))</f>
        <v>59.9</v>
      </c>
      <c r="J1289" s="5" t="n">
        <f aca="false">H1289*I1289</f>
        <v>59.9</v>
      </c>
      <c r="K1289" s="5" t="n">
        <f aca="false">INDEX(Produtos!$E$2:$E$11,MATCH(F1289,Produtos!$A$2:$A$11,0))</f>
        <v>28</v>
      </c>
      <c r="L1289" s="5" t="n">
        <f aca="false">H1289*K1289</f>
        <v>28</v>
      </c>
    </row>
    <row r="1290" customFormat="false" ht="15" hidden="false" customHeight="false" outlineLevel="0" collapsed="false">
      <c r="A1290" s="2" t="s">
        <v>1572</v>
      </c>
      <c r="B1290" s="8" t="n">
        <v>46130</v>
      </c>
      <c r="C1290" s="2" t="s">
        <v>128</v>
      </c>
      <c r="D1290" s="3" t="str">
        <f aca="false">INDEX(Vendedores!$C$2:$C$101,MATCH(C1290,Vendedores!$A$2:$A$101,0))</f>
        <v>L04</v>
      </c>
      <c r="E1290" s="3" t="str">
        <f aca="false">INDEX(Lojas!$E$2:$E$11,MATCH(D1290,Lojas!$A$2:$A$11,0))</f>
        <v>Sudeste</v>
      </c>
      <c r="F1290" s="2" t="s">
        <v>257</v>
      </c>
      <c r="G1290" s="3" t="str">
        <f aca="false">INDEX(Produtos!$B$2:$B$11,MATCH(F1290,Produtos!$A$2:$A$11,0))&amp;" "&amp;INDEX(Produtos!$C$2:$C$11,MATCH(F1290,Produtos!$A$2:$A$11,0))</f>
        <v>Celular Samsung</v>
      </c>
      <c r="H1290" s="2" t="n">
        <v>1</v>
      </c>
      <c r="I1290" s="5" t="n">
        <f aca="false">INDEX(Produtos!$D$2:$D$11,MATCH(F1290,Produtos!$A$2:$A$11,0))</f>
        <v>2499</v>
      </c>
      <c r="J1290" s="5" t="n">
        <f aca="false">H1290*I1290</f>
        <v>2499</v>
      </c>
      <c r="K1290" s="5" t="n">
        <f aca="false">INDEX(Produtos!$E$2:$E$11,MATCH(F1290,Produtos!$A$2:$A$11,0))</f>
        <v>1800</v>
      </c>
      <c r="L1290" s="5" t="n">
        <f aca="false">H1290*K1290</f>
        <v>1800</v>
      </c>
    </row>
    <row r="1291" customFormat="false" ht="15" hidden="false" customHeight="false" outlineLevel="0" collapsed="false">
      <c r="A1291" s="2" t="s">
        <v>1573</v>
      </c>
      <c r="B1291" s="8" t="n">
        <v>46130</v>
      </c>
      <c r="C1291" s="2" t="s">
        <v>158</v>
      </c>
      <c r="D1291" s="3" t="str">
        <f aca="false">INDEX(Vendedores!$C$2:$C$101,MATCH(C1291,Vendedores!$A$2:$A$101,0))</f>
        <v>L06</v>
      </c>
      <c r="E1291" s="3" t="str">
        <f aca="false">INDEX(Lojas!$E$2:$E$11,MATCH(D1291,Lojas!$A$2:$A$11,0))</f>
        <v>Sul</v>
      </c>
      <c r="F1291" s="2" t="s">
        <v>262</v>
      </c>
      <c r="G1291" s="3" t="str">
        <f aca="false">INDEX(Produtos!$B$2:$B$11,MATCH(F1291,Produtos!$A$2:$A$11,0))&amp;" "&amp;INDEX(Produtos!$C$2:$C$11,MATCH(F1291,Produtos!$A$2:$A$11,0))</f>
        <v>Fone de Ouvido De Celular</v>
      </c>
      <c r="H1291" s="2" t="n">
        <v>1</v>
      </c>
      <c r="I1291" s="5" t="n">
        <f aca="false">INDEX(Produtos!$D$2:$D$11,MATCH(F1291,Produtos!$A$2:$A$11,0))</f>
        <v>59.9</v>
      </c>
      <c r="J1291" s="5" t="n">
        <f aca="false">H1291*I1291</f>
        <v>59.9</v>
      </c>
      <c r="K1291" s="5" t="n">
        <f aca="false">INDEX(Produtos!$E$2:$E$11,MATCH(F1291,Produtos!$A$2:$A$11,0))</f>
        <v>28</v>
      </c>
      <c r="L1291" s="5" t="n">
        <f aca="false">H1291*K1291</f>
        <v>28</v>
      </c>
    </row>
    <row r="1292" customFormat="false" ht="15" hidden="false" customHeight="false" outlineLevel="0" collapsed="false">
      <c r="A1292" s="2" t="s">
        <v>1574</v>
      </c>
      <c r="B1292" s="8" t="n">
        <v>46130</v>
      </c>
      <c r="C1292" s="2" t="s">
        <v>160</v>
      </c>
      <c r="D1292" s="3" t="str">
        <f aca="false">INDEX(Vendedores!$C$2:$C$101,MATCH(C1292,Vendedores!$A$2:$A$101,0))</f>
        <v>L06</v>
      </c>
      <c r="E1292" s="3" t="str">
        <f aca="false">INDEX(Lojas!$E$2:$E$11,MATCH(D1292,Lojas!$A$2:$A$11,0))</f>
        <v>Sul</v>
      </c>
      <c r="F1292" s="2" t="s">
        <v>262</v>
      </c>
      <c r="G1292" s="3" t="str">
        <f aca="false">INDEX(Produtos!$B$2:$B$11,MATCH(F1292,Produtos!$A$2:$A$11,0))&amp;" "&amp;INDEX(Produtos!$C$2:$C$11,MATCH(F1292,Produtos!$A$2:$A$11,0))</f>
        <v>Fone de Ouvido De Celular</v>
      </c>
      <c r="H1292" s="2" t="n">
        <v>1</v>
      </c>
      <c r="I1292" s="5" t="n">
        <f aca="false">INDEX(Produtos!$D$2:$D$11,MATCH(F1292,Produtos!$A$2:$A$11,0))</f>
        <v>59.9</v>
      </c>
      <c r="J1292" s="5" t="n">
        <f aca="false">H1292*I1292</f>
        <v>59.9</v>
      </c>
      <c r="K1292" s="5" t="n">
        <f aca="false">INDEX(Produtos!$E$2:$E$11,MATCH(F1292,Produtos!$A$2:$A$11,0))</f>
        <v>28</v>
      </c>
      <c r="L1292" s="5" t="n">
        <f aca="false">H1292*K1292</f>
        <v>28</v>
      </c>
    </row>
    <row r="1293" customFormat="false" ht="15" hidden="false" customHeight="false" outlineLevel="0" collapsed="false">
      <c r="A1293" s="2" t="s">
        <v>1575</v>
      </c>
      <c r="B1293" s="8" t="n">
        <v>46130</v>
      </c>
      <c r="C1293" s="2" t="s">
        <v>160</v>
      </c>
      <c r="D1293" s="3" t="str">
        <f aca="false">INDEX(Vendedores!$C$2:$C$101,MATCH(C1293,Vendedores!$A$2:$A$101,0))</f>
        <v>L06</v>
      </c>
      <c r="E1293" s="3" t="str">
        <f aca="false">INDEX(Lojas!$E$2:$E$11,MATCH(D1293,Lojas!$A$2:$A$11,0))</f>
        <v>Sul</v>
      </c>
      <c r="F1293" s="2" t="s">
        <v>262</v>
      </c>
      <c r="G1293" s="3" t="str">
        <f aca="false">INDEX(Produtos!$B$2:$B$11,MATCH(F1293,Produtos!$A$2:$A$11,0))&amp;" "&amp;INDEX(Produtos!$C$2:$C$11,MATCH(F1293,Produtos!$A$2:$A$11,0))</f>
        <v>Fone de Ouvido De Celular</v>
      </c>
      <c r="H1293" s="2" t="n">
        <v>3</v>
      </c>
      <c r="I1293" s="5" t="n">
        <f aca="false">INDEX(Produtos!$D$2:$D$11,MATCH(F1293,Produtos!$A$2:$A$11,0))</f>
        <v>59.9</v>
      </c>
      <c r="J1293" s="5" t="n">
        <f aca="false">H1293*I1293</f>
        <v>179.7</v>
      </c>
      <c r="K1293" s="5" t="n">
        <f aca="false">INDEX(Produtos!$E$2:$E$11,MATCH(F1293,Produtos!$A$2:$A$11,0))</f>
        <v>28</v>
      </c>
      <c r="L1293" s="5" t="n">
        <f aca="false">H1293*K1293</f>
        <v>84</v>
      </c>
    </row>
    <row r="1294" customFormat="false" ht="15" hidden="false" customHeight="false" outlineLevel="0" collapsed="false">
      <c r="A1294" s="2" t="s">
        <v>1576</v>
      </c>
      <c r="B1294" s="8" t="n">
        <v>46130</v>
      </c>
      <c r="C1294" s="2" t="s">
        <v>197</v>
      </c>
      <c r="D1294" s="3" t="str">
        <f aca="false">INDEX(Vendedores!$C$2:$C$101,MATCH(C1294,Vendedores!$A$2:$A$101,0))</f>
        <v>L08</v>
      </c>
      <c r="E1294" s="3" t="str">
        <f aca="false">INDEX(Lojas!$E$2:$E$11,MATCH(D1294,Lojas!$A$2:$A$11,0))</f>
        <v>Nordeste</v>
      </c>
      <c r="F1294" s="2" t="s">
        <v>267</v>
      </c>
      <c r="G1294" s="3" t="str">
        <f aca="false">INDEX(Produtos!$B$2:$B$11,MATCH(F1294,Produtos!$A$2:$A$11,0))&amp;" "&amp;INDEX(Produtos!$C$2:$C$11,MATCH(F1294,Produtos!$A$2:$A$11,0))</f>
        <v>Carregador de Celular Tipo C</v>
      </c>
      <c r="H1294" s="2" t="n">
        <v>1</v>
      </c>
      <c r="I1294" s="5" t="n">
        <f aca="false">INDEX(Produtos!$D$2:$D$11,MATCH(F1294,Produtos!$A$2:$A$11,0))</f>
        <v>44.9</v>
      </c>
      <c r="J1294" s="5" t="n">
        <f aca="false">H1294*I1294</f>
        <v>44.9</v>
      </c>
      <c r="K1294" s="5" t="n">
        <f aca="false">INDEX(Produtos!$E$2:$E$11,MATCH(F1294,Produtos!$A$2:$A$11,0))</f>
        <v>18</v>
      </c>
      <c r="L1294" s="5" t="n">
        <f aca="false">H1294*K1294</f>
        <v>18</v>
      </c>
    </row>
    <row r="1295" customFormat="false" ht="15" hidden="false" customHeight="false" outlineLevel="0" collapsed="false">
      <c r="A1295" s="2" t="s">
        <v>1577</v>
      </c>
      <c r="B1295" s="8" t="n">
        <v>46130</v>
      </c>
      <c r="C1295" s="2" t="s">
        <v>142</v>
      </c>
      <c r="D1295" s="3" t="str">
        <f aca="false">INDEX(Vendedores!$C$2:$C$101,MATCH(C1295,Vendedores!$A$2:$A$101,0))</f>
        <v>L05</v>
      </c>
      <c r="E1295" s="3" t="str">
        <f aca="false">INDEX(Lojas!$E$2:$E$11,MATCH(D1295,Lojas!$A$2:$A$11,0))</f>
        <v>Sul</v>
      </c>
      <c r="F1295" s="2" t="s">
        <v>262</v>
      </c>
      <c r="G1295" s="3" t="str">
        <f aca="false">INDEX(Produtos!$B$2:$B$11,MATCH(F1295,Produtos!$A$2:$A$11,0))&amp;" "&amp;INDEX(Produtos!$C$2:$C$11,MATCH(F1295,Produtos!$A$2:$A$11,0))</f>
        <v>Fone de Ouvido De Celular</v>
      </c>
      <c r="H1295" s="2" t="n">
        <v>1</v>
      </c>
      <c r="I1295" s="5" t="n">
        <f aca="false">INDEX(Produtos!$D$2:$D$11,MATCH(F1295,Produtos!$A$2:$A$11,0))</f>
        <v>59.9</v>
      </c>
      <c r="J1295" s="5" t="n">
        <f aca="false">H1295*I1295</f>
        <v>59.9</v>
      </c>
      <c r="K1295" s="5" t="n">
        <f aca="false">INDEX(Produtos!$E$2:$E$11,MATCH(F1295,Produtos!$A$2:$A$11,0))</f>
        <v>28</v>
      </c>
      <c r="L1295" s="5" t="n">
        <f aca="false">H1295*K1295</f>
        <v>28</v>
      </c>
    </row>
    <row r="1296" customFormat="false" ht="15" hidden="false" customHeight="false" outlineLevel="0" collapsed="false">
      <c r="A1296" s="2" t="s">
        <v>1578</v>
      </c>
      <c r="B1296" s="8" t="n">
        <v>46130</v>
      </c>
      <c r="C1296" s="2" t="s">
        <v>74</v>
      </c>
      <c r="D1296" s="3" t="str">
        <f aca="false">INDEX(Vendedores!$C$2:$C$101,MATCH(C1296,Vendedores!$A$2:$A$101,0))</f>
        <v>L02</v>
      </c>
      <c r="E1296" s="3" t="str">
        <f aca="false">INDEX(Lojas!$E$2:$E$11,MATCH(D1296,Lojas!$A$2:$A$11,0))</f>
        <v>Sudeste</v>
      </c>
      <c r="F1296" s="2" t="s">
        <v>252</v>
      </c>
      <c r="G1296" s="3" t="str">
        <f aca="false">INDEX(Produtos!$B$2:$B$11,MATCH(F1296,Produtos!$A$2:$A$11,0))&amp;" "&amp;INDEX(Produtos!$C$2:$C$11,MATCH(F1296,Produtos!$A$2:$A$11,0))</f>
        <v>Notebook Lenovo</v>
      </c>
      <c r="H1296" s="2" t="n">
        <v>1</v>
      </c>
      <c r="I1296" s="5" t="n">
        <f aca="false">INDEX(Produtos!$D$2:$D$11,MATCH(F1296,Produtos!$A$2:$A$11,0))</f>
        <v>3199</v>
      </c>
      <c r="J1296" s="5" t="n">
        <f aca="false">H1296*I1296</f>
        <v>3199</v>
      </c>
      <c r="K1296" s="5" t="n">
        <f aca="false">INDEX(Produtos!$E$2:$E$11,MATCH(F1296,Produtos!$A$2:$A$11,0))</f>
        <v>2350</v>
      </c>
      <c r="L1296" s="5" t="n">
        <f aca="false">H1296*K1296</f>
        <v>2350</v>
      </c>
    </row>
    <row r="1297" customFormat="false" ht="15" hidden="false" customHeight="false" outlineLevel="0" collapsed="false">
      <c r="A1297" s="2" t="s">
        <v>1579</v>
      </c>
      <c r="B1297" s="8" t="n">
        <v>46130</v>
      </c>
      <c r="C1297" s="2" t="s">
        <v>122</v>
      </c>
      <c r="D1297" s="3" t="str">
        <f aca="false">INDEX(Vendedores!$C$2:$C$101,MATCH(C1297,Vendedores!$A$2:$A$101,0))</f>
        <v>L04</v>
      </c>
      <c r="E1297" s="3" t="str">
        <f aca="false">INDEX(Lojas!$E$2:$E$11,MATCH(D1297,Lojas!$A$2:$A$11,0))</f>
        <v>Sudeste</v>
      </c>
      <c r="F1297" s="2" t="s">
        <v>260</v>
      </c>
      <c r="G1297" s="3" t="str">
        <f aca="false">INDEX(Produtos!$B$2:$B$11,MATCH(F1297,Produtos!$A$2:$A$11,0))&amp;" "&amp;INDEX(Produtos!$C$2:$C$11,MATCH(F1297,Produtos!$A$2:$A$11,0))</f>
        <v>Celular Motorola</v>
      </c>
      <c r="H1297" s="2" t="n">
        <v>1</v>
      </c>
      <c r="I1297" s="5" t="n">
        <f aca="false">INDEX(Produtos!$D$2:$D$11,MATCH(F1297,Produtos!$A$2:$A$11,0))</f>
        <v>1799</v>
      </c>
      <c r="J1297" s="5" t="n">
        <f aca="false">H1297*I1297</f>
        <v>1799</v>
      </c>
      <c r="K1297" s="5" t="n">
        <f aca="false">INDEX(Produtos!$E$2:$E$11,MATCH(F1297,Produtos!$A$2:$A$11,0))</f>
        <v>1250</v>
      </c>
      <c r="L1297" s="5" t="n">
        <f aca="false">H1297*K1297</f>
        <v>1250</v>
      </c>
    </row>
    <row r="1298" customFormat="false" ht="15" hidden="false" customHeight="false" outlineLevel="0" collapsed="false">
      <c r="A1298" s="2" t="s">
        <v>1580</v>
      </c>
      <c r="B1298" s="8" t="n">
        <v>46130</v>
      </c>
      <c r="C1298" s="2" t="s">
        <v>137</v>
      </c>
      <c r="D1298" s="3" t="str">
        <f aca="false">INDEX(Vendedores!$C$2:$C$101,MATCH(C1298,Vendedores!$A$2:$A$101,0))</f>
        <v>L05</v>
      </c>
      <c r="E1298" s="3" t="str">
        <f aca="false">INDEX(Lojas!$E$2:$E$11,MATCH(D1298,Lojas!$A$2:$A$11,0))</f>
        <v>Sul</v>
      </c>
      <c r="F1298" s="2" t="s">
        <v>255</v>
      </c>
      <c r="G1298" s="3" t="str">
        <f aca="false">INDEX(Produtos!$B$2:$B$11,MATCH(F1298,Produtos!$A$2:$A$11,0))&amp;" "&amp;INDEX(Produtos!$C$2:$C$11,MATCH(F1298,Produtos!$A$2:$A$11,0))</f>
        <v>Notebook Positivo</v>
      </c>
      <c r="H1298" s="2" t="n">
        <v>1</v>
      </c>
      <c r="I1298" s="5" t="n">
        <f aca="false">INDEX(Produtos!$D$2:$D$11,MATCH(F1298,Produtos!$A$2:$A$11,0))</f>
        <v>2199</v>
      </c>
      <c r="J1298" s="5" t="n">
        <f aca="false">H1298*I1298</f>
        <v>2199</v>
      </c>
      <c r="K1298" s="5" t="n">
        <f aca="false">INDEX(Produtos!$E$2:$E$11,MATCH(F1298,Produtos!$A$2:$A$11,0))</f>
        <v>1550</v>
      </c>
      <c r="L1298" s="5" t="n">
        <f aca="false">H1298*K1298</f>
        <v>1550</v>
      </c>
    </row>
    <row r="1299" customFormat="false" ht="15" hidden="false" customHeight="false" outlineLevel="0" collapsed="false">
      <c r="A1299" s="2" t="s">
        <v>1581</v>
      </c>
      <c r="B1299" s="8" t="n">
        <v>46130</v>
      </c>
      <c r="C1299" s="2" t="s">
        <v>237</v>
      </c>
      <c r="D1299" s="3" t="str">
        <f aca="false">INDEX(Vendedores!$C$2:$C$101,MATCH(C1299,Vendedores!$A$2:$A$101,0))</f>
        <v>L10</v>
      </c>
      <c r="E1299" s="3" t="str">
        <f aca="false">INDEX(Lojas!$E$2:$E$11,MATCH(D1299,Lojas!$A$2:$A$11,0))</f>
        <v>Nordeste</v>
      </c>
      <c r="F1299" s="2" t="s">
        <v>252</v>
      </c>
      <c r="G1299" s="3" t="str">
        <f aca="false">INDEX(Produtos!$B$2:$B$11,MATCH(F1299,Produtos!$A$2:$A$11,0))&amp;" "&amp;INDEX(Produtos!$C$2:$C$11,MATCH(F1299,Produtos!$A$2:$A$11,0))</f>
        <v>Notebook Lenovo</v>
      </c>
      <c r="H1299" s="2" t="n">
        <v>1</v>
      </c>
      <c r="I1299" s="5" t="n">
        <f aca="false">INDEX(Produtos!$D$2:$D$11,MATCH(F1299,Produtos!$A$2:$A$11,0))</f>
        <v>3199</v>
      </c>
      <c r="J1299" s="5" t="n">
        <f aca="false">H1299*I1299</f>
        <v>3199</v>
      </c>
      <c r="K1299" s="5" t="n">
        <f aca="false">INDEX(Produtos!$E$2:$E$11,MATCH(F1299,Produtos!$A$2:$A$11,0))</f>
        <v>2350</v>
      </c>
      <c r="L1299" s="5" t="n">
        <f aca="false">H1299*K1299</f>
        <v>2350</v>
      </c>
    </row>
    <row r="1300" customFormat="false" ht="15" hidden="false" customHeight="false" outlineLevel="0" collapsed="false">
      <c r="A1300" s="2" t="s">
        <v>1582</v>
      </c>
      <c r="B1300" s="8" t="n">
        <v>46130</v>
      </c>
      <c r="C1300" s="2" t="s">
        <v>98</v>
      </c>
      <c r="D1300" s="3" t="str">
        <f aca="false">INDEX(Vendedores!$C$2:$C$101,MATCH(C1300,Vendedores!$A$2:$A$101,0))</f>
        <v>L03</v>
      </c>
      <c r="E1300" s="3" t="str">
        <f aca="false">INDEX(Lojas!$E$2:$E$11,MATCH(D1300,Lojas!$A$2:$A$11,0))</f>
        <v>Sudeste</v>
      </c>
      <c r="F1300" s="2" t="s">
        <v>260</v>
      </c>
      <c r="G1300" s="3" t="str">
        <f aca="false">INDEX(Produtos!$B$2:$B$11,MATCH(F1300,Produtos!$A$2:$A$11,0))&amp;" "&amp;INDEX(Produtos!$C$2:$C$11,MATCH(F1300,Produtos!$A$2:$A$11,0))</f>
        <v>Celular Motorola</v>
      </c>
      <c r="H1300" s="2" t="n">
        <v>1</v>
      </c>
      <c r="I1300" s="5" t="n">
        <f aca="false">INDEX(Produtos!$D$2:$D$11,MATCH(F1300,Produtos!$A$2:$A$11,0))</f>
        <v>1799</v>
      </c>
      <c r="J1300" s="5" t="n">
        <f aca="false">H1300*I1300</f>
        <v>1799</v>
      </c>
      <c r="K1300" s="5" t="n">
        <f aca="false">INDEX(Produtos!$E$2:$E$11,MATCH(F1300,Produtos!$A$2:$A$11,0))</f>
        <v>1250</v>
      </c>
      <c r="L1300" s="5" t="n">
        <f aca="false">H1300*K1300</f>
        <v>1250</v>
      </c>
    </row>
    <row r="1301" customFormat="false" ht="15" hidden="false" customHeight="false" outlineLevel="0" collapsed="false">
      <c r="A1301" s="2" t="s">
        <v>1583</v>
      </c>
      <c r="B1301" s="8" t="n">
        <v>46131</v>
      </c>
      <c r="C1301" s="2" t="s">
        <v>118</v>
      </c>
      <c r="D1301" s="3" t="str">
        <f aca="false">INDEX(Vendedores!$C$2:$C$101,MATCH(C1301,Vendedores!$A$2:$A$101,0))</f>
        <v>L04</v>
      </c>
      <c r="E1301" s="3" t="str">
        <f aca="false">INDEX(Lojas!$E$2:$E$11,MATCH(D1301,Lojas!$A$2:$A$11,0))</f>
        <v>Sudeste</v>
      </c>
      <c r="F1301" s="2" t="s">
        <v>273</v>
      </c>
      <c r="G1301" s="3" t="str">
        <f aca="false">INDEX(Produtos!$B$2:$B$11,MATCH(F1301,Produtos!$A$2:$A$11,0))&amp;" "&amp;INDEX(Produtos!$C$2:$C$11,MATCH(F1301,Produtos!$A$2:$A$11,0))</f>
        <v>Controle de Videogame PS4</v>
      </c>
      <c r="H1301" s="2" t="n">
        <v>1</v>
      </c>
      <c r="I1301" s="5" t="n">
        <f aca="false">INDEX(Produtos!$D$2:$D$11,MATCH(F1301,Produtos!$A$2:$A$11,0))</f>
        <v>299.9</v>
      </c>
      <c r="J1301" s="5" t="n">
        <f aca="false">H1301*I1301</f>
        <v>299.9</v>
      </c>
      <c r="K1301" s="5" t="n">
        <f aca="false">INDEX(Produtos!$E$2:$E$11,MATCH(F1301,Produtos!$A$2:$A$11,0))</f>
        <v>175</v>
      </c>
      <c r="L1301" s="5" t="n">
        <f aca="false">H1301*K1301</f>
        <v>175</v>
      </c>
    </row>
    <row r="1302" customFormat="false" ht="15" hidden="false" customHeight="false" outlineLevel="0" collapsed="false">
      <c r="A1302" s="2" t="s">
        <v>1584</v>
      </c>
      <c r="B1302" s="8" t="n">
        <v>46131</v>
      </c>
      <c r="C1302" s="2" t="s">
        <v>92</v>
      </c>
      <c r="D1302" s="3" t="str">
        <f aca="false">INDEX(Vendedores!$C$2:$C$101,MATCH(C1302,Vendedores!$A$2:$A$101,0))</f>
        <v>L03</v>
      </c>
      <c r="E1302" s="3" t="str">
        <f aca="false">INDEX(Lojas!$E$2:$E$11,MATCH(D1302,Lojas!$A$2:$A$11,0))</f>
        <v>Sudeste</v>
      </c>
      <c r="F1302" s="2" t="s">
        <v>273</v>
      </c>
      <c r="G1302" s="3" t="str">
        <f aca="false">INDEX(Produtos!$B$2:$B$11,MATCH(F1302,Produtos!$A$2:$A$11,0))&amp;" "&amp;INDEX(Produtos!$C$2:$C$11,MATCH(F1302,Produtos!$A$2:$A$11,0))</f>
        <v>Controle de Videogame PS4</v>
      </c>
      <c r="H1302" s="2" t="n">
        <v>2</v>
      </c>
      <c r="I1302" s="5" t="n">
        <f aca="false">INDEX(Produtos!$D$2:$D$11,MATCH(F1302,Produtos!$A$2:$A$11,0))</f>
        <v>299.9</v>
      </c>
      <c r="J1302" s="5" t="n">
        <f aca="false">H1302*I1302</f>
        <v>599.8</v>
      </c>
      <c r="K1302" s="5" t="n">
        <f aca="false">INDEX(Produtos!$E$2:$E$11,MATCH(F1302,Produtos!$A$2:$A$11,0))</f>
        <v>175</v>
      </c>
      <c r="L1302" s="5" t="n">
        <f aca="false">H1302*K1302</f>
        <v>350</v>
      </c>
    </row>
    <row r="1303" customFormat="false" ht="15" hidden="false" customHeight="false" outlineLevel="0" collapsed="false">
      <c r="A1303" s="2" t="s">
        <v>1585</v>
      </c>
      <c r="B1303" s="8" t="n">
        <v>46131</v>
      </c>
      <c r="C1303" s="2" t="s">
        <v>60</v>
      </c>
      <c r="D1303" s="3" t="str">
        <f aca="false">INDEX(Vendedores!$C$2:$C$101,MATCH(C1303,Vendedores!$A$2:$A$101,0))</f>
        <v>L01</v>
      </c>
      <c r="E1303" s="3" t="str">
        <f aca="false">INDEX(Lojas!$E$2:$E$11,MATCH(D1303,Lojas!$A$2:$A$11,0))</f>
        <v>Sudeste</v>
      </c>
      <c r="F1303" s="2" t="s">
        <v>257</v>
      </c>
      <c r="G1303" s="3" t="str">
        <f aca="false">INDEX(Produtos!$B$2:$B$11,MATCH(F1303,Produtos!$A$2:$A$11,0))&amp;" "&amp;INDEX(Produtos!$C$2:$C$11,MATCH(F1303,Produtos!$A$2:$A$11,0))</f>
        <v>Celular Samsung</v>
      </c>
      <c r="H1303" s="2" t="n">
        <v>1</v>
      </c>
      <c r="I1303" s="5" t="n">
        <f aca="false">INDEX(Produtos!$D$2:$D$11,MATCH(F1303,Produtos!$A$2:$A$11,0))</f>
        <v>2499</v>
      </c>
      <c r="J1303" s="5" t="n">
        <f aca="false">H1303*I1303</f>
        <v>2499</v>
      </c>
      <c r="K1303" s="5" t="n">
        <f aca="false">INDEX(Produtos!$E$2:$E$11,MATCH(F1303,Produtos!$A$2:$A$11,0))</f>
        <v>1800</v>
      </c>
      <c r="L1303" s="5" t="n">
        <f aca="false">H1303*K1303</f>
        <v>1800</v>
      </c>
    </row>
    <row r="1304" customFormat="false" ht="15" hidden="false" customHeight="false" outlineLevel="0" collapsed="false">
      <c r="A1304" s="2" t="s">
        <v>1586</v>
      </c>
      <c r="B1304" s="8" t="n">
        <v>46131</v>
      </c>
      <c r="C1304" s="2" t="s">
        <v>203</v>
      </c>
      <c r="D1304" s="3" t="str">
        <f aca="false">INDEX(Vendedores!$C$2:$C$101,MATCH(C1304,Vendedores!$A$2:$A$101,0))</f>
        <v>L08</v>
      </c>
      <c r="E1304" s="3" t="str">
        <f aca="false">INDEX(Lojas!$E$2:$E$11,MATCH(D1304,Lojas!$A$2:$A$11,0))</f>
        <v>Nordeste</v>
      </c>
      <c r="F1304" s="2" t="s">
        <v>265</v>
      </c>
      <c r="G1304" s="3" t="str">
        <f aca="false">INDEX(Produtos!$B$2:$B$11,MATCH(F1304,Produtos!$A$2:$A$11,0))&amp;" "&amp;INDEX(Produtos!$C$2:$C$11,MATCH(F1304,Produtos!$A$2:$A$11,0))</f>
        <v>Fone de Ouvido Headset</v>
      </c>
      <c r="H1304" s="2" t="n">
        <v>2</v>
      </c>
      <c r="I1304" s="5" t="n">
        <f aca="false">INDEX(Produtos!$D$2:$D$11,MATCH(F1304,Produtos!$A$2:$A$11,0))</f>
        <v>249.9</v>
      </c>
      <c r="J1304" s="5" t="n">
        <f aca="false">H1304*I1304</f>
        <v>499.8</v>
      </c>
      <c r="K1304" s="5" t="n">
        <f aca="false">INDEX(Produtos!$E$2:$E$11,MATCH(F1304,Produtos!$A$2:$A$11,0))</f>
        <v>145</v>
      </c>
      <c r="L1304" s="5" t="n">
        <f aca="false">H1304*K1304</f>
        <v>290</v>
      </c>
    </row>
    <row r="1305" customFormat="false" ht="15" hidden="false" customHeight="false" outlineLevel="0" collapsed="false">
      <c r="A1305" s="2" t="s">
        <v>1587</v>
      </c>
      <c r="B1305" s="8" t="n">
        <v>46131</v>
      </c>
      <c r="C1305" s="2" t="s">
        <v>170</v>
      </c>
      <c r="D1305" s="3" t="str">
        <f aca="false">INDEX(Vendedores!$C$2:$C$101,MATCH(C1305,Vendedores!$A$2:$A$101,0))</f>
        <v>L07</v>
      </c>
      <c r="E1305" s="3" t="str">
        <f aca="false">INDEX(Lojas!$E$2:$E$11,MATCH(D1305,Lojas!$A$2:$A$11,0))</f>
        <v>Sul</v>
      </c>
      <c r="F1305" s="2" t="s">
        <v>270</v>
      </c>
      <c r="G1305" s="3" t="str">
        <f aca="false">INDEX(Produtos!$B$2:$B$11,MATCH(F1305,Produtos!$A$2:$A$11,0))&amp;" "&amp;INDEX(Produtos!$C$2:$C$11,MATCH(F1305,Produtos!$A$2:$A$11,0))</f>
        <v>Controle de Videogame Xbox</v>
      </c>
      <c r="H1305" s="2" t="n">
        <v>1</v>
      </c>
      <c r="I1305" s="5" t="n">
        <f aca="false">INDEX(Produtos!$D$2:$D$11,MATCH(F1305,Produtos!$A$2:$A$11,0))</f>
        <v>349.9</v>
      </c>
      <c r="J1305" s="5" t="n">
        <f aca="false">H1305*I1305</f>
        <v>349.9</v>
      </c>
      <c r="K1305" s="5" t="n">
        <f aca="false">INDEX(Produtos!$E$2:$E$11,MATCH(F1305,Produtos!$A$2:$A$11,0))</f>
        <v>215</v>
      </c>
      <c r="L1305" s="5" t="n">
        <f aca="false">H1305*K1305</f>
        <v>215</v>
      </c>
    </row>
    <row r="1306" customFormat="false" ht="15" hidden="false" customHeight="false" outlineLevel="0" collapsed="false">
      <c r="A1306" s="2" t="s">
        <v>1588</v>
      </c>
      <c r="B1306" s="8" t="n">
        <v>46131</v>
      </c>
      <c r="C1306" s="2" t="s">
        <v>183</v>
      </c>
      <c r="D1306" s="3" t="str">
        <f aca="false">INDEX(Vendedores!$C$2:$C$101,MATCH(C1306,Vendedores!$A$2:$A$101,0))</f>
        <v>L07</v>
      </c>
      <c r="E1306" s="3" t="str">
        <f aca="false">INDEX(Lojas!$E$2:$E$11,MATCH(D1306,Lojas!$A$2:$A$11,0))</f>
        <v>Sul</v>
      </c>
      <c r="F1306" s="2" t="s">
        <v>270</v>
      </c>
      <c r="G1306" s="3" t="str">
        <f aca="false">INDEX(Produtos!$B$2:$B$11,MATCH(F1306,Produtos!$A$2:$A$11,0))&amp;" "&amp;INDEX(Produtos!$C$2:$C$11,MATCH(F1306,Produtos!$A$2:$A$11,0))</f>
        <v>Controle de Videogame Xbox</v>
      </c>
      <c r="H1306" s="2" t="n">
        <v>1</v>
      </c>
      <c r="I1306" s="5" t="n">
        <f aca="false">INDEX(Produtos!$D$2:$D$11,MATCH(F1306,Produtos!$A$2:$A$11,0))</f>
        <v>349.9</v>
      </c>
      <c r="J1306" s="5" t="n">
        <f aca="false">H1306*I1306</f>
        <v>349.9</v>
      </c>
      <c r="K1306" s="5" t="n">
        <f aca="false">INDEX(Produtos!$E$2:$E$11,MATCH(F1306,Produtos!$A$2:$A$11,0))</f>
        <v>215</v>
      </c>
      <c r="L1306" s="5" t="n">
        <f aca="false">H1306*K1306</f>
        <v>215</v>
      </c>
    </row>
    <row r="1307" customFormat="false" ht="15" hidden="false" customHeight="false" outlineLevel="0" collapsed="false">
      <c r="A1307" s="2" t="s">
        <v>1589</v>
      </c>
      <c r="B1307" s="8" t="n">
        <v>46131</v>
      </c>
      <c r="C1307" s="2" t="s">
        <v>98</v>
      </c>
      <c r="D1307" s="3" t="str">
        <f aca="false">INDEX(Vendedores!$C$2:$C$101,MATCH(C1307,Vendedores!$A$2:$A$101,0))</f>
        <v>L03</v>
      </c>
      <c r="E1307" s="3" t="str">
        <f aca="false">INDEX(Lojas!$E$2:$E$11,MATCH(D1307,Lojas!$A$2:$A$11,0))</f>
        <v>Sudeste</v>
      </c>
      <c r="F1307" s="2" t="s">
        <v>273</v>
      </c>
      <c r="G1307" s="3" t="str">
        <f aca="false">INDEX(Produtos!$B$2:$B$11,MATCH(F1307,Produtos!$A$2:$A$11,0))&amp;" "&amp;INDEX(Produtos!$C$2:$C$11,MATCH(F1307,Produtos!$A$2:$A$11,0))</f>
        <v>Controle de Videogame PS4</v>
      </c>
      <c r="H1307" s="2" t="n">
        <v>2</v>
      </c>
      <c r="I1307" s="5" t="n">
        <f aca="false">INDEX(Produtos!$D$2:$D$11,MATCH(F1307,Produtos!$A$2:$A$11,0))</f>
        <v>299.9</v>
      </c>
      <c r="J1307" s="5" t="n">
        <f aca="false">H1307*I1307</f>
        <v>599.8</v>
      </c>
      <c r="K1307" s="5" t="n">
        <f aca="false">INDEX(Produtos!$E$2:$E$11,MATCH(F1307,Produtos!$A$2:$A$11,0))</f>
        <v>175</v>
      </c>
      <c r="L1307" s="5" t="n">
        <f aca="false">H1307*K1307</f>
        <v>350</v>
      </c>
    </row>
    <row r="1308" customFormat="false" ht="15" hidden="false" customHeight="false" outlineLevel="0" collapsed="false">
      <c r="A1308" s="2" t="s">
        <v>1590</v>
      </c>
      <c r="B1308" s="8" t="n">
        <v>46131</v>
      </c>
      <c r="C1308" s="2" t="s">
        <v>60</v>
      </c>
      <c r="D1308" s="3" t="str">
        <f aca="false">INDEX(Vendedores!$C$2:$C$101,MATCH(C1308,Vendedores!$A$2:$A$101,0))</f>
        <v>L01</v>
      </c>
      <c r="E1308" s="3" t="str">
        <f aca="false">INDEX(Lojas!$E$2:$E$11,MATCH(D1308,Lojas!$A$2:$A$11,0))</f>
        <v>Sudeste</v>
      </c>
      <c r="F1308" s="2" t="s">
        <v>273</v>
      </c>
      <c r="G1308" s="3" t="str">
        <f aca="false">INDEX(Produtos!$B$2:$B$11,MATCH(F1308,Produtos!$A$2:$A$11,0))&amp;" "&amp;INDEX(Produtos!$C$2:$C$11,MATCH(F1308,Produtos!$A$2:$A$11,0))</f>
        <v>Controle de Videogame PS4</v>
      </c>
      <c r="H1308" s="2" t="n">
        <v>1</v>
      </c>
      <c r="I1308" s="5" t="n">
        <f aca="false">INDEX(Produtos!$D$2:$D$11,MATCH(F1308,Produtos!$A$2:$A$11,0))</f>
        <v>299.9</v>
      </c>
      <c r="J1308" s="5" t="n">
        <f aca="false">H1308*I1308</f>
        <v>299.9</v>
      </c>
      <c r="K1308" s="5" t="n">
        <f aca="false">INDEX(Produtos!$E$2:$E$11,MATCH(F1308,Produtos!$A$2:$A$11,0))</f>
        <v>175</v>
      </c>
      <c r="L1308" s="5" t="n">
        <f aca="false">H1308*K1308</f>
        <v>175</v>
      </c>
    </row>
    <row r="1309" customFormat="false" ht="15" hidden="false" customHeight="false" outlineLevel="0" collapsed="false">
      <c r="A1309" s="2" t="s">
        <v>1591</v>
      </c>
      <c r="B1309" s="8" t="n">
        <v>46131</v>
      </c>
      <c r="C1309" s="2" t="s">
        <v>203</v>
      </c>
      <c r="D1309" s="3" t="str">
        <f aca="false">INDEX(Vendedores!$C$2:$C$101,MATCH(C1309,Vendedores!$A$2:$A$101,0))</f>
        <v>L08</v>
      </c>
      <c r="E1309" s="3" t="str">
        <f aca="false">INDEX(Lojas!$E$2:$E$11,MATCH(D1309,Lojas!$A$2:$A$11,0))</f>
        <v>Nordeste</v>
      </c>
      <c r="F1309" s="2" t="s">
        <v>275</v>
      </c>
      <c r="G1309" s="3" t="str">
        <f aca="false">INDEX(Produtos!$B$2:$B$11,MATCH(F1309,Produtos!$A$2:$A$11,0))&amp;" "&amp;INDEX(Produtos!$C$2:$C$11,MATCH(F1309,Produtos!$A$2:$A$11,0))</f>
        <v>Controle de Videogame PS5</v>
      </c>
      <c r="H1309" s="2" t="n">
        <v>3</v>
      </c>
      <c r="I1309" s="5" t="n">
        <f aca="false">INDEX(Produtos!$D$2:$D$11,MATCH(F1309,Produtos!$A$2:$A$11,0))</f>
        <v>379.9</v>
      </c>
      <c r="J1309" s="5" t="n">
        <f aca="false">H1309*I1309</f>
        <v>1139.7</v>
      </c>
      <c r="K1309" s="5" t="n">
        <f aca="false">INDEX(Produtos!$E$2:$E$11,MATCH(F1309,Produtos!$A$2:$A$11,0))</f>
        <v>235</v>
      </c>
      <c r="L1309" s="5" t="n">
        <f aca="false">H1309*K1309</f>
        <v>705</v>
      </c>
    </row>
    <row r="1310" customFormat="false" ht="15" hidden="false" customHeight="false" outlineLevel="0" collapsed="false">
      <c r="A1310" s="2" t="s">
        <v>1592</v>
      </c>
      <c r="B1310" s="8" t="n">
        <v>46131</v>
      </c>
      <c r="C1310" s="2" t="s">
        <v>146</v>
      </c>
      <c r="D1310" s="3" t="str">
        <f aca="false">INDEX(Vendedores!$C$2:$C$101,MATCH(C1310,Vendedores!$A$2:$A$101,0))</f>
        <v>L05</v>
      </c>
      <c r="E1310" s="3" t="str">
        <f aca="false">INDEX(Lojas!$E$2:$E$11,MATCH(D1310,Lojas!$A$2:$A$11,0))</f>
        <v>Sul</v>
      </c>
      <c r="F1310" s="2" t="s">
        <v>252</v>
      </c>
      <c r="G1310" s="3" t="str">
        <f aca="false">INDEX(Produtos!$B$2:$B$11,MATCH(F1310,Produtos!$A$2:$A$11,0))&amp;" "&amp;INDEX(Produtos!$C$2:$C$11,MATCH(F1310,Produtos!$A$2:$A$11,0))</f>
        <v>Notebook Lenovo</v>
      </c>
      <c r="H1310" s="2" t="n">
        <v>1</v>
      </c>
      <c r="I1310" s="5" t="n">
        <f aca="false">INDEX(Produtos!$D$2:$D$11,MATCH(F1310,Produtos!$A$2:$A$11,0))</f>
        <v>3199</v>
      </c>
      <c r="J1310" s="5" t="n">
        <f aca="false">H1310*I1310</f>
        <v>3199</v>
      </c>
      <c r="K1310" s="5" t="n">
        <f aca="false">INDEX(Produtos!$E$2:$E$11,MATCH(F1310,Produtos!$A$2:$A$11,0))</f>
        <v>2350</v>
      </c>
      <c r="L1310" s="5" t="n">
        <f aca="false">H1310*K1310</f>
        <v>2350</v>
      </c>
    </row>
    <row r="1311" customFormat="false" ht="15" hidden="false" customHeight="false" outlineLevel="0" collapsed="false">
      <c r="A1311" s="2" t="s">
        <v>1593</v>
      </c>
      <c r="B1311" s="8" t="n">
        <v>46131</v>
      </c>
      <c r="C1311" s="2" t="s">
        <v>66</v>
      </c>
      <c r="D1311" s="3" t="str">
        <f aca="false">INDEX(Vendedores!$C$2:$C$101,MATCH(C1311,Vendedores!$A$2:$A$101,0))</f>
        <v>L01</v>
      </c>
      <c r="E1311" s="3" t="str">
        <f aca="false">INDEX(Lojas!$E$2:$E$11,MATCH(D1311,Lojas!$A$2:$A$11,0))</f>
        <v>Sudeste</v>
      </c>
      <c r="F1311" s="2" t="s">
        <v>252</v>
      </c>
      <c r="G1311" s="3" t="str">
        <f aca="false">INDEX(Produtos!$B$2:$B$11,MATCH(F1311,Produtos!$A$2:$A$11,0))&amp;" "&amp;INDEX(Produtos!$C$2:$C$11,MATCH(F1311,Produtos!$A$2:$A$11,0))</f>
        <v>Notebook Lenovo</v>
      </c>
      <c r="H1311" s="2" t="n">
        <v>1</v>
      </c>
      <c r="I1311" s="5" t="n">
        <f aca="false">INDEX(Produtos!$D$2:$D$11,MATCH(F1311,Produtos!$A$2:$A$11,0))</f>
        <v>3199</v>
      </c>
      <c r="J1311" s="5" t="n">
        <f aca="false">H1311*I1311</f>
        <v>3199</v>
      </c>
      <c r="K1311" s="5" t="n">
        <f aca="false">INDEX(Produtos!$E$2:$E$11,MATCH(F1311,Produtos!$A$2:$A$11,0))</f>
        <v>2350</v>
      </c>
      <c r="L1311" s="5" t="n">
        <f aca="false">H1311*K1311</f>
        <v>2350</v>
      </c>
    </row>
    <row r="1312" customFormat="false" ht="15" hidden="false" customHeight="false" outlineLevel="0" collapsed="false">
      <c r="A1312" s="2" t="s">
        <v>1594</v>
      </c>
      <c r="B1312" s="8" t="n">
        <v>46131</v>
      </c>
      <c r="C1312" s="2" t="s">
        <v>241</v>
      </c>
      <c r="D1312" s="3" t="str">
        <f aca="false">INDEX(Vendedores!$C$2:$C$101,MATCH(C1312,Vendedores!$A$2:$A$101,0))</f>
        <v>L10</v>
      </c>
      <c r="E1312" s="3" t="str">
        <f aca="false">INDEX(Lojas!$E$2:$E$11,MATCH(D1312,Lojas!$A$2:$A$11,0))</f>
        <v>Nordeste</v>
      </c>
      <c r="F1312" s="2" t="s">
        <v>273</v>
      </c>
      <c r="G1312" s="3" t="str">
        <f aca="false">INDEX(Produtos!$B$2:$B$11,MATCH(F1312,Produtos!$A$2:$A$11,0))&amp;" "&amp;INDEX(Produtos!$C$2:$C$11,MATCH(F1312,Produtos!$A$2:$A$11,0))</f>
        <v>Controle de Videogame PS4</v>
      </c>
      <c r="H1312" s="2" t="n">
        <v>2</v>
      </c>
      <c r="I1312" s="5" t="n">
        <f aca="false">INDEX(Produtos!$D$2:$D$11,MATCH(F1312,Produtos!$A$2:$A$11,0))</f>
        <v>299.9</v>
      </c>
      <c r="J1312" s="5" t="n">
        <f aca="false">H1312*I1312</f>
        <v>599.8</v>
      </c>
      <c r="K1312" s="5" t="n">
        <f aca="false">INDEX(Produtos!$E$2:$E$11,MATCH(F1312,Produtos!$A$2:$A$11,0))</f>
        <v>175</v>
      </c>
      <c r="L1312" s="5" t="n">
        <f aca="false">H1312*K1312</f>
        <v>350</v>
      </c>
    </row>
    <row r="1313" customFormat="false" ht="15" hidden="false" customHeight="false" outlineLevel="0" collapsed="false">
      <c r="A1313" s="2" t="s">
        <v>1595</v>
      </c>
      <c r="B1313" s="8" t="n">
        <v>46132</v>
      </c>
      <c r="C1313" s="2" t="s">
        <v>203</v>
      </c>
      <c r="D1313" s="3" t="str">
        <f aca="false">INDEX(Vendedores!$C$2:$C$101,MATCH(C1313,Vendedores!$A$2:$A$101,0))</f>
        <v>L08</v>
      </c>
      <c r="E1313" s="3" t="str">
        <f aca="false">INDEX(Lojas!$E$2:$E$11,MATCH(D1313,Lojas!$A$2:$A$11,0))</f>
        <v>Nordeste</v>
      </c>
      <c r="F1313" s="2" t="s">
        <v>267</v>
      </c>
      <c r="G1313" s="3" t="str">
        <f aca="false">INDEX(Produtos!$B$2:$B$11,MATCH(F1313,Produtos!$A$2:$A$11,0))&amp;" "&amp;INDEX(Produtos!$C$2:$C$11,MATCH(F1313,Produtos!$A$2:$A$11,0))</f>
        <v>Carregador de Celular Tipo C</v>
      </c>
      <c r="H1313" s="2" t="n">
        <v>1</v>
      </c>
      <c r="I1313" s="5" t="n">
        <f aca="false">INDEX(Produtos!$D$2:$D$11,MATCH(F1313,Produtos!$A$2:$A$11,0))</f>
        <v>44.9</v>
      </c>
      <c r="J1313" s="5" t="n">
        <f aca="false">H1313*I1313</f>
        <v>44.9</v>
      </c>
      <c r="K1313" s="5" t="n">
        <f aca="false">INDEX(Produtos!$E$2:$E$11,MATCH(F1313,Produtos!$A$2:$A$11,0))</f>
        <v>18</v>
      </c>
      <c r="L1313" s="5" t="n">
        <f aca="false">H1313*K1313</f>
        <v>18</v>
      </c>
    </row>
    <row r="1314" customFormat="false" ht="15" hidden="false" customHeight="false" outlineLevel="0" collapsed="false">
      <c r="A1314" s="2" t="s">
        <v>1596</v>
      </c>
      <c r="B1314" s="8" t="n">
        <v>46132</v>
      </c>
      <c r="C1314" s="2" t="s">
        <v>54</v>
      </c>
      <c r="D1314" s="3" t="str">
        <f aca="false">INDEX(Vendedores!$C$2:$C$101,MATCH(C1314,Vendedores!$A$2:$A$101,0))</f>
        <v>L01</v>
      </c>
      <c r="E1314" s="3" t="str">
        <f aca="false">INDEX(Lojas!$E$2:$E$11,MATCH(D1314,Lojas!$A$2:$A$11,0))</f>
        <v>Sudeste</v>
      </c>
      <c r="F1314" s="2" t="s">
        <v>265</v>
      </c>
      <c r="G1314" s="3" t="str">
        <f aca="false">INDEX(Produtos!$B$2:$B$11,MATCH(F1314,Produtos!$A$2:$A$11,0))&amp;" "&amp;INDEX(Produtos!$C$2:$C$11,MATCH(F1314,Produtos!$A$2:$A$11,0))</f>
        <v>Fone de Ouvido Headset</v>
      </c>
      <c r="H1314" s="2" t="n">
        <v>1</v>
      </c>
      <c r="I1314" s="5" t="n">
        <f aca="false">INDEX(Produtos!$D$2:$D$11,MATCH(F1314,Produtos!$A$2:$A$11,0))</f>
        <v>249.9</v>
      </c>
      <c r="J1314" s="5" t="n">
        <f aca="false">H1314*I1314</f>
        <v>249.9</v>
      </c>
      <c r="K1314" s="5" t="n">
        <f aca="false">INDEX(Produtos!$E$2:$E$11,MATCH(F1314,Produtos!$A$2:$A$11,0))</f>
        <v>145</v>
      </c>
      <c r="L1314" s="5" t="n">
        <f aca="false">H1314*K1314</f>
        <v>145</v>
      </c>
    </row>
    <row r="1315" customFormat="false" ht="15" hidden="false" customHeight="false" outlineLevel="0" collapsed="false">
      <c r="A1315" s="2" t="s">
        <v>1597</v>
      </c>
      <c r="B1315" s="8" t="n">
        <v>46132</v>
      </c>
      <c r="C1315" s="2" t="s">
        <v>133</v>
      </c>
      <c r="D1315" s="3" t="str">
        <f aca="false">INDEX(Vendedores!$C$2:$C$101,MATCH(C1315,Vendedores!$A$2:$A$101,0))</f>
        <v>L05</v>
      </c>
      <c r="E1315" s="3" t="str">
        <f aca="false">INDEX(Lojas!$E$2:$E$11,MATCH(D1315,Lojas!$A$2:$A$11,0))</f>
        <v>Sul</v>
      </c>
      <c r="F1315" s="2" t="s">
        <v>267</v>
      </c>
      <c r="G1315" s="3" t="str">
        <f aca="false">INDEX(Produtos!$B$2:$B$11,MATCH(F1315,Produtos!$A$2:$A$11,0))&amp;" "&amp;INDEX(Produtos!$C$2:$C$11,MATCH(F1315,Produtos!$A$2:$A$11,0))</f>
        <v>Carregador de Celular Tipo C</v>
      </c>
      <c r="H1315" s="2" t="n">
        <v>2</v>
      </c>
      <c r="I1315" s="5" t="n">
        <f aca="false">INDEX(Produtos!$D$2:$D$11,MATCH(F1315,Produtos!$A$2:$A$11,0))</f>
        <v>44.9</v>
      </c>
      <c r="J1315" s="5" t="n">
        <f aca="false">H1315*I1315</f>
        <v>89.8</v>
      </c>
      <c r="K1315" s="5" t="n">
        <f aca="false">INDEX(Produtos!$E$2:$E$11,MATCH(F1315,Produtos!$A$2:$A$11,0))</f>
        <v>18</v>
      </c>
      <c r="L1315" s="5" t="n">
        <f aca="false">H1315*K1315</f>
        <v>36</v>
      </c>
    </row>
    <row r="1316" customFormat="false" ht="15" hidden="false" customHeight="false" outlineLevel="0" collapsed="false">
      <c r="A1316" s="2" t="s">
        <v>1598</v>
      </c>
      <c r="B1316" s="8" t="n">
        <v>46132</v>
      </c>
      <c r="C1316" s="2" t="s">
        <v>237</v>
      </c>
      <c r="D1316" s="3" t="str">
        <f aca="false">INDEX(Vendedores!$C$2:$C$101,MATCH(C1316,Vendedores!$A$2:$A$101,0))</f>
        <v>L10</v>
      </c>
      <c r="E1316" s="3" t="str">
        <f aca="false">INDEX(Lojas!$E$2:$E$11,MATCH(D1316,Lojas!$A$2:$A$11,0))</f>
        <v>Nordeste</v>
      </c>
      <c r="F1316" s="2" t="s">
        <v>257</v>
      </c>
      <c r="G1316" s="3" t="str">
        <f aca="false">INDEX(Produtos!$B$2:$B$11,MATCH(F1316,Produtos!$A$2:$A$11,0))&amp;" "&amp;INDEX(Produtos!$C$2:$C$11,MATCH(F1316,Produtos!$A$2:$A$11,0))</f>
        <v>Celular Samsung</v>
      </c>
      <c r="H1316" s="2" t="n">
        <v>1</v>
      </c>
      <c r="I1316" s="5" t="n">
        <f aca="false">INDEX(Produtos!$D$2:$D$11,MATCH(F1316,Produtos!$A$2:$A$11,0))</f>
        <v>2499</v>
      </c>
      <c r="J1316" s="5" t="n">
        <f aca="false">H1316*I1316</f>
        <v>2499</v>
      </c>
      <c r="K1316" s="5" t="n">
        <f aca="false">INDEX(Produtos!$E$2:$E$11,MATCH(F1316,Produtos!$A$2:$A$11,0))</f>
        <v>1800</v>
      </c>
      <c r="L1316" s="5" t="n">
        <f aca="false">H1316*K1316</f>
        <v>1800</v>
      </c>
    </row>
    <row r="1317" customFormat="false" ht="15" hidden="false" customHeight="false" outlineLevel="0" collapsed="false">
      <c r="A1317" s="2" t="s">
        <v>1599</v>
      </c>
      <c r="B1317" s="8" t="n">
        <v>46132</v>
      </c>
      <c r="C1317" s="2" t="s">
        <v>142</v>
      </c>
      <c r="D1317" s="3" t="str">
        <f aca="false">INDEX(Vendedores!$C$2:$C$101,MATCH(C1317,Vendedores!$A$2:$A$101,0))</f>
        <v>L05</v>
      </c>
      <c r="E1317" s="3" t="str">
        <f aca="false">INDEX(Lojas!$E$2:$E$11,MATCH(D1317,Lojas!$A$2:$A$11,0))</f>
        <v>Sul</v>
      </c>
      <c r="F1317" s="2" t="s">
        <v>255</v>
      </c>
      <c r="G1317" s="3" t="str">
        <f aca="false">INDEX(Produtos!$B$2:$B$11,MATCH(F1317,Produtos!$A$2:$A$11,0))&amp;" "&amp;INDEX(Produtos!$C$2:$C$11,MATCH(F1317,Produtos!$A$2:$A$11,0))</f>
        <v>Notebook Positivo</v>
      </c>
      <c r="H1317" s="2" t="n">
        <v>2</v>
      </c>
      <c r="I1317" s="5" t="n">
        <f aca="false">INDEX(Produtos!$D$2:$D$11,MATCH(F1317,Produtos!$A$2:$A$11,0))</f>
        <v>2199</v>
      </c>
      <c r="J1317" s="5" t="n">
        <f aca="false">H1317*I1317</f>
        <v>4398</v>
      </c>
      <c r="K1317" s="5" t="n">
        <f aca="false">INDEX(Produtos!$E$2:$E$11,MATCH(F1317,Produtos!$A$2:$A$11,0))</f>
        <v>1550</v>
      </c>
      <c r="L1317" s="5" t="n">
        <f aca="false">H1317*K1317</f>
        <v>3100</v>
      </c>
    </row>
    <row r="1318" customFormat="false" ht="15" hidden="false" customHeight="false" outlineLevel="0" collapsed="false">
      <c r="A1318" s="2" t="s">
        <v>1600</v>
      </c>
      <c r="B1318" s="8" t="n">
        <v>46132</v>
      </c>
      <c r="C1318" s="2" t="s">
        <v>137</v>
      </c>
      <c r="D1318" s="3" t="str">
        <f aca="false">INDEX(Vendedores!$C$2:$C$101,MATCH(C1318,Vendedores!$A$2:$A$101,0))</f>
        <v>L05</v>
      </c>
      <c r="E1318" s="3" t="str">
        <f aca="false">INDEX(Lojas!$E$2:$E$11,MATCH(D1318,Lojas!$A$2:$A$11,0))</f>
        <v>Sul</v>
      </c>
      <c r="F1318" s="2" t="s">
        <v>267</v>
      </c>
      <c r="G1318" s="3" t="str">
        <f aca="false">INDEX(Produtos!$B$2:$B$11,MATCH(F1318,Produtos!$A$2:$A$11,0))&amp;" "&amp;INDEX(Produtos!$C$2:$C$11,MATCH(F1318,Produtos!$A$2:$A$11,0))</f>
        <v>Carregador de Celular Tipo C</v>
      </c>
      <c r="H1318" s="2" t="n">
        <v>3</v>
      </c>
      <c r="I1318" s="5" t="n">
        <f aca="false">INDEX(Produtos!$D$2:$D$11,MATCH(F1318,Produtos!$A$2:$A$11,0))</f>
        <v>44.9</v>
      </c>
      <c r="J1318" s="5" t="n">
        <f aca="false">H1318*I1318</f>
        <v>134.7</v>
      </c>
      <c r="K1318" s="5" t="n">
        <f aca="false">INDEX(Produtos!$E$2:$E$11,MATCH(F1318,Produtos!$A$2:$A$11,0))</f>
        <v>18</v>
      </c>
      <c r="L1318" s="5" t="n">
        <f aca="false">H1318*K1318</f>
        <v>54</v>
      </c>
    </row>
    <row r="1319" customFormat="false" ht="15" hidden="false" customHeight="false" outlineLevel="0" collapsed="false">
      <c r="A1319" s="2" t="s">
        <v>1601</v>
      </c>
      <c r="B1319" s="8" t="n">
        <v>46132</v>
      </c>
      <c r="C1319" s="2" t="s">
        <v>178</v>
      </c>
      <c r="D1319" s="3" t="str">
        <f aca="false">INDEX(Vendedores!$C$2:$C$101,MATCH(C1319,Vendedores!$A$2:$A$101,0))</f>
        <v>L07</v>
      </c>
      <c r="E1319" s="3" t="str">
        <f aca="false">INDEX(Lojas!$E$2:$E$11,MATCH(D1319,Lojas!$A$2:$A$11,0))</f>
        <v>Sul</v>
      </c>
      <c r="F1319" s="2" t="s">
        <v>275</v>
      </c>
      <c r="G1319" s="3" t="str">
        <f aca="false">INDEX(Produtos!$B$2:$B$11,MATCH(F1319,Produtos!$A$2:$A$11,0))&amp;" "&amp;INDEX(Produtos!$C$2:$C$11,MATCH(F1319,Produtos!$A$2:$A$11,0))</f>
        <v>Controle de Videogame PS5</v>
      </c>
      <c r="H1319" s="2" t="n">
        <v>1</v>
      </c>
      <c r="I1319" s="5" t="n">
        <f aca="false">INDEX(Produtos!$D$2:$D$11,MATCH(F1319,Produtos!$A$2:$A$11,0))</f>
        <v>379.9</v>
      </c>
      <c r="J1319" s="5" t="n">
        <f aca="false">H1319*I1319</f>
        <v>379.9</v>
      </c>
      <c r="K1319" s="5" t="n">
        <f aca="false">INDEX(Produtos!$E$2:$E$11,MATCH(F1319,Produtos!$A$2:$A$11,0))</f>
        <v>235</v>
      </c>
      <c r="L1319" s="5" t="n">
        <f aca="false">H1319*K1319</f>
        <v>235</v>
      </c>
    </row>
    <row r="1320" customFormat="false" ht="15" hidden="false" customHeight="false" outlineLevel="0" collapsed="false">
      <c r="A1320" s="2" t="s">
        <v>1602</v>
      </c>
      <c r="B1320" s="8" t="n">
        <v>46132</v>
      </c>
      <c r="C1320" s="2" t="s">
        <v>160</v>
      </c>
      <c r="D1320" s="3" t="str">
        <f aca="false">INDEX(Vendedores!$C$2:$C$101,MATCH(C1320,Vendedores!$A$2:$A$101,0))</f>
        <v>L06</v>
      </c>
      <c r="E1320" s="3" t="str">
        <f aca="false">INDEX(Lojas!$E$2:$E$11,MATCH(D1320,Lojas!$A$2:$A$11,0))</f>
        <v>Sul</v>
      </c>
      <c r="F1320" s="2" t="s">
        <v>252</v>
      </c>
      <c r="G1320" s="3" t="str">
        <f aca="false">INDEX(Produtos!$B$2:$B$11,MATCH(F1320,Produtos!$A$2:$A$11,0))&amp;" "&amp;INDEX(Produtos!$C$2:$C$11,MATCH(F1320,Produtos!$A$2:$A$11,0))</f>
        <v>Notebook Lenovo</v>
      </c>
      <c r="H1320" s="2" t="n">
        <v>2</v>
      </c>
      <c r="I1320" s="5" t="n">
        <f aca="false">INDEX(Produtos!$D$2:$D$11,MATCH(F1320,Produtos!$A$2:$A$11,0))</f>
        <v>3199</v>
      </c>
      <c r="J1320" s="5" t="n">
        <f aca="false">H1320*I1320</f>
        <v>6398</v>
      </c>
      <c r="K1320" s="5" t="n">
        <f aca="false">INDEX(Produtos!$E$2:$E$11,MATCH(F1320,Produtos!$A$2:$A$11,0))</f>
        <v>2350</v>
      </c>
      <c r="L1320" s="5" t="n">
        <f aca="false">H1320*K1320</f>
        <v>4700</v>
      </c>
    </row>
    <row r="1321" customFormat="false" ht="15" hidden="false" customHeight="false" outlineLevel="0" collapsed="false">
      <c r="A1321" s="2" t="s">
        <v>1603</v>
      </c>
      <c r="B1321" s="8" t="n">
        <v>46132</v>
      </c>
      <c r="C1321" s="2" t="s">
        <v>126</v>
      </c>
      <c r="D1321" s="3" t="str">
        <f aca="false">INDEX(Vendedores!$C$2:$C$101,MATCH(C1321,Vendedores!$A$2:$A$101,0))</f>
        <v>L04</v>
      </c>
      <c r="E1321" s="3" t="str">
        <f aca="false">INDEX(Lojas!$E$2:$E$11,MATCH(D1321,Lojas!$A$2:$A$11,0))</f>
        <v>Sudeste</v>
      </c>
      <c r="F1321" s="2" t="s">
        <v>257</v>
      </c>
      <c r="G1321" s="3" t="str">
        <f aca="false">INDEX(Produtos!$B$2:$B$11,MATCH(F1321,Produtos!$A$2:$A$11,0))&amp;" "&amp;INDEX(Produtos!$C$2:$C$11,MATCH(F1321,Produtos!$A$2:$A$11,0))</f>
        <v>Celular Samsung</v>
      </c>
      <c r="H1321" s="2" t="n">
        <v>1</v>
      </c>
      <c r="I1321" s="5" t="n">
        <f aca="false">INDEX(Produtos!$D$2:$D$11,MATCH(F1321,Produtos!$A$2:$A$11,0))</f>
        <v>2499</v>
      </c>
      <c r="J1321" s="5" t="n">
        <f aca="false">H1321*I1321</f>
        <v>2499</v>
      </c>
      <c r="K1321" s="5" t="n">
        <f aca="false">INDEX(Produtos!$E$2:$E$11,MATCH(F1321,Produtos!$A$2:$A$11,0))</f>
        <v>1800</v>
      </c>
      <c r="L1321" s="5" t="n">
        <f aca="false">H1321*K1321</f>
        <v>1800</v>
      </c>
    </row>
    <row r="1322" customFormat="false" ht="15" hidden="false" customHeight="false" outlineLevel="0" collapsed="false">
      <c r="A1322" s="2" t="s">
        <v>1604</v>
      </c>
      <c r="B1322" s="8" t="n">
        <v>46133</v>
      </c>
      <c r="C1322" s="2" t="s">
        <v>241</v>
      </c>
      <c r="D1322" s="3" t="str">
        <f aca="false">INDEX(Vendedores!$C$2:$C$101,MATCH(C1322,Vendedores!$A$2:$A$101,0))</f>
        <v>L10</v>
      </c>
      <c r="E1322" s="3" t="str">
        <f aca="false">INDEX(Lojas!$E$2:$E$11,MATCH(D1322,Lojas!$A$2:$A$11,0))</f>
        <v>Nordeste</v>
      </c>
      <c r="F1322" s="2" t="s">
        <v>275</v>
      </c>
      <c r="G1322" s="3" t="str">
        <f aca="false">INDEX(Produtos!$B$2:$B$11,MATCH(F1322,Produtos!$A$2:$A$11,0))&amp;" "&amp;INDEX(Produtos!$C$2:$C$11,MATCH(F1322,Produtos!$A$2:$A$11,0))</f>
        <v>Controle de Videogame PS5</v>
      </c>
      <c r="H1322" s="2" t="n">
        <v>1</v>
      </c>
      <c r="I1322" s="5" t="n">
        <f aca="false">INDEX(Produtos!$D$2:$D$11,MATCH(F1322,Produtos!$A$2:$A$11,0))</f>
        <v>379.9</v>
      </c>
      <c r="J1322" s="5" t="n">
        <f aca="false">H1322*I1322</f>
        <v>379.9</v>
      </c>
      <c r="K1322" s="5" t="n">
        <f aca="false">INDEX(Produtos!$E$2:$E$11,MATCH(F1322,Produtos!$A$2:$A$11,0))</f>
        <v>235</v>
      </c>
      <c r="L1322" s="5" t="n">
        <f aca="false">H1322*K1322</f>
        <v>235</v>
      </c>
    </row>
    <row r="1323" customFormat="false" ht="15" hidden="false" customHeight="false" outlineLevel="0" collapsed="false">
      <c r="A1323" s="2" t="s">
        <v>1605</v>
      </c>
      <c r="B1323" s="8" t="n">
        <v>46133</v>
      </c>
      <c r="C1323" s="2" t="s">
        <v>137</v>
      </c>
      <c r="D1323" s="3" t="str">
        <f aca="false">INDEX(Vendedores!$C$2:$C$101,MATCH(C1323,Vendedores!$A$2:$A$101,0))</f>
        <v>L05</v>
      </c>
      <c r="E1323" s="3" t="str">
        <f aca="false">INDEX(Lojas!$E$2:$E$11,MATCH(D1323,Lojas!$A$2:$A$11,0))</f>
        <v>Sul</v>
      </c>
      <c r="F1323" s="2" t="s">
        <v>257</v>
      </c>
      <c r="G1323" s="3" t="str">
        <f aca="false">INDEX(Produtos!$B$2:$B$11,MATCH(F1323,Produtos!$A$2:$A$11,0))&amp;" "&amp;INDEX(Produtos!$C$2:$C$11,MATCH(F1323,Produtos!$A$2:$A$11,0))</f>
        <v>Celular Samsung</v>
      </c>
      <c r="H1323" s="2" t="n">
        <v>1</v>
      </c>
      <c r="I1323" s="5" t="n">
        <f aca="false">INDEX(Produtos!$D$2:$D$11,MATCH(F1323,Produtos!$A$2:$A$11,0))</f>
        <v>2499</v>
      </c>
      <c r="J1323" s="5" t="n">
        <f aca="false">H1323*I1323</f>
        <v>2499</v>
      </c>
      <c r="K1323" s="5" t="n">
        <f aca="false">INDEX(Produtos!$E$2:$E$11,MATCH(F1323,Produtos!$A$2:$A$11,0))</f>
        <v>1800</v>
      </c>
      <c r="L1323" s="5" t="n">
        <f aca="false">H1323*K1323</f>
        <v>1800</v>
      </c>
    </row>
    <row r="1324" customFormat="false" ht="15" hidden="false" customHeight="false" outlineLevel="0" collapsed="false">
      <c r="A1324" s="2" t="s">
        <v>1606</v>
      </c>
      <c r="B1324" s="8" t="n">
        <v>46133</v>
      </c>
      <c r="C1324" s="2" t="s">
        <v>199</v>
      </c>
      <c r="D1324" s="3" t="str">
        <f aca="false">INDEX(Vendedores!$C$2:$C$101,MATCH(C1324,Vendedores!$A$2:$A$101,0))</f>
        <v>L08</v>
      </c>
      <c r="E1324" s="3" t="str">
        <f aca="false">INDEX(Lojas!$E$2:$E$11,MATCH(D1324,Lojas!$A$2:$A$11,0))</f>
        <v>Nordeste</v>
      </c>
      <c r="F1324" s="2" t="s">
        <v>270</v>
      </c>
      <c r="G1324" s="3" t="str">
        <f aca="false">INDEX(Produtos!$B$2:$B$11,MATCH(F1324,Produtos!$A$2:$A$11,0))&amp;" "&amp;INDEX(Produtos!$C$2:$C$11,MATCH(F1324,Produtos!$A$2:$A$11,0))</f>
        <v>Controle de Videogame Xbox</v>
      </c>
      <c r="H1324" s="2" t="n">
        <v>1</v>
      </c>
      <c r="I1324" s="5" t="n">
        <f aca="false">INDEX(Produtos!$D$2:$D$11,MATCH(F1324,Produtos!$A$2:$A$11,0))</f>
        <v>349.9</v>
      </c>
      <c r="J1324" s="5" t="n">
        <f aca="false">H1324*I1324</f>
        <v>349.9</v>
      </c>
      <c r="K1324" s="5" t="n">
        <f aca="false">INDEX(Produtos!$E$2:$E$11,MATCH(F1324,Produtos!$A$2:$A$11,0))</f>
        <v>215</v>
      </c>
      <c r="L1324" s="5" t="n">
        <f aca="false">H1324*K1324</f>
        <v>215</v>
      </c>
    </row>
    <row r="1325" customFormat="false" ht="15" hidden="false" customHeight="false" outlineLevel="0" collapsed="false">
      <c r="A1325" s="2" t="s">
        <v>1607</v>
      </c>
      <c r="B1325" s="8" t="n">
        <v>46133</v>
      </c>
      <c r="C1325" s="2" t="s">
        <v>225</v>
      </c>
      <c r="D1325" s="3" t="str">
        <f aca="false">INDEX(Vendedores!$C$2:$C$101,MATCH(C1325,Vendedores!$A$2:$A$101,0))</f>
        <v>L10</v>
      </c>
      <c r="E1325" s="3" t="str">
        <f aca="false">INDEX(Lojas!$E$2:$E$11,MATCH(D1325,Lojas!$A$2:$A$11,0))</f>
        <v>Nordeste</v>
      </c>
      <c r="F1325" s="2" t="s">
        <v>267</v>
      </c>
      <c r="G1325" s="3" t="str">
        <f aca="false">INDEX(Produtos!$B$2:$B$11,MATCH(F1325,Produtos!$A$2:$A$11,0))&amp;" "&amp;INDEX(Produtos!$C$2:$C$11,MATCH(F1325,Produtos!$A$2:$A$11,0))</f>
        <v>Carregador de Celular Tipo C</v>
      </c>
      <c r="H1325" s="2" t="n">
        <v>2</v>
      </c>
      <c r="I1325" s="5" t="n">
        <f aca="false">INDEX(Produtos!$D$2:$D$11,MATCH(F1325,Produtos!$A$2:$A$11,0))</f>
        <v>44.9</v>
      </c>
      <c r="J1325" s="5" t="n">
        <f aca="false">H1325*I1325</f>
        <v>89.8</v>
      </c>
      <c r="K1325" s="5" t="n">
        <f aca="false">INDEX(Produtos!$E$2:$E$11,MATCH(F1325,Produtos!$A$2:$A$11,0))</f>
        <v>18</v>
      </c>
      <c r="L1325" s="5" t="n">
        <f aca="false">H1325*K1325</f>
        <v>36</v>
      </c>
    </row>
    <row r="1326" customFormat="false" ht="15" hidden="false" customHeight="false" outlineLevel="0" collapsed="false">
      <c r="A1326" s="2" t="s">
        <v>1608</v>
      </c>
      <c r="B1326" s="8" t="n">
        <v>46133</v>
      </c>
      <c r="C1326" s="2" t="s">
        <v>180</v>
      </c>
      <c r="D1326" s="3" t="str">
        <f aca="false">INDEX(Vendedores!$C$2:$C$101,MATCH(C1326,Vendedores!$A$2:$A$101,0))</f>
        <v>L07</v>
      </c>
      <c r="E1326" s="3" t="str">
        <f aca="false">INDEX(Lojas!$E$2:$E$11,MATCH(D1326,Lojas!$A$2:$A$11,0))</f>
        <v>Sul</v>
      </c>
      <c r="F1326" s="2" t="s">
        <v>270</v>
      </c>
      <c r="G1326" s="3" t="str">
        <f aca="false">INDEX(Produtos!$B$2:$B$11,MATCH(F1326,Produtos!$A$2:$A$11,0))&amp;" "&amp;INDEX(Produtos!$C$2:$C$11,MATCH(F1326,Produtos!$A$2:$A$11,0))</f>
        <v>Controle de Videogame Xbox</v>
      </c>
      <c r="H1326" s="2" t="n">
        <v>1</v>
      </c>
      <c r="I1326" s="5" t="n">
        <f aca="false">INDEX(Produtos!$D$2:$D$11,MATCH(F1326,Produtos!$A$2:$A$11,0))</f>
        <v>349.9</v>
      </c>
      <c r="J1326" s="5" t="n">
        <f aca="false">H1326*I1326</f>
        <v>349.9</v>
      </c>
      <c r="K1326" s="5" t="n">
        <f aca="false">INDEX(Produtos!$E$2:$E$11,MATCH(F1326,Produtos!$A$2:$A$11,0))</f>
        <v>215</v>
      </c>
      <c r="L1326" s="5" t="n">
        <f aca="false">H1326*K1326</f>
        <v>215</v>
      </c>
    </row>
    <row r="1327" customFormat="false" ht="15" hidden="false" customHeight="false" outlineLevel="0" collapsed="false">
      <c r="A1327" s="2" t="s">
        <v>1609</v>
      </c>
      <c r="B1327" s="8" t="n">
        <v>46133</v>
      </c>
      <c r="C1327" s="2" t="s">
        <v>178</v>
      </c>
      <c r="D1327" s="3" t="str">
        <f aca="false">INDEX(Vendedores!$C$2:$C$101,MATCH(C1327,Vendedores!$A$2:$A$101,0))</f>
        <v>L07</v>
      </c>
      <c r="E1327" s="3" t="str">
        <f aca="false">INDEX(Lojas!$E$2:$E$11,MATCH(D1327,Lojas!$A$2:$A$11,0))</f>
        <v>Sul</v>
      </c>
      <c r="F1327" s="2" t="s">
        <v>275</v>
      </c>
      <c r="G1327" s="3" t="str">
        <f aca="false">INDEX(Produtos!$B$2:$B$11,MATCH(F1327,Produtos!$A$2:$A$11,0))&amp;" "&amp;INDEX(Produtos!$C$2:$C$11,MATCH(F1327,Produtos!$A$2:$A$11,0))</f>
        <v>Controle de Videogame PS5</v>
      </c>
      <c r="H1327" s="2" t="n">
        <v>2</v>
      </c>
      <c r="I1327" s="5" t="n">
        <f aca="false">INDEX(Produtos!$D$2:$D$11,MATCH(F1327,Produtos!$A$2:$A$11,0))</f>
        <v>379.9</v>
      </c>
      <c r="J1327" s="5" t="n">
        <f aca="false">H1327*I1327</f>
        <v>759.8</v>
      </c>
      <c r="K1327" s="5" t="n">
        <f aca="false">INDEX(Produtos!$E$2:$E$11,MATCH(F1327,Produtos!$A$2:$A$11,0))</f>
        <v>235</v>
      </c>
      <c r="L1327" s="5" t="n">
        <f aca="false">H1327*K1327</f>
        <v>470</v>
      </c>
    </row>
    <row r="1328" customFormat="false" ht="15" hidden="false" customHeight="false" outlineLevel="0" collapsed="false">
      <c r="A1328" s="2" t="s">
        <v>1610</v>
      </c>
      <c r="B1328" s="8" t="n">
        <v>46134</v>
      </c>
      <c r="C1328" s="2" t="s">
        <v>90</v>
      </c>
      <c r="D1328" s="3" t="str">
        <f aca="false">INDEX(Vendedores!$C$2:$C$101,MATCH(C1328,Vendedores!$A$2:$A$101,0))</f>
        <v>L03</v>
      </c>
      <c r="E1328" s="3" t="str">
        <f aca="false">INDEX(Lojas!$E$2:$E$11,MATCH(D1328,Lojas!$A$2:$A$11,0))</f>
        <v>Sudeste</v>
      </c>
      <c r="F1328" s="2" t="s">
        <v>252</v>
      </c>
      <c r="G1328" s="3" t="str">
        <f aca="false">INDEX(Produtos!$B$2:$B$11,MATCH(F1328,Produtos!$A$2:$A$11,0))&amp;" "&amp;INDEX(Produtos!$C$2:$C$11,MATCH(F1328,Produtos!$A$2:$A$11,0))</f>
        <v>Notebook Lenovo</v>
      </c>
      <c r="H1328" s="2" t="n">
        <v>1</v>
      </c>
      <c r="I1328" s="5" t="n">
        <f aca="false">INDEX(Produtos!$D$2:$D$11,MATCH(F1328,Produtos!$A$2:$A$11,0))</f>
        <v>3199</v>
      </c>
      <c r="J1328" s="5" t="n">
        <f aca="false">H1328*I1328</f>
        <v>3199</v>
      </c>
      <c r="K1328" s="5" t="n">
        <f aca="false">INDEX(Produtos!$E$2:$E$11,MATCH(F1328,Produtos!$A$2:$A$11,0))</f>
        <v>2350</v>
      </c>
      <c r="L1328" s="5" t="n">
        <f aca="false">H1328*K1328</f>
        <v>2350</v>
      </c>
    </row>
    <row r="1329" customFormat="false" ht="15" hidden="false" customHeight="false" outlineLevel="0" collapsed="false">
      <c r="A1329" s="2" t="s">
        <v>1611</v>
      </c>
      <c r="B1329" s="8" t="n">
        <v>46134</v>
      </c>
      <c r="C1329" s="2" t="s">
        <v>96</v>
      </c>
      <c r="D1329" s="3" t="str">
        <f aca="false">INDEX(Vendedores!$C$2:$C$101,MATCH(C1329,Vendedores!$A$2:$A$101,0))</f>
        <v>L03</v>
      </c>
      <c r="E1329" s="3" t="str">
        <f aca="false">INDEX(Lojas!$E$2:$E$11,MATCH(D1329,Lojas!$A$2:$A$11,0))</f>
        <v>Sudeste</v>
      </c>
      <c r="F1329" s="2" t="s">
        <v>257</v>
      </c>
      <c r="G1329" s="3" t="str">
        <f aca="false">INDEX(Produtos!$B$2:$B$11,MATCH(F1329,Produtos!$A$2:$A$11,0))&amp;" "&amp;INDEX(Produtos!$C$2:$C$11,MATCH(F1329,Produtos!$A$2:$A$11,0))</f>
        <v>Celular Samsung</v>
      </c>
      <c r="H1329" s="2" t="n">
        <v>2</v>
      </c>
      <c r="I1329" s="5" t="n">
        <f aca="false">INDEX(Produtos!$D$2:$D$11,MATCH(F1329,Produtos!$A$2:$A$11,0))</f>
        <v>2499</v>
      </c>
      <c r="J1329" s="5" t="n">
        <f aca="false">H1329*I1329</f>
        <v>4998</v>
      </c>
      <c r="K1329" s="5" t="n">
        <f aca="false">INDEX(Produtos!$E$2:$E$11,MATCH(F1329,Produtos!$A$2:$A$11,0))</f>
        <v>1800</v>
      </c>
      <c r="L1329" s="5" t="n">
        <f aca="false">H1329*K1329</f>
        <v>3600</v>
      </c>
    </row>
    <row r="1330" customFormat="false" ht="15" hidden="false" customHeight="false" outlineLevel="0" collapsed="false">
      <c r="A1330" s="2" t="s">
        <v>1612</v>
      </c>
      <c r="B1330" s="8" t="n">
        <v>46134</v>
      </c>
      <c r="C1330" s="2" t="s">
        <v>84</v>
      </c>
      <c r="D1330" s="3" t="str">
        <f aca="false">INDEX(Vendedores!$C$2:$C$101,MATCH(C1330,Vendedores!$A$2:$A$101,0))</f>
        <v>L02</v>
      </c>
      <c r="E1330" s="3" t="str">
        <f aca="false">INDEX(Lojas!$E$2:$E$11,MATCH(D1330,Lojas!$A$2:$A$11,0))</f>
        <v>Sudeste</v>
      </c>
      <c r="F1330" s="2" t="s">
        <v>252</v>
      </c>
      <c r="G1330" s="3" t="str">
        <f aca="false">INDEX(Produtos!$B$2:$B$11,MATCH(F1330,Produtos!$A$2:$A$11,0))&amp;" "&amp;INDEX(Produtos!$C$2:$C$11,MATCH(F1330,Produtos!$A$2:$A$11,0))</f>
        <v>Notebook Lenovo</v>
      </c>
      <c r="H1330" s="2" t="n">
        <v>1</v>
      </c>
      <c r="I1330" s="5" t="n">
        <f aca="false">INDEX(Produtos!$D$2:$D$11,MATCH(F1330,Produtos!$A$2:$A$11,0))</f>
        <v>3199</v>
      </c>
      <c r="J1330" s="5" t="n">
        <f aca="false">H1330*I1330</f>
        <v>3199</v>
      </c>
      <c r="K1330" s="5" t="n">
        <f aca="false">INDEX(Produtos!$E$2:$E$11,MATCH(F1330,Produtos!$A$2:$A$11,0))</f>
        <v>2350</v>
      </c>
      <c r="L1330" s="5" t="n">
        <f aca="false">H1330*K1330</f>
        <v>2350</v>
      </c>
    </row>
    <row r="1331" customFormat="false" ht="15" hidden="false" customHeight="false" outlineLevel="0" collapsed="false">
      <c r="A1331" s="2" t="s">
        <v>1613</v>
      </c>
      <c r="B1331" s="8" t="n">
        <v>46134</v>
      </c>
      <c r="C1331" s="2" t="s">
        <v>168</v>
      </c>
      <c r="D1331" s="3" t="str">
        <f aca="false">INDEX(Vendedores!$C$2:$C$101,MATCH(C1331,Vendedores!$A$2:$A$101,0))</f>
        <v>L07</v>
      </c>
      <c r="E1331" s="3" t="str">
        <f aca="false">INDEX(Lojas!$E$2:$E$11,MATCH(D1331,Lojas!$A$2:$A$11,0))</f>
        <v>Sul</v>
      </c>
      <c r="F1331" s="2" t="s">
        <v>265</v>
      </c>
      <c r="G1331" s="3" t="str">
        <f aca="false">INDEX(Produtos!$B$2:$B$11,MATCH(F1331,Produtos!$A$2:$A$11,0))&amp;" "&amp;INDEX(Produtos!$C$2:$C$11,MATCH(F1331,Produtos!$A$2:$A$11,0))</f>
        <v>Fone de Ouvido Headset</v>
      </c>
      <c r="H1331" s="2" t="n">
        <v>1</v>
      </c>
      <c r="I1331" s="5" t="n">
        <f aca="false">INDEX(Produtos!$D$2:$D$11,MATCH(F1331,Produtos!$A$2:$A$11,0))</f>
        <v>249.9</v>
      </c>
      <c r="J1331" s="5" t="n">
        <f aca="false">H1331*I1331</f>
        <v>249.9</v>
      </c>
      <c r="K1331" s="5" t="n">
        <f aca="false">INDEX(Produtos!$E$2:$E$11,MATCH(F1331,Produtos!$A$2:$A$11,0))</f>
        <v>145</v>
      </c>
      <c r="L1331" s="5" t="n">
        <f aca="false">H1331*K1331</f>
        <v>145</v>
      </c>
    </row>
    <row r="1332" customFormat="false" ht="15" hidden="false" customHeight="false" outlineLevel="0" collapsed="false">
      <c r="A1332" s="2" t="s">
        <v>1614</v>
      </c>
      <c r="B1332" s="8" t="n">
        <v>46134</v>
      </c>
      <c r="C1332" s="2" t="s">
        <v>170</v>
      </c>
      <c r="D1332" s="3" t="str">
        <f aca="false">INDEX(Vendedores!$C$2:$C$101,MATCH(C1332,Vendedores!$A$2:$A$101,0))</f>
        <v>L07</v>
      </c>
      <c r="E1332" s="3" t="str">
        <f aca="false">INDEX(Lojas!$E$2:$E$11,MATCH(D1332,Lojas!$A$2:$A$11,0))</f>
        <v>Sul</v>
      </c>
      <c r="F1332" s="2" t="s">
        <v>262</v>
      </c>
      <c r="G1332" s="3" t="str">
        <f aca="false">INDEX(Produtos!$B$2:$B$11,MATCH(F1332,Produtos!$A$2:$A$11,0))&amp;" "&amp;INDEX(Produtos!$C$2:$C$11,MATCH(F1332,Produtos!$A$2:$A$11,0))</f>
        <v>Fone de Ouvido De Celular</v>
      </c>
      <c r="H1332" s="2" t="n">
        <v>1</v>
      </c>
      <c r="I1332" s="5" t="n">
        <f aca="false">INDEX(Produtos!$D$2:$D$11,MATCH(F1332,Produtos!$A$2:$A$11,0))</f>
        <v>59.9</v>
      </c>
      <c r="J1332" s="5" t="n">
        <f aca="false">H1332*I1332</f>
        <v>59.9</v>
      </c>
      <c r="K1332" s="5" t="n">
        <f aca="false">INDEX(Produtos!$E$2:$E$11,MATCH(F1332,Produtos!$A$2:$A$11,0))</f>
        <v>28</v>
      </c>
      <c r="L1332" s="5" t="n">
        <f aca="false">H1332*K1332</f>
        <v>28</v>
      </c>
    </row>
    <row r="1333" customFormat="false" ht="15" hidden="false" customHeight="false" outlineLevel="0" collapsed="false">
      <c r="A1333" s="2" t="s">
        <v>1615</v>
      </c>
      <c r="B1333" s="8" t="n">
        <v>46134</v>
      </c>
      <c r="C1333" s="2" t="s">
        <v>88</v>
      </c>
      <c r="D1333" s="3" t="str">
        <f aca="false">INDEX(Vendedores!$C$2:$C$101,MATCH(C1333,Vendedores!$A$2:$A$101,0))</f>
        <v>L02</v>
      </c>
      <c r="E1333" s="3" t="str">
        <f aca="false">INDEX(Lojas!$E$2:$E$11,MATCH(D1333,Lojas!$A$2:$A$11,0))</f>
        <v>Sudeste</v>
      </c>
      <c r="F1333" s="2" t="s">
        <v>273</v>
      </c>
      <c r="G1333" s="3" t="str">
        <f aca="false">INDEX(Produtos!$B$2:$B$11,MATCH(F1333,Produtos!$A$2:$A$11,0))&amp;" "&amp;INDEX(Produtos!$C$2:$C$11,MATCH(F1333,Produtos!$A$2:$A$11,0))</f>
        <v>Controle de Videogame PS4</v>
      </c>
      <c r="H1333" s="2" t="n">
        <v>1</v>
      </c>
      <c r="I1333" s="5" t="n">
        <f aca="false">INDEX(Produtos!$D$2:$D$11,MATCH(F1333,Produtos!$A$2:$A$11,0))</f>
        <v>299.9</v>
      </c>
      <c r="J1333" s="5" t="n">
        <f aca="false">H1333*I1333</f>
        <v>299.9</v>
      </c>
      <c r="K1333" s="5" t="n">
        <f aca="false">INDEX(Produtos!$E$2:$E$11,MATCH(F1333,Produtos!$A$2:$A$11,0))</f>
        <v>175</v>
      </c>
      <c r="L1333" s="5" t="n">
        <f aca="false">H1333*K1333</f>
        <v>175</v>
      </c>
    </row>
    <row r="1334" customFormat="false" ht="15" hidden="false" customHeight="false" outlineLevel="0" collapsed="false">
      <c r="A1334" s="2" t="s">
        <v>1616</v>
      </c>
      <c r="B1334" s="8" t="n">
        <v>46134</v>
      </c>
      <c r="C1334" s="2" t="s">
        <v>54</v>
      </c>
      <c r="D1334" s="3" t="str">
        <f aca="false">INDEX(Vendedores!$C$2:$C$101,MATCH(C1334,Vendedores!$A$2:$A$101,0))</f>
        <v>L01</v>
      </c>
      <c r="E1334" s="3" t="str">
        <f aca="false">INDEX(Lojas!$E$2:$E$11,MATCH(D1334,Lojas!$A$2:$A$11,0))</f>
        <v>Sudeste</v>
      </c>
      <c r="F1334" s="2" t="s">
        <v>255</v>
      </c>
      <c r="G1334" s="3" t="str">
        <f aca="false">INDEX(Produtos!$B$2:$B$11,MATCH(F1334,Produtos!$A$2:$A$11,0))&amp;" "&amp;INDEX(Produtos!$C$2:$C$11,MATCH(F1334,Produtos!$A$2:$A$11,0))</f>
        <v>Notebook Positivo</v>
      </c>
      <c r="H1334" s="2" t="n">
        <v>1</v>
      </c>
      <c r="I1334" s="5" t="n">
        <f aca="false">INDEX(Produtos!$D$2:$D$11,MATCH(F1334,Produtos!$A$2:$A$11,0))</f>
        <v>2199</v>
      </c>
      <c r="J1334" s="5" t="n">
        <f aca="false">H1334*I1334</f>
        <v>2199</v>
      </c>
      <c r="K1334" s="5" t="n">
        <f aca="false">INDEX(Produtos!$E$2:$E$11,MATCH(F1334,Produtos!$A$2:$A$11,0))</f>
        <v>1550</v>
      </c>
      <c r="L1334" s="5" t="n">
        <f aca="false">H1334*K1334</f>
        <v>1550</v>
      </c>
    </row>
    <row r="1335" customFormat="false" ht="15" hidden="false" customHeight="false" outlineLevel="0" collapsed="false">
      <c r="A1335" s="2" t="s">
        <v>1617</v>
      </c>
      <c r="B1335" s="8" t="n">
        <v>46134</v>
      </c>
      <c r="C1335" s="2" t="s">
        <v>223</v>
      </c>
      <c r="D1335" s="3" t="str">
        <f aca="false">INDEX(Vendedores!$C$2:$C$101,MATCH(C1335,Vendedores!$A$2:$A$101,0))</f>
        <v>L09</v>
      </c>
      <c r="E1335" s="3" t="str">
        <f aca="false">INDEX(Lojas!$E$2:$E$11,MATCH(D1335,Lojas!$A$2:$A$11,0))</f>
        <v>Nordeste</v>
      </c>
      <c r="F1335" s="2" t="s">
        <v>257</v>
      </c>
      <c r="G1335" s="3" t="str">
        <f aca="false">INDEX(Produtos!$B$2:$B$11,MATCH(F1335,Produtos!$A$2:$A$11,0))&amp;" "&amp;INDEX(Produtos!$C$2:$C$11,MATCH(F1335,Produtos!$A$2:$A$11,0))</f>
        <v>Celular Samsung</v>
      </c>
      <c r="H1335" s="2" t="n">
        <v>1</v>
      </c>
      <c r="I1335" s="5" t="n">
        <f aca="false">INDEX(Produtos!$D$2:$D$11,MATCH(F1335,Produtos!$A$2:$A$11,0))</f>
        <v>2499</v>
      </c>
      <c r="J1335" s="5" t="n">
        <f aca="false">H1335*I1335</f>
        <v>2499</v>
      </c>
      <c r="K1335" s="5" t="n">
        <f aca="false">INDEX(Produtos!$E$2:$E$11,MATCH(F1335,Produtos!$A$2:$A$11,0))</f>
        <v>1800</v>
      </c>
      <c r="L1335" s="5" t="n">
        <f aca="false">H1335*K1335</f>
        <v>1800</v>
      </c>
    </row>
    <row r="1336" customFormat="false" ht="15" hidden="false" customHeight="false" outlineLevel="0" collapsed="false">
      <c r="A1336" s="2" t="s">
        <v>1618</v>
      </c>
      <c r="B1336" s="8" t="n">
        <v>46134</v>
      </c>
      <c r="C1336" s="2" t="s">
        <v>122</v>
      </c>
      <c r="D1336" s="3" t="str">
        <f aca="false">INDEX(Vendedores!$C$2:$C$101,MATCH(C1336,Vendedores!$A$2:$A$101,0))</f>
        <v>L04</v>
      </c>
      <c r="E1336" s="3" t="str">
        <f aca="false">INDEX(Lojas!$E$2:$E$11,MATCH(D1336,Lojas!$A$2:$A$11,0))</f>
        <v>Sudeste</v>
      </c>
      <c r="F1336" s="2" t="s">
        <v>273</v>
      </c>
      <c r="G1336" s="3" t="str">
        <f aca="false">INDEX(Produtos!$B$2:$B$11,MATCH(F1336,Produtos!$A$2:$A$11,0))&amp;" "&amp;INDEX(Produtos!$C$2:$C$11,MATCH(F1336,Produtos!$A$2:$A$11,0))</f>
        <v>Controle de Videogame PS4</v>
      </c>
      <c r="H1336" s="2" t="n">
        <v>2</v>
      </c>
      <c r="I1336" s="5" t="n">
        <f aca="false">INDEX(Produtos!$D$2:$D$11,MATCH(F1336,Produtos!$A$2:$A$11,0))</f>
        <v>299.9</v>
      </c>
      <c r="J1336" s="5" t="n">
        <f aca="false">H1336*I1336</f>
        <v>599.8</v>
      </c>
      <c r="K1336" s="5" t="n">
        <f aca="false">INDEX(Produtos!$E$2:$E$11,MATCH(F1336,Produtos!$A$2:$A$11,0))</f>
        <v>175</v>
      </c>
      <c r="L1336" s="5" t="n">
        <f aca="false">H1336*K1336</f>
        <v>350</v>
      </c>
    </row>
    <row r="1337" customFormat="false" ht="15" hidden="false" customHeight="false" outlineLevel="0" collapsed="false">
      <c r="A1337" s="2" t="s">
        <v>1619</v>
      </c>
      <c r="B1337" s="8" t="n">
        <v>46134</v>
      </c>
      <c r="C1337" s="2" t="s">
        <v>148</v>
      </c>
      <c r="D1337" s="3" t="str">
        <f aca="false">INDEX(Vendedores!$C$2:$C$101,MATCH(C1337,Vendedores!$A$2:$A$101,0))</f>
        <v>L06</v>
      </c>
      <c r="E1337" s="3" t="str">
        <f aca="false">INDEX(Lojas!$E$2:$E$11,MATCH(D1337,Lojas!$A$2:$A$11,0))</f>
        <v>Sul</v>
      </c>
      <c r="F1337" s="2" t="s">
        <v>262</v>
      </c>
      <c r="G1337" s="3" t="str">
        <f aca="false">INDEX(Produtos!$B$2:$B$11,MATCH(F1337,Produtos!$A$2:$A$11,0))&amp;" "&amp;INDEX(Produtos!$C$2:$C$11,MATCH(F1337,Produtos!$A$2:$A$11,0))</f>
        <v>Fone de Ouvido De Celular</v>
      </c>
      <c r="H1337" s="2" t="n">
        <v>2</v>
      </c>
      <c r="I1337" s="5" t="n">
        <f aca="false">INDEX(Produtos!$D$2:$D$11,MATCH(F1337,Produtos!$A$2:$A$11,0))</f>
        <v>59.9</v>
      </c>
      <c r="J1337" s="5" t="n">
        <f aca="false">H1337*I1337</f>
        <v>119.8</v>
      </c>
      <c r="K1337" s="5" t="n">
        <f aca="false">INDEX(Produtos!$E$2:$E$11,MATCH(F1337,Produtos!$A$2:$A$11,0))</f>
        <v>28</v>
      </c>
      <c r="L1337" s="5" t="n">
        <f aca="false">H1337*K1337</f>
        <v>56</v>
      </c>
    </row>
    <row r="1338" customFormat="false" ht="15" hidden="false" customHeight="false" outlineLevel="0" collapsed="false">
      <c r="A1338" s="2" t="s">
        <v>1620</v>
      </c>
      <c r="B1338" s="8" t="n">
        <v>46134</v>
      </c>
      <c r="C1338" s="2" t="s">
        <v>126</v>
      </c>
      <c r="D1338" s="3" t="str">
        <f aca="false">INDEX(Vendedores!$C$2:$C$101,MATCH(C1338,Vendedores!$A$2:$A$101,0))</f>
        <v>L04</v>
      </c>
      <c r="E1338" s="3" t="str">
        <f aca="false">INDEX(Lojas!$E$2:$E$11,MATCH(D1338,Lojas!$A$2:$A$11,0))</f>
        <v>Sudeste</v>
      </c>
      <c r="F1338" s="2" t="s">
        <v>265</v>
      </c>
      <c r="G1338" s="3" t="str">
        <f aca="false">INDEX(Produtos!$B$2:$B$11,MATCH(F1338,Produtos!$A$2:$A$11,0))&amp;" "&amp;INDEX(Produtos!$C$2:$C$11,MATCH(F1338,Produtos!$A$2:$A$11,0))</f>
        <v>Fone de Ouvido Headset</v>
      </c>
      <c r="H1338" s="2" t="n">
        <v>1</v>
      </c>
      <c r="I1338" s="5" t="n">
        <f aca="false">INDEX(Produtos!$D$2:$D$11,MATCH(F1338,Produtos!$A$2:$A$11,0))</f>
        <v>249.9</v>
      </c>
      <c r="J1338" s="5" t="n">
        <f aca="false">H1338*I1338</f>
        <v>249.9</v>
      </c>
      <c r="K1338" s="5" t="n">
        <f aca="false">INDEX(Produtos!$E$2:$E$11,MATCH(F1338,Produtos!$A$2:$A$11,0))</f>
        <v>145</v>
      </c>
      <c r="L1338" s="5" t="n">
        <f aca="false">H1338*K1338</f>
        <v>145</v>
      </c>
    </row>
    <row r="1339" customFormat="false" ht="15" hidden="false" customHeight="false" outlineLevel="0" collapsed="false">
      <c r="A1339" s="2" t="s">
        <v>1621</v>
      </c>
      <c r="B1339" s="8" t="n">
        <v>46134</v>
      </c>
      <c r="C1339" s="2" t="s">
        <v>138</v>
      </c>
      <c r="D1339" s="3" t="str">
        <f aca="false">INDEX(Vendedores!$C$2:$C$101,MATCH(C1339,Vendedores!$A$2:$A$101,0))</f>
        <v>L05</v>
      </c>
      <c r="E1339" s="3" t="str">
        <f aca="false">INDEX(Lojas!$E$2:$E$11,MATCH(D1339,Lojas!$A$2:$A$11,0))</f>
        <v>Sul</v>
      </c>
      <c r="F1339" s="2" t="s">
        <v>262</v>
      </c>
      <c r="G1339" s="3" t="str">
        <f aca="false">INDEX(Produtos!$B$2:$B$11,MATCH(F1339,Produtos!$A$2:$A$11,0))&amp;" "&amp;INDEX(Produtos!$C$2:$C$11,MATCH(F1339,Produtos!$A$2:$A$11,0))</f>
        <v>Fone de Ouvido De Celular</v>
      </c>
      <c r="H1339" s="2" t="n">
        <v>2</v>
      </c>
      <c r="I1339" s="5" t="n">
        <f aca="false">INDEX(Produtos!$D$2:$D$11,MATCH(F1339,Produtos!$A$2:$A$11,0))</f>
        <v>59.9</v>
      </c>
      <c r="J1339" s="5" t="n">
        <f aca="false">H1339*I1339</f>
        <v>119.8</v>
      </c>
      <c r="K1339" s="5" t="n">
        <f aca="false">INDEX(Produtos!$E$2:$E$11,MATCH(F1339,Produtos!$A$2:$A$11,0))</f>
        <v>28</v>
      </c>
      <c r="L1339" s="5" t="n">
        <f aca="false">H1339*K1339</f>
        <v>56</v>
      </c>
    </row>
    <row r="1340" customFormat="false" ht="15" hidden="false" customHeight="false" outlineLevel="0" collapsed="false">
      <c r="A1340" s="2" t="s">
        <v>1622</v>
      </c>
      <c r="B1340" s="8" t="n">
        <v>46135</v>
      </c>
      <c r="C1340" s="2" t="s">
        <v>195</v>
      </c>
      <c r="D1340" s="3" t="str">
        <f aca="false">INDEX(Vendedores!$C$2:$C$101,MATCH(C1340,Vendedores!$A$2:$A$101,0))</f>
        <v>L08</v>
      </c>
      <c r="E1340" s="3" t="str">
        <f aca="false">INDEX(Lojas!$E$2:$E$11,MATCH(D1340,Lojas!$A$2:$A$11,0))</f>
        <v>Nordeste</v>
      </c>
      <c r="F1340" s="2" t="s">
        <v>273</v>
      </c>
      <c r="G1340" s="3" t="str">
        <f aca="false">INDEX(Produtos!$B$2:$B$11,MATCH(F1340,Produtos!$A$2:$A$11,0))&amp;" "&amp;INDEX(Produtos!$C$2:$C$11,MATCH(F1340,Produtos!$A$2:$A$11,0))</f>
        <v>Controle de Videogame PS4</v>
      </c>
      <c r="H1340" s="2" t="n">
        <v>1</v>
      </c>
      <c r="I1340" s="5" t="n">
        <f aca="false">INDEX(Produtos!$D$2:$D$11,MATCH(F1340,Produtos!$A$2:$A$11,0))</f>
        <v>299.9</v>
      </c>
      <c r="J1340" s="5" t="n">
        <f aca="false">H1340*I1340</f>
        <v>299.9</v>
      </c>
      <c r="K1340" s="5" t="n">
        <f aca="false">INDEX(Produtos!$E$2:$E$11,MATCH(F1340,Produtos!$A$2:$A$11,0))</f>
        <v>175</v>
      </c>
      <c r="L1340" s="5" t="n">
        <f aca="false">H1340*K1340</f>
        <v>175</v>
      </c>
    </row>
    <row r="1341" customFormat="false" ht="15" hidden="false" customHeight="false" outlineLevel="0" collapsed="false">
      <c r="A1341" s="2" t="s">
        <v>1623</v>
      </c>
      <c r="B1341" s="8" t="n">
        <v>46135</v>
      </c>
      <c r="C1341" s="2" t="s">
        <v>178</v>
      </c>
      <c r="D1341" s="3" t="str">
        <f aca="false">INDEX(Vendedores!$C$2:$C$101,MATCH(C1341,Vendedores!$A$2:$A$101,0))</f>
        <v>L07</v>
      </c>
      <c r="E1341" s="3" t="str">
        <f aca="false">INDEX(Lojas!$E$2:$E$11,MATCH(D1341,Lojas!$A$2:$A$11,0))</f>
        <v>Sul</v>
      </c>
      <c r="F1341" s="2" t="s">
        <v>275</v>
      </c>
      <c r="G1341" s="3" t="str">
        <f aca="false">INDEX(Produtos!$B$2:$B$11,MATCH(F1341,Produtos!$A$2:$A$11,0))&amp;" "&amp;INDEX(Produtos!$C$2:$C$11,MATCH(F1341,Produtos!$A$2:$A$11,0))</f>
        <v>Controle de Videogame PS5</v>
      </c>
      <c r="H1341" s="2" t="n">
        <v>1</v>
      </c>
      <c r="I1341" s="5" t="n">
        <f aca="false">INDEX(Produtos!$D$2:$D$11,MATCH(F1341,Produtos!$A$2:$A$11,0))</f>
        <v>379.9</v>
      </c>
      <c r="J1341" s="5" t="n">
        <f aca="false">H1341*I1341</f>
        <v>379.9</v>
      </c>
      <c r="K1341" s="5" t="n">
        <f aca="false">INDEX(Produtos!$E$2:$E$11,MATCH(F1341,Produtos!$A$2:$A$11,0))</f>
        <v>235</v>
      </c>
      <c r="L1341" s="5" t="n">
        <f aca="false">H1341*K1341</f>
        <v>235</v>
      </c>
    </row>
    <row r="1342" customFormat="false" ht="15" hidden="false" customHeight="false" outlineLevel="0" collapsed="false">
      <c r="A1342" s="2" t="s">
        <v>1624</v>
      </c>
      <c r="B1342" s="8" t="n">
        <v>46135</v>
      </c>
      <c r="C1342" s="2" t="s">
        <v>122</v>
      </c>
      <c r="D1342" s="3" t="str">
        <f aca="false">INDEX(Vendedores!$C$2:$C$101,MATCH(C1342,Vendedores!$A$2:$A$101,0))</f>
        <v>L04</v>
      </c>
      <c r="E1342" s="3" t="str">
        <f aca="false">INDEX(Lojas!$E$2:$E$11,MATCH(D1342,Lojas!$A$2:$A$11,0))</f>
        <v>Sudeste</v>
      </c>
      <c r="F1342" s="2" t="s">
        <v>255</v>
      </c>
      <c r="G1342" s="3" t="str">
        <f aca="false">INDEX(Produtos!$B$2:$B$11,MATCH(F1342,Produtos!$A$2:$A$11,0))&amp;" "&amp;INDEX(Produtos!$C$2:$C$11,MATCH(F1342,Produtos!$A$2:$A$11,0))</f>
        <v>Notebook Positivo</v>
      </c>
      <c r="H1342" s="2" t="n">
        <v>1</v>
      </c>
      <c r="I1342" s="5" t="n">
        <f aca="false">INDEX(Produtos!$D$2:$D$11,MATCH(F1342,Produtos!$A$2:$A$11,0))</f>
        <v>2199</v>
      </c>
      <c r="J1342" s="5" t="n">
        <f aca="false">H1342*I1342</f>
        <v>2199</v>
      </c>
      <c r="K1342" s="5" t="n">
        <f aca="false">INDEX(Produtos!$E$2:$E$11,MATCH(F1342,Produtos!$A$2:$A$11,0))</f>
        <v>1550</v>
      </c>
      <c r="L1342" s="5" t="n">
        <f aca="false">H1342*K1342</f>
        <v>1550</v>
      </c>
    </row>
    <row r="1343" customFormat="false" ht="15" hidden="false" customHeight="false" outlineLevel="0" collapsed="false">
      <c r="A1343" s="2" t="s">
        <v>1625</v>
      </c>
      <c r="B1343" s="8" t="n">
        <v>46135</v>
      </c>
      <c r="C1343" s="2" t="s">
        <v>189</v>
      </c>
      <c r="D1343" s="3" t="str">
        <f aca="false">INDEX(Vendedores!$C$2:$C$101,MATCH(C1343,Vendedores!$A$2:$A$101,0))</f>
        <v>L08</v>
      </c>
      <c r="E1343" s="3" t="str">
        <f aca="false">INDEX(Lojas!$E$2:$E$11,MATCH(D1343,Lojas!$A$2:$A$11,0))</f>
        <v>Nordeste</v>
      </c>
      <c r="F1343" s="2" t="s">
        <v>260</v>
      </c>
      <c r="G1343" s="3" t="str">
        <f aca="false">INDEX(Produtos!$B$2:$B$11,MATCH(F1343,Produtos!$A$2:$A$11,0))&amp;" "&amp;INDEX(Produtos!$C$2:$C$11,MATCH(F1343,Produtos!$A$2:$A$11,0))</f>
        <v>Celular Motorola</v>
      </c>
      <c r="H1343" s="2" t="n">
        <v>2</v>
      </c>
      <c r="I1343" s="5" t="n">
        <f aca="false">INDEX(Produtos!$D$2:$D$11,MATCH(F1343,Produtos!$A$2:$A$11,0))</f>
        <v>1799</v>
      </c>
      <c r="J1343" s="5" t="n">
        <f aca="false">H1343*I1343</f>
        <v>3598</v>
      </c>
      <c r="K1343" s="5" t="n">
        <f aca="false">INDEX(Produtos!$E$2:$E$11,MATCH(F1343,Produtos!$A$2:$A$11,0))</f>
        <v>1250</v>
      </c>
      <c r="L1343" s="5" t="n">
        <f aca="false">H1343*K1343</f>
        <v>2500</v>
      </c>
    </row>
    <row r="1344" customFormat="false" ht="15" hidden="false" customHeight="false" outlineLevel="0" collapsed="false">
      <c r="A1344" s="2" t="s">
        <v>1626</v>
      </c>
      <c r="B1344" s="8" t="n">
        <v>46135</v>
      </c>
      <c r="C1344" s="2" t="s">
        <v>52</v>
      </c>
      <c r="D1344" s="3" t="str">
        <f aca="false">INDEX(Vendedores!$C$2:$C$101,MATCH(C1344,Vendedores!$A$2:$A$101,0))</f>
        <v>L01</v>
      </c>
      <c r="E1344" s="3" t="str">
        <f aca="false">INDEX(Lojas!$E$2:$E$11,MATCH(D1344,Lojas!$A$2:$A$11,0))</f>
        <v>Sudeste</v>
      </c>
      <c r="F1344" s="2" t="s">
        <v>257</v>
      </c>
      <c r="G1344" s="3" t="str">
        <f aca="false">INDEX(Produtos!$B$2:$B$11,MATCH(F1344,Produtos!$A$2:$A$11,0))&amp;" "&amp;INDEX(Produtos!$C$2:$C$11,MATCH(F1344,Produtos!$A$2:$A$11,0))</f>
        <v>Celular Samsung</v>
      </c>
      <c r="H1344" s="2" t="n">
        <v>1</v>
      </c>
      <c r="I1344" s="5" t="n">
        <f aca="false">INDEX(Produtos!$D$2:$D$11,MATCH(F1344,Produtos!$A$2:$A$11,0))</f>
        <v>2499</v>
      </c>
      <c r="J1344" s="5" t="n">
        <f aca="false">H1344*I1344</f>
        <v>2499</v>
      </c>
      <c r="K1344" s="5" t="n">
        <f aca="false">INDEX(Produtos!$E$2:$E$11,MATCH(F1344,Produtos!$A$2:$A$11,0))</f>
        <v>1800</v>
      </c>
      <c r="L1344" s="5" t="n">
        <f aca="false">H1344*K1344</f>
        <v>1800</v>
      </c>
    </row>
    <row r="1345" customFormat="false" ht="15" hidden="false" customHeight="false" outlineLevel="0" collapsed="false">
      <c r="A1345" s="2" t="s">
        <v>1627</v>
      </c>
      <c r="B1345" s="8" t="n">
        <v>46136</v>
      </c>
      <c r="C1345" s="2" t="s">
        <v>106</v>
      </c>
      <c r="D1345" s="3" t="str">
        <f aca="false">INDEX(Vendedores!$C$2:$C$101,MATCH(C1345,Vendedores!$A$2:$A$101,0))</f>
        <v>L03</v>
      </c>
      <c r="E1345" s="3" t="str">
        <f aca="false">INDEX(Lojas!$E$2:$E$11,MATCH(D1345,Lojas!$A$2:$A$11,0))</f>
        <v>Sudeste</v>
      </c>
      <c r="F1345" s="2" t="s">
        <v>252</v>
      </c>
      <c r="G1345" s="3" t="str">
        <f aca="false">INDEX(Produtos!$B$2:$B$11,MATCH(F1345,Produtos!$A$2:$A$11,0))&amp;" "&amp;INDEX(Produtos!$C$2:$C$11,MATCH(F1345,Produtos!$A$2:$A$11,0))</f>
        <v>Notebook Lenovo</v>
      </c>
      <c r="H1345" s="2" t="n">
        <v>1</v>
      </c>
      <c r="I1345" s="5" t="n">
        <f aca="false">INDEX(Produtos!$D$2:$D$11,MATCH(F1345,Produtos!$A$2:$A$11,0))</f>
        <v>3199</v>
      </c>
      <c r="J1345" s="5" t="n">
        <f aca="false">H1345*I1345</f>
        <v>3199</v>
      </c>
      <c r="K1345" s="5" t="n">
        <f aca="false">INDEX(Produtos!$E$2:$E$11,MATCH(F1345,Produtos!$A$2:$A$11,0))</f>
        <v>2350</v>
      </c>
      <c r="L1345" s="5" t="n">
        <f aca="false">H1345*K1345</f>
        <v>2350</v>
      </c>
    </row>
    <row r="1346" customFormat="false" ht="15" hidden="false" customHeight="false" outlineLevel="0" collapsed="false">
      <c r="A1346" s="2" t="s">
        <v>1628</v>
      </c>
      <c r="B1346" s="8" t="n">
        <v>46136</v>
      </c>
      <c r="C1346" s="2" t="s">
        <v>179</v>
      </c>
      <c r="D1346" s="3" t="str">
        <f aca="false">INDEX(Vendedores!$C$2:$C$101,MATCH(C1346,Vendedores!$A$2:$A$101,0))</f>
        <v>L07</v>
      </c>
      <c r="E1346" s="3" t="str">
        <f aca="false">INDEX(Lojas!$E$2:$E$11,MATCH(D1346,Lojas!$A$2:$A$11,0))</f>
        <v>Sul</v>
      </c>
      <c r="F1346" s="2" t="s">
        <v>267</v>
      </c>
      <c r="G1346" s="3" t="str">
        <f aca="false">INDEX(Produtos!$B$2:$B$11,MATCH(F1346,Produtos!$A$2:$A$11,0))&amp;" "&amp;INDEX(Produtos!$C$2:$C$11,MATCH(F1346,Produtos!$A$2:$A$11,0))</f>
        <v>Carregador de Celular Tipo C</v>
      </c>
      <c r="H1346" s="2" t="n">
        <v>1</v>
      </c>
      <c r="I1346" s="5" t="n">
        <f aca="false">INDEX(Produtos!$D$2:$D$11,MATCH(F1346,Produtos!$A$2:$A$11,0))</f>
        <v>44.9</v>
      </c>
      <c r="J1346" s="5" t="n">
        <f aca="false">H1346*I1346</f>
        <v>44.9</v>
      </c>
      <c r="K1346" s="5" t="n">
        <f aca="false">INDEX(Produtos!$E$2:$E$11,MATCH(F1346,Produtos!$A$2:$A$11,0))</f>
        <v>18</v>
      </c>
      <c r="L1346" s="5" t="n">
        <f aca="false">H1346*K1346</f>
        <v>18</v>
      </c>
    </row>
    <row r="1347" customFormat="false" ht="15" hidden="false" customHeight="false" outlineLevel="0" collapsed="false">
      <c r="A1347" s="2" t="s">
        <v>1629</v>
      </c>
      <c r="B1347" s="8" t="n">
        <v>46136</v>
      </c>
      <c r="C1347" s="2" t="s">
        <v>86</v>
      </c>
      <c r="D1347" s="3" t="str">
        <f aca="false">INDEX(Vendedores!$C$2:$C$101,MATCH(C1347,Vendedores!$A$2:$A$101,0))</f>
        <v>L02</v>
      </c>
      <c r="E1347" s="3" t="str">
        <f aca="false">INDEX(Lojas!$E$2:$E$11,MATCH(D1347,Lojas!$A$2:$A$11,0))</f>
        <v>Sudeste</v>
      </c>
      <c r="F1347" s="2" t="s">
        <v>275</v>
      </c>
      <c r="G1347" s="3" t="str">
        <f aca="false">INDEX(Produtos!$B$2:$B$11,MATCH(F1347,Produtos!$A$2:$A$11,0))&amp;" "&amp;INDEX(Produtos!$C$2:$C$11,MATCH(F1347,Produtos!$A$2:$A$11,0))</f>
        <v>Controle de Videogame PS5</v>
      </c>
      <c r="H1347" s="2" t="n">
        <v>2</v>
      </c>
      <c r="I1347" s="5" t="n">
        <f aca="false">INDEX(Produtos!$D$2:$D$11,MATCH(F1347,Produtos!$A$2:$A$11,0))</f>
        <v>379.9</v>
      </c>
      <c r="J1347" s="5" t="n">
        <f aca="false">H1347*I1347</f>
        <v>759.8</v>
      </c>
      <c r="K1347" s="5" t="n">
        <f aca="false">INDEX(Produtos!$E$2:$E$11,MATCH(F1347,Produtos!$A$2:$A$11,0))</f>
        <v>235</v>
      </c>
      <c r="L1347" s="5" t="n">
        <f aca="false">H1347*K1347</f>
        <v>470</v>
      </c>
    </row>
    <row r="1348" customFormat="false" ht="15" hidden="false" customHeight="false" outlineLevel="0" collapsed="false">
      <c r="A1348" s="2" t="s">
        <v>1630</v>
      </c>
      <c r="B1348" s="8" t="n">
        <v>46136</v>
      </c>
      <c r="C1348" s="2" t="s">
        <v>241</v>
      </c>
      <c r="D1348" s="3" t="str">
        <f aca="false">INDEX(Vendedores!$C$2:$C$101,MATCH(C1348,Vendedores!$A$2:$A$101,0))</f>
        <v>L10</v>
      </c>
      <c r="E1348" s="3" t="str">
        <f aca="false">INDEX(Lojas!$E$2:$E$11,MATCH(D1348,Lojas!$A$2:$A$11,0))</f>
        <v>Nordeste</v>
      </c>
      <c r="F1348" s="2" t="s">
        <v>252</v>
      </c>
      <c r="G1348" s="3" t="str">
        <f aca="false">INDEX(Produtos!$B$2:$B$11,MATCH(F1348,Produtos!$A$2:$A$11,0))&amp;" "&amp;INDEX(Produtos!$C$2:$C$11,MATCH(F1348,Produtos!$A$2:$A$11,0))</f>
        <v>Notebook Lenovo</v>
      </c>
      <c r="H1348" s="2" t="n">
        <v>1</v>
      </c>
      <c r="I1348" s="5" t="n">
        <f aca="false">INDEX(Produtos!$D$2:$D$11,MATCH(F1348,Produtos!$A$2:$A$11,0))</f>
        <v>3199</v>
      </c>
      <c r="J1348" s="5" t="n">
        <f aca="false">H1348*I1348</f>
        <v>3199</v>
      </c>
      <c r="K1348" s="5" t="n">
        <f aca="false">INDEX(Produtos!$E$2:$E$11,MATCH(F1348,Produtos!$A$2:$A$11,0))</f>
        <v>2350</v>
      </c>
      <c r="L1348" s="5" t="n">
        <f aca="false">H1348*K1348</f>
        <v>2350</v>
      </c>
    </row>
    <row r="1349" customFormat="false" ht="15" hidden="false" customHeight="false" outlineLevel="0" collapsed="false">
      <c r="A1349" s="2" t="s">
        <v>1631</v>
      </c>
      <c r="B1349" s="8" t="n">
        <v>46136</v>
      </c>
      <c r="C1349" s="2" t="s">
        <v>126</v>
      </c>
      <c r="D1349" s="3" t="str">
        <f aca="false">INDEX(Vendedores!$C$2:$C$101,MATCH(C1349,Vendedores!$A$2:$A$101,0))</f>
        <v>L04</v>
      </c>
      <c r="E1349" s="3" t="str">
        <f aca="false">INDEX(Lojas!$E$2:$E$11,MATCH(D1349,Lojas!$A$2:$A$11,0))</f>
        <v>Sudeste</v>
      </c>
      <c r="F1349" s="2" t="s">
        <v>267</v>
      </c>
      <c r="G1349" s="3" t="str">
        <f aca="false">INDEX(Produtos!$B$2:$B$11,MATCH(F1349,Produtos!$A$2:$A$11,0))&amp;" "&amp;INDEX(Produtos!$C$2:$C$11,MATCH(F1349,Produtos!$A$2:$A$11,0))</f>
        <v>Carregador de Celular Tipo C</v>
      </c>
      <c r="H1349" s="2" t="n">
        <v>2</v>
      </c>
      <c r="I1349" s="5" t="n">
        <f aca="false">INDEX(Produtos!$D$2:$D$11,MATCH(F1349,Produtos!$A$2:$A$11,0))</f>
        <v>44.9</v>
      </c>
      <c r="J1349" s="5" t="n">
        <f aca="false">H1349*I1349</f>
        <v>89.8</v>
      </c>
      <c r="K1349" s="5" t="n">
        <f aca="false">INDEX(Produtos!$E$2:$E$11,MATCH(F1349,Produtos!$A$2:$A$11,0))</f>
        <v>18</v>
      </c>
      <c r="L1349" s="5" t="n">
        <f aca="false">H1349*K1349</f>
        <v>36</v>
      </c>
    </row>
    <row r="1350" customFormat="false" ht="15" hidden="false" customHeight="false" outlineLevel="0" collapsed="false">
      <c r="A1350" s="2" t="s">
        <v>1632</v>
      </c>
      <c r="B1350" s="8" t="n">
        <v>46136</v>
      </c>
      <c r="C1350" s="2" t="s">
        <v>98</v>
      </c>
      <c r="D1350" s="3" t="str">
        <f aca="false">INDEX(Vendedores!$C$2:$C$101,MATCH(C1350,Vendedores!$A$2:$A$101,0))</f>
        <v>L03</v>
      </c>
      <c r="E1350" s="3" t="str">
        <f aca="false">INDEX(Lojas!$E$2:$E$11,MATCH(D1350,Lojas!$A$2:$A$11,0))</f>
        <v>Sudeste</v>
      </c>
      <c r="F1350" s="2" t="s">
        <v>273</v>
      </c>
      <c r="G1350" s="3" t="str">
        <f aca="false">INDEX(Produtos!$B$2:$B$11,MATCH(F1350,Produtos!$A$2:$A$11,0))&amp;" "&amp;INDEX(Produtos!$C$2:$C$11,MATCH(F1350,Produtos!$A$2:$A$11,0))</f>
        <v>Controle de Videogame PS4</v>
      </c>
      <c r="H1350" s="2" t="n">
        <v>1</v>
      </c>
      <c r="I1350" s="5" t="n">
        <f aca="false">INDEX(Produtos!$D$2:$D$11,MATCH(F1350,Produtos!$A$2:$A$11,0))</f>
        <v>299.9</v>
      </c>
      <c r="J1350" s="5" t="n">
        <f aca="false">H1350*I1350</f>
        <v>299.9</v>
      </c>
      <c r="K1350" s="5" t="n">
        <f aca="false">INDEX(Produtos!$E$2:$E$11,MATCH(F1350,Produtos!$A$2:$A$11,0))</f>
        <v>175</v>
      </c>
      <c r="L1350" s="5" t="n">
        <f aca="false">H1350*K1350</f>
        <v>175</v>
      </c>
    </row>
    <row r="1351" customFormat="false" ht="15" hidden="false" customHeight="false" outlineLevel="0" collapsed="false">
      <c r="A1351" s="2" t="s">
        <v>1633</v>
      </c>
      <c r="B1351" s="8" t="n">
        <v>46136</v>
      </c>
      <c r="C1351" s="2" t="s">
        <v>102</v>
      </c>
      <c r="D1351" s="3" t="str">
        <f aca="false">INDEX(Vendedores!$C$2:$C$101,MATCH(C1351,Vendedores!$A$2:$A$101,0))</f>
        <v>L03</v>
      </c>
      <c r="E1351" s="3" t="str">
        <f aca="false">INDEX(Lojas!$E$2:$E$11,MATCH(D1351,Lojas!$A$2:$A$11,0))</f>
        <v>Sudeste</v>
      </c>
      <c r="F1351" s="2" t="s">
        <v>273</v>
      </c>
      <c r="G1351" s="3" t="str">
        <f aca="false">INDEX(Produtos!$B$2:$B$11,MATCH(F1351,Produtos!$A$2:$A$11,0))&amp;" "&amp;INDEX(Produtos!$C$2:$C$11,MATCH(F1351,Produtos!$A$2:$A$11,0))</f>
        <v>Controle de Videogame PS4</v>
      </c>
      <c r="H1351" s="2" t="n">
        <v>1</v>
      </c>
      <c r="I1351" s="5" t="n">
        <f aca="false">INDEX(Produtos!$D$2:$D$11,MATCH(F1351,Produtos!$A$2:$A$11,0))</f>
        <v>299.9</v>
      </c>
      <c r="J1351" s="5" t="n">
        <f aca="false">H1351*I1351</f>
        <v>299.9</v>
      </c>
      <c r="K1351" s="5" t="n">
        <f aca="false">INDEX(Produtos!$E$2:$E$11,MATCH(F1351,Produtos!$A$2:$A$11,0))</f>
        <v>175</v>
      </c>
      <c r="L1351" s="5" t="n">
        <f aca="false">H1351*K1351</f>
        <v>175</v>
      </c>
    </row>
    <row r="1352" customFormat="false" ht="15" hidden="false" customHeight="false" outlineLevel="0" collapsed="false">
      <c r="A1352" s="2" t="s">
        <v>1634</v>
      </c>
      <c r="B1352" s="8" t="n">
        <v>46136</v>
      </c>
      <c r="C1352" s="2" t="s">
        <v>58</v>
      </c>
      <c r="D1352" s="3" t="str">
        <f aca="false">INDEX(Vendedores!$C$2:$C$101,MATCH(C1352,Vendedores!$A$2:$A$101,0))</f>
        <v>L01</v>
      </c>
      <c r="E1352" s="3" t="str">
        <f aca="false">INDEX(Lojas!$E$2:$E$11,MATCH(D1352,Lojas!$A$2:$A$11,0))</f>
        <v>Sudeste</v>
      </c>
      <c r="F1352" s="2" t="s">
        <v>252</v>
      </c>
      <c r="G1352" s="3" t="str">
        <f aca="false">INDEX(Produtos!$B$2:$B$11,MATCH(F1352,Produtos!$A$2:$A$11,0))&amp;" "&amp;INDEX(Produtos!$C$2:$C$11,MATCH(F1352,Produtos!$A$2:$A$11,0))</f>
        <v>Notebook Lenovo</v>
      </c>
      <c r="H1352" s="2" t="n">
        <v>2</v>
      </c>
      <c r="I1352" s="5" t="n">
        <f aca="false">INDEX(Produtos!$D$2:$D$11,MATCH(F1352,Produtos!$A$2:$A$11,0))</f>
        <v>3199</v>
      </c>
      <c r="J1352" s="5" t="n">
        <f aca="false">H1352*I1352</f>
        <v>6398</v>
      </c>
      <c r="K1352" s="5" t="n">
        <f aca="false">INDEX(Produtos!$E$2:$E$11,MATCH(F1352,Produtos!$A$2:$A$11,0))</f>
        <v>2350</v>
      </c>
      <c r="L1352" s="5" t="n">
        <f aca="false">H1352*K1352</f>
        <v>4700</v>
      </c>
    </row>
    <row r="1353" customFormat="false" ht="15" hidden="false" customHeight="false" outlineLevel="0" collapsed="false">
      <c r="A1353" s="2" t="s">
        <v>1635</v>
      </c>
      <c r="B1353" s="8" t="n">
        <v>46136</v>
      </c>
      <c r="C1353" s="2" t="s">
        <v>129</v>
      </c>
      <c r="D1353" s="3" t="str">
        <f aca="false">INDEX(Vendedores!$C$2:$C$101,MATCH(C1353,Vendedores!$A$2:$A$101,0))</f>
        <v>L05</v>
      </c>
      <c r="E1353" s="3" t="str">
        <f aca="false">INDEX(Lojas!$E$2:$E$11,MATCH(D1353,Lojas!$A$2:$A$11,0))</f>
        <v>Sul</v>
      </c>
      <c r="F1353" s="2" t="s">
        <v>275</v>
      </c>
      <c r="G1353" s="3" t="str">
        <f aca="false">INDEX(Produtos!$B$2:$B$11,MATCH(F1353,Produtos!$A$2:$A$11,0))&amp;" "&amp;INDEX(Produtos!$C$2:$C$11,MATCH(F1353,Produtos!$A$2:$A$11,0))</f>
        <v>Controle de Videogame PS5</v>
      </c>
      <c r="H1353" s="2" t="n">
        <v>1</v>
      </c>
      <c r="I1353" s="5" t="n">
        <f aca="false">INDEX(Produtos!$D$2:$D$11,MATCH(F1353,Produtos!$A$2:$A$11,0))</f>
        <v>379.9</v>
      </c>
      <c r="J1353" s="5" t="n">
        <f aca="false">H1353*I1353</f>
        <v>379.9</v>
      </c>
      <c r="K1353" s="5" t="n">
        <f aca="false">INDEX(Produtos!$E$2:$E$11,MATCH(F1353,Produtos!$A$2:$A$11,0))</f>
        <v>235</v>
      </c>
      <c r="L1353" s="5" t="n">
        <f aca="false">H1353*K1353</f>
        <v>235</v>
      </c>
    </row>
    <row r="1354" customFormat="false" ht="15" hidden="false" customHeight="false" outlineLevel="0" collapsed="false">
      <c r="A1354" s="2" t="s">
        <v>1636</v>
      </c>
      <c r="B1354" s="8" t="n">
        <v>46136</v>
      </c>
      <c r="C1354" s="2" t="s">
        <v>180</v>
      </c>
      <c r="D1354" s="3" t="str">
        <f aca="false">INDEX(Vendedores!$C$2:$C$101,MATCH(C1354,Vendedores!$A$2:$A$101,0))</f>
        <v>L07</v>
      </c>
      <c r="E1354" s="3" t="str">
        <f aca="false">INDEX(Lojas!$E$2:$E$11,MATCH(D1354,Lojas!$A$2:$A$11,0))</f>
        <v>Sul</v>
      </c>
      <c r="F1354" s="2" t="s">
        <v>265</v>
      </c>
      <c r="G1354" s="3" t="str">
        <f aca="false">INDEX(Produtos!$B$2:$B$11,MATCH(F1354,Produtos!$A$2:$A$11,0))&amp;" "&amp;INDEX(Produtos!$C$2:$C$11,MATCH(F1354,Produtos!$A$2:$A$11,0))</f>
        <v>Fone de Ouvido Headset</v>
      </c>
      <c r="H1354" s="2" t="n">
        <v>2</v>
      </c>
      <c r="I1354" s="5" t="n">
        <f aca="false">INDEX(Produtos!$D$2:$D$11,MATCH(F1354,Produtos!$A$2:$A$11,0))</f>
        <v>249.9</v>
      </c>
      <c r="J1354" s="5" t="n">
        <f aca="false">H1354*I1354</f>
        <v>499.8</v>
      </c>
      <c r="K1354" s="5" t="n">
        <f aca="false">INDEX(Produtos!$E$2:$E$11,MATCH(F1354,Produtos!$A$2:$A$11,0))</f>
        <v>145</v>
      </c>
      <c r="L1354" s="5" t="n">
        <f aca="false">H1354*K1354</f>
        <v>290</v>
      </c>
    </row>
    <row r="1355" customFormat="false" ht="15" hidden="false" customHeight="false" outlineLevel="0" collapsed="false">
      <c r="A1355" s="2" t="s">
        <v>1637</v>
      </c>
      <c r="B1355" s="8" t="n">
        <v>46136</v>
      </c>
      <c r="C1355" s="2" t="s">
        <v>179</v>
      </c>
      <c r="D1355" s="3" t="str">
        <f aca="false">INDEX(Vendedores!$C$2:$C$101,MATCH(C1355,Vendedores!$A$2:$A$101,0))</f>
        <v>L07</v>
      </c>
      <c r="E1355" s="3" t="str">
        <f aca="false">INDEX(Lojas!$E$2:$E$11,MATCH(D1355,Lojas!$A$2:$A$11,0))</f>
        <v>Sul</v>
      </c>
      <c r="F1355" s="2" t="s">
        <v>273</v>
      </c>
      <c r="G1355" s="3" t="str">
        <f aca="false">INDEX(Produtos!$B$2:$B$11,MATCH(F1355,Produtos!$A$2:$A$11,0))&amp;" "&amp;INDEX(Produtos!$C$2:$C$11,MATCH(F1355,Produtos!$A$2:$A$11,0))</f>
        <v>Controle de Videogame PS4</v>
      </c>
      <c r="H1355" s="2" t="n">
        <v>1</v>
      </c>
      <c r="I1355" s="5" t="n">
        <f aca="false">INDEX(Produtos!$D$2:$D$11,MATCH(F1355,Produtos!$A$2:$A$11,0))</f>
        <v>299.9</v>
      </c>
      <c r="J1355" s="5" t="n">
        <f aca="false">H1355*I1355</f>
        <v>299.9</v>
      </c>
      <c r="K1355" s="5" t="n">
        <f aca="false">INDEX(Produtos!$E$2:$E$11,MATCH(F1355,Produtos!$A$2:$A$11,0))</f>
        <v>175</v>
      </c>
      <c r="L1355" s="5" t="n">
        <f aca="false">H1355*K1355</f>
        <v>175</v>
      </c>
    </row>
    <row r="1356" customFormat="false" ht="15" hidden="false" customHeight="false" outlineLevel="0" collapsed="false">
      <c r="A1356" s="2" t="s">
        <v>1638</v>
      </c>
      <c r="B1356" s="8" t="n">
        <v>46136</v>
      </c>
      <c r="C1356" s="2" t="s">
        <v>221</v>
      </c>
      <c r="D1356" s="3" t="str">
        <f aca="false">INDEX(Vendedores!$C$2:$C$101,MATCH(C1356,Vendedores!$A$2:$A$101,0))</f>
        <v>L09</v>
      </c>
      <c r="E1356" s="3" t="str">
        <f aca="false">INDEX(Lojas!$E$2:$E$11,MATCH(D1356,Lojas!$A$2:$A$11,0))</f>
        <v>Nordeste</v>
      </c>
      <c r="F1356" s="2" t="s">
        <v>275</v>
      </c>
      <c r="G1356" s="3" t="str">
        <f aca="false">INDEX(Produtos!$B$2:$B$11,MATCH(F1356,Produtos!$A$2:$A$11,0))&amp;" "&amp;INDEX(Produtos!$C$2:$C$11,MATCH(F1356,Produtos!$A$2:$A$11,0))</f>
        <v>Controle de Videogame PS5</v>
      </c>
      <c r="H1356" s="2" t="n">
        <v>1</v>
      </c>
      <c r="I1356" s="5" t="n">
        <f aca="false">INDEX(Produtos!$D$2:$D$11,MATCH(F1356,Produtos!$A$2:$A$11,0))</f>
        <v>379.9</v>
      </c>
      <c r="J1356" s="5" t="n">
        <f aca="false">H1356*I1356</f>
        <v>379.9</v>
      </c>
      <c r="K1356" s="5" t="n">
        <f aca="false">INDEX(Produtos!$E$2:$E$11,MATCH(F1356,Produtos!$A$2:$A$11,0))</f>
        <v>235</v>
      </c>
      <c r="L1356" s="5" t="n">
        <f aca="false">H1356*K1356</f>
        <v>235</v>
      </c>
    </row>
    <row r="1357" customFormat="false" ht="15" hidden="false" customHeight="false" outlineLevel="0" collapsed="false">
      <c r="A1357" s="2" t="s">
        <v>1639</v>
      </c>
      <c r="B1357" s="8" t="n">
        <v>46136</v>
      </c>
      <c r="C1357" s="2" t="s">
        <v>133</v>
      </c>
      <c r="D1357" s="3" t="str">
        <f aca="false">INDEX(Vendedores!$C$2:$C$101,MATCH(C1357,Vendedores!$A$2:$A$101,0))</f>
        <v>L05</v>
      </c>
      <c r="E1357" s="3" t="str">
        <f aca="false">INDEX(Lojas!$E$2:$E$11,MATCH(D1357,Lojas!$A$2:$A$11,0))</f>
        <v>Sul</v>
      </c>
      <c r="F1357" s="2" t="s">
        <v>267</v>
      </c>
      <c r="G1357" s="3" t="str">
        <f aca="false">INDEX(Produtos!$B$2:$B$11,MATCH(F1357,Produtos!$A$2:$A$11,0))&amp;" "&amp;INDEX(Produtos!$C$2:$C$11,MATCH(F1357,Produtos!$A$2:$A$11,0))</f>
        <v>Carregador de Celular Tipo C</v>
      </c>
      <c r="H1357" s="2" t="n">
        <v>1</v>
      </c>
      <c r="I1357" s="5" t="n">
        <f aca="false">INDEX(Produtos!$D$2:$D$11,MATCH(F1357,Produtos!$A$2:$A$11,0))</f>
        <v>44.9</v>
      </c>
      <c r="J1357" s="5" t="n">
        <f aca="false">H1357*I1357</f>
        <v>44.9</v>
      </c>
      <c r="K1357" s="5" t="n">
        <f aca="false">INDEX(Produtos!$E$2:$E$11,MATCH(F1357,Produtos!$A$2:$A$11,0))</f>
        <v>18</v>
      </c>
      <c r="L1357" s="5" t="n">
        <f aca="false">H1357*K1357</f>
        <v>18</v>
      </c>
    </row>
    <row r="1358" customFormat="false" ht="15" hidden="false" customHeight="false" outlineLevel="0" collapsed="false">
      <c r="A1358" s="2" t="s">
        <v>1640</v>
      </c>
      <c r="B1358" s="8" t="n">
        <v>46136</v>
      </c>
      <c r="C1358" s="2" t="s">
        <v>174</v>
      </c>
      <c r="D1358" s="3" t="str">
        <f aca="false">INDEX(Vendedores!$C$2:$C$101,MATCH(C1358,Vendedores!$A$2:$A$101,0))</f>
        <v>L07</v>
      </c>
      <c r="E1358" s="3" t="str">
        <f aca="false">INDEX(Lojas!$E$2:$E$11,MATCH(D1358,Lojas!$A$2:$A$11,0))</f>
        <v>Sul</v>
      </c>
      <c r="F1358" s="2" t="s">
        <v>273</v>
      </c>
      <c r="G1358" s="3" t="str">
        <f aca="false">INDEX(Produtos!$B$2:$B$11,MATCH(F1358,Produtos!$A$2:$A$11,0))&amp;" "&amp;INDEX(Produtos!$C$2:$C$11,MATCH(F1358,Produtos!$A$2:$A$11,0))</f>
        <v>Controle de Videogame PS4</v>
      </c>
      <c r="H1358" s="2" t="n">
        <v>1</v>
      </c>
      <c r="I1358" s="5" t="n">
        <f aca="false">INDEX(Produtos!$D$2:$D$11,MATCH(F1358,Produtos!$A$2:$A$11,0))</f>
        <v>299.9</v>
      </c>
      <c r="J1358" s="5" t="n">
        <f aca="false">H1358*I1358</f>
        <v>299.9</v>
      </c>
      <c r="K1358" s="5" t="n">
        <f aca="false">INDEX(Produtos!$E$2:$E$11,MATCH(F1358,Produtos!$A$2:$A$11,0))</f>
        <v>175</v>
      </c>
      <c r="L1358" s="5" t="n">
        <f aca="false">H1358*K1358</f>
        <v>175</v>
      </c>
    </row>
    <row r="1359" customFormat="false" ht="15" hidden="false" customHeight="false" outlineLevel="0" collapsed="false">
      <c r="A1359" s="2" t="s">
        <v>1641</v>
      </c>
      <c r="B1359" s="8" t="n">
        <v>46137</v>
      </c>
      <c r="C1359" s="2" t="s">
        <v>138</v>
      </c>
      <c r="D1359" s="3" t="str">
        <f aca="false">INDEX(Vendedores!$C$2:$C$101,MATCH(C1359,Vendedores!$A$2:$A$101,0))</f>
        <v>L05</v>
      </c>
      <c r="E1359" s="3" t="str">
        <f aca="false">INDEX(Lojas!$E$2:$E$11,MATCH(D1359,Lojas!$A$2:$A$11,0))</f>
        <v>Sul</v>
      </c>
      <c r="F1359" s="2" t="s">
        <v>262</v>
      </c>
      <c r="G1359" s="3" t="str">
        <f aca="false">INDEX(Produtos!$B$2:$B$11,MATCH(F1359,Produtos!$A$2:$A$11,0))&amp;" "&amp;INDEX(Produtos!$C$2:$C$11,MATCH(F1359,Produtos!$A$2:$A$11,0))</f>
        <v>Fone de Ouvido De Celular</v>
      </c>
      <c r="H1359" s="2" t="n">
        <v>1</v>
      </c>
      <c r="I1359" s="5" t="n">
        <f aca="false">INDEX(Produtos!$D$2:$D$11,MATCH(F1359,Produtos!$A$2:$A$11,0))</f>
        <v>59.9</v>
      </c>
      <c r="J1359" s="5" t="n">
        <f aca="false">H1359*I1359</f>
        <v>59.9</v>
      </c>
      <c r="K1359" s="5" t="n">
        <f aca="false">INDEX(Produtos!$E$2:$E$11,MATCH(F1359,Produtos!$A$2:$A$11,0))</f>
        <v>28</v>
      </c>
      <c r="L1359" s="5" t="n">
        <f aca="false">H1359*K1359</f>
        <v>28</v>
      </c>
    </row>
    <row r="1360" customFormat="false" ht="15" hidden="false" customHeight="false" outlineLevel="0" collapsed="false">
      <c r="A1360" s="2" t="s">
        <v>1642</v>
      </c>
      <c r="B1360" s="8" t="n">
        <v>46137</v>
      </c>
      <c r="C1360" s="2" t="s">
        <v>219</v>
      </c>
      <c r="D1360" s="3" t="str">
        <f aca="false">INDEX(Vendedores!$C$2:$C$101,MATCH(C1360,Vendedores!$A$2:$A$101,0))</f>
        <v>L09</v>
      </c>
      <c r="E1360" s="3" t="str">
        <f aca="false">INDEX(Lojas!$E$2:$E$11,MATCH(D1360,Lojas!$A$2:$A$11,0))</f>
        <v>Nordeste</v>
      </c>
      <c r="F1360" s="2" t="s">
        <v>275</v>
      </c>
      <c r="G1360" s="3" t="str">
        <f aca="false">INDEX(Produtos!$B$2:$B$11,MATCH(F1360,Produtos!$A$2:$A$11,0))&amp;" "&amp;INDEX(Produtos!$C$2:$C$11,MATCH(F1360,Produtos!$A$2:$A$11,0))</f>
        <v>Controle de Videogame PS5</v>
      </c>
      <c r="H1360" s="2" t="n">
        <v>1</v>
      </c>
      <c r="I1360" s="5" t="n">
        <f aca="false">INDEX(Produtos!$D$2:$D$11,MATCH(F1360,Produtos!$A$2:$A$11,0))</f>
        <v>379.9</v>
      </c>
      <c r="J1360" s="5" t="n">
        <f aca="false">H1360*I1360</f>
        <v>379.9</v>
      </c>
      <c r="K1360" s="5" t="n">
        <f aca="false">INDEX(Produtos!$E$2:$E$11,MATCH(F1360,Produtos!$A$2:$A$11,0))</f>
        <v>235</v>
      </c>
      <c r="L1360" s="5" t="n">
        <f aca="false">H1360*K1360</f>
        <v>235</v>
      </c>
    </row>
    <row r="1361" customFormat="false" ht="15" hidden="false" customHeight="false" outlineLevel="0" collapsed="false">
      <c r="A1361" s="2" t="s">
        <v>1643</v>
      </c>
      <c r="B1361" s="8" t="n">
        <v>46137</v>
      </c>
      <c r="C1361" s="2" t="s">
        <v>137</v>
      </c>
      <c r="D1361" s="3" t="str">
        <f aca="false">INDEX(Vendedores!$C$2:$C$101,MATCH(C1361,Vendedores!$A$2:$A$101,0))</f>
        <v>L05</v>
      </c>
      <c r="E1361" s="3" t="str">
        <f aca="false">INDEX(Lojas!$E$2:$E$11,MATCH(D1361,Lojas!$A$2:$A$11,0))</f>
        <v>Sul</v>
      </c>
      <c r="F1361" s="2" t="s">
        <v>265</v>
      </c>
      <c r="G1361" s="3" t="str">
        <f aca="false">INDEX(Produtos!$B$2:$B$11,MATCH(F1361,Produtos!$A$2:$A$11,0))&amp;" "&amp;INDEX(Produtos!$C$2:$C$11,MATCH(F1361,Produtos!$A$2:$A$11,0))</f>
        <v>Fone de Ouvido Headset</v>
      </c>
      <c r="H1361" s="2" t="n">
        <v>1</v>
      </c>
      <c r="I1361" s="5" t="n">
        <f aca="false">INDEX(Produtos!$D$2:$D$11,MATCH(F1361,Produtos!$A$2:$A$11,0))</f>
        <v>249.9</v>
      </c>
      <c r="J1361" s="5" t="n">
        <f aca="false">H1361*I1361</f>
        <v>249.9</v>
      </c>
      <c r="K1361" s="5" t="n">
        <f aca="false">INDEX(Produtos!$E$2:$E$11,MATCH(F1361,Produtos!$A$2:$A$11,0))</f>
        <v>145</v>
      </c>
      <c r="L1361" s="5" t="n">
        <f aca="false">H1361*K1361</f>
        <v>145</v>
      </c>
    </row>
    <row r="1362" customFormat="false" ht="15" hidden="false" customHeight="false" outlineLevel="0" collapsed="false">
      <c r="A1362" s="2" t="s">
        <v>1644</v>
      </c>
      <c r="B1362" s="8" t="n">
        <v>46137</v>
      </c>
      <c r="C1362" s="2" t="s">
        <v>193</v>
      </c>
      <c r="D1362" s="3" t="str">
        <f aca="false">INDEX(Vendedores!$C$2:$C$101,MATCH(C1362,Vendedores!$A$2:$A$101,0))</f>
        <v>L08</v>
      </c>
      <c r="E1362" s="3" t="str">
        <f aca="false">INDEX(Lojas!$E$2:$E$11,MATCH(D1362,Lojas!$A$2:$A$11,0))</f>
        <v>Nordeste</v>
      </c>
      <c r="F1362" s="2" t="s">
        <v>255</v>
      </c>
      <c r="G1362" s="3" t="str">
        <f aca="false">INDEX(Produtos!$B$2:$B$11,MATCH(F1362,Produtos!$A$2:$A$11,0))&amp;" "&amp;INDEX(Produtos!$C$2:$C$11,MATCH(F1362,Produtos!$A$2:$A$11,0))</f>
        <v>Notebook Positivo</v>
      </c>
      <c r="H1362" s="2" t="n">
        <v>1</v>
      </c>
      <c r="I1362" s="5" t="n">
        <f aca="false">INDEX(Produtos!$D$2:$D$11,MATCH(F1362,Produtos!$A$2:$A$11,0))</f>
        <v>2199</v>
      </c>
      <c r="J1362" s="5" t="n">
        <f aca="false">H1362*I1362</f>
        <v>2199</v>
      </c>
      <c r="K1362" s="5" t="n">
        <f aca="false">INDEX(Produtos!$E$2:$E$11,MATCH(F1362,Produtos!$A$2:$A$11,0))</f>
        <v>1550</v>
      </c>
      <c r="L1362" s="5" t="n">
        <f aca="false">H1362*K1362</f>
        <v>1550</v>
      </c>
    </row>
    <row r="1363" customFormat="false" ht="15" hidden="false" customHeight="false" outlineLevel="0" collapsed="false">
      <c r="A1363" s="2" t="s">
        <v>1645</v>
      </c>
      <c r="B1363" s="8" t="n">
        <v>46137</v>
      </c>
      <c r="C1363" s="2" t="s">
        <v>82</v>
      </c>
      <c r="D1363" s="3" t="str">
        <f aca="false">INDEX(Vendedores!$C$2:$C$101,MATCH(C1363,Vendedores!$A$2:$A$101,0))</f>
        <v>L02</v>
      </c>
      <c r="E1363" s="3" t="str">
        <f aca="false">INDEX(Lojas!$E$2:$E$11,MATCH(D1363,Lojas!$A$2:$A$11,0))</f>
        <v>Sudeste</v>
      </c>
      <c r="F1363" s="2" t="s">
        <v>270</v>
      </c>
      <c r="G1363" s="3" t="str">
        <f aca="false">INDEX(Produtos!$B$2:$B$11,MATCH(F1363,Produtos!$A$2:$A$11,0))&amp;" "&amp;INDEX(Produtos!$C$2:$C$11,MATCH(F1363,Produtos!$A$2:$A$11,0))</f>
        <v>Controle de Videogame Xbox</v>
      </c>
      <c r="H1363" s="2" t="n">
        <v>1</v>
      </c>
      <c r="I1363" s="5" t="n">
        <f aca="false">INDEX(Produtos!$D$2:$D$11,MATCH(F1363,Produtos!$A$2:$A$11,0))</f>
        <v>349.9</v>
      </c>
      <c r="J1363" s="5" t="n">
        <f aca="false">H1363*I1363</f>
        <v>349.9</v>
      </c>
      <c r="K1363" s="5" t="n">
        <f aca="false">INDEX(Produtos!$E$2:$E$11,MATCH(F1363,Produtos!$A$2:$A$11,0))</f>
        <v>215</v>
      </c>
      <c r="L1363" s="5" t="n">
        <f aca="false">H1363*K1363</f>
        <v>215</v>
      </c>
    </row>
    <row r="1364" customFormat="false" ht="15" hidden="false" customHeight="false" outlineLevel="0" collapsed="false">
      <c r="A1364" s="2" t="s">
        <v>1646</v>
      </c>
      <c r="B1364" s="8" t="n">
        <v>46137</v>
      </c>
      <c r="C1364" s="2" t="s">
        <v>233</v>
      </c>
      <c r="D1364" s="3" t="str">
        <f aca="false">INDEX(Vendedores!$C$2:$C$101,MATCH(C1364,Vendedores!$A$2:$A$101,0))</f>
        <v>L10</v>
      </c>
      <c r="E1364" s="3" t="str">
        <f aca="false">INDEX(Lojas!$E$2:$E$11,MATCH(D1364,Lojas!$A$2:$A$11,0))</f>
        <v>Nordeste</v>
      </c>
      <c r="F1364" s="2" t="s">
        <v>267</v>
      </c>
      <c r="G1364" s="3" t="str">
        <f aca="false">INDEX(Produtos!$B$2:$B$11,MATCH(F1364,Produtos!$A$2:$A$11,0))&amp;" "&amp;INDEX(Produtos!$C$2:$C$11,MATCH(F1364,Produtos!$A$2:$A$11,0))</f>
        <v>Carregador de Celular Tipo C</v>
      </c>
      <c r="H1364" s="2" t="n">
        <v>2</v>
      </c>
      <c r="I1364" s="5" t="n">
        <f aca="false">INDEX(Produtos!$D$2:$D$11,MATCH(F1364,Produtos!$A$2:$A$11,0))</f>
        <v>44.9</v>
      </c>
      <c r="J1364" s="5" t="n">
        <f aca="false">H1364*I1364</f>
        <v>89.8</v>
      </c>
      <c r="K1364" s="5" t="n">
        <f aca="false">INDEX(Produtos!$E$2:$E$11,MATCH(F1364,Produtos!$A$2:$A$11,0))</f>
        <v>18</v>
      </c>
      <c r="L1364" s="5" t="n">
        <f aca="false">H1364*K1364</f>
        <v>36</v>
      </c>
    </row>
    <row r="1365" customFormat="false" ht="15" hidden="false" customHeight="false" outlineLevel="0" collapsed="false">
      <c r="A1365" s="2" t="s">
        <v>1647</v>
      </c>
      <c r="B1365" s="8" t="n">
        <v>46137</v>
      </c>
      <c r="C1365" s="2" t="s">
        <v>96</v>
      </c>
      <c r="D1365" s="3" t="str">
        <f aca="false">INDEX(Vendedores!$C$2:$C$101,MATCH(C1365,Vendedores!$A$2:$A$101,0))</f>
        <v>L03</v>
      </c>
      <c r="E1365" s="3" t="str">
        <f aca="false">INDEX(Lojas!$E$2:$E$11,MATCH(D1365,Lojas!$A$2:$A$11,0))</f>
        <v>Sudeste</v>
      </c>
      <c r="F1365" s="2" t="s">
        <v>273</v>
      </c>
      <c r="G1365" s="3" t="str">
        <f aca="false">INDEX(Produtos!$B$2:$B$11,MATCH(F1365,Produtos!$A$2:$A$11,0))&amp;" "&amp;INDEX(Produtos!$C$2:$C$11,MATCH(F1365,Produtos!$A$2:$A$11,0))</f>
        <v>Controle de Videogame PS4</v>
      </c>
      <c r="H1365" s="2" t="n">
        <v>1</v>
      </c>
      <c r="I1365" s="5" t="n">
        <f aca="false">INDEX(Produtos!$D$2:$D$11,MATCH(F1365,Produtos!$A$2:$A$11,0))</f>
        <v>299.9</v>
      </c>
      <c r="J1365" s="5" t="n">
        <f aca="false">H1365*I1365</f>
        <v>299.9</v>
      </c>
      <c r="K1365" s="5" t="n">
        <f aca="false">INDEX(Produtos!$E$2:$E$11,MATCH(F1365,Produtos!$A$2:$A$11,0))</f>
        <v>175</v>
      </c>
      <c r="L1365" s="5" t="n">
        <f aca="false">H1365*K1365</f>
        <v>175</v>
      </c>
    </row>
    <row r="1366" customFormat="false" ht="15" hidden="false" customHeight="false" outlineLevel="0" collapsed="false">
      <c r="A1366" s="2" t="s">
        <v>1648</v>
      </c>
      <c r="B1366" s="8" t="n">
        <v>46137</v>
      </c>
      <c r="C1366" s="2" t="s">
        <v>209</v>
      </c>
      <c r="D1366" s="3" t="str">
        <f aca="false">INDEX(Vendedores!$C$2:$C$101,MATCH(C1366,Vendedores!$A$2:$A$101,0))</f>
        <v>L09</v>
      </c>
      <c r="E1366" s="3" t="str">
        <f aca="false">INDEX(Lojas!$E$2:$E$11,MATCH(D1366,Lojas!$A$2:$A$11,0))</f>
        <v>Nordeste</v>
      </c>
      <c r="F1366" s="2" t="s">
        <v>267</v>
      </c>
      <c r="G1366" s="3" t="str">
        <f aca="false">INDEX(Produtos!$B$2:$B$11,MATCH(F1366,Produtos!$A$2:$A$11,0))&amp;" "&amp;INDEX(Produtos!$C$2:$C$11,MATCH(F1366,Produtos!$A$2:$A$11,0))</f>
        <v>Carregador de Celular Tipo C</v>
      </c>
      <c r="H1366" s="2" t="n">
        <v>2</v>
      </c>
      <c r="I1366" s="5" t="n">
        <f aca="false">INDEX(Produtos!$D$2:$D$11,MATCH(F1366,Produtos!$A$2:$A$11,0))</f>
        <v>44.9</v>
      </c>
      <c r="J1366" s="5" t="n">
        <f aca="false">H1366*I1366</f>
        <v>89.8</v>
      </c>
      <c r="K1366" s="5" t="n">
        <f aca="false">INDEX(Produtos!$E$2:$E$11,MATCH(F1366,Produtos!$A$2:$A$11,0))</f>
        <v>18</v>
      </c>
      <c r="L1366" s="5" t="n">
        <f aca="false">H1366*K1366</f>
        <v>36</v>
      </c>
    </row>
    <row r="1367" customFormat="false" ht="15" hidden="false" customHeight="false" outlineLevel="0" collapsed="false">
      <c r="A1367" s="2" t="s">
        <v>1649</v>
      </c>
      <c r="B1367" s="8" t="n">
        <v>46137</v>
      </c>
      <c r="C1367" s="2" t="s">
        <v>215</v>
      </c>
      <c r="D1367" s="3" t="str">
        <f aca="false">INDEX(Vendedores!$C$2:$C$101,MATCH(C1367,Vendedores!$A$2:$A$101,0))</f>
        <v>L09</v>
      </c>
      <c r="E1367" s="3" t="str">
        <f aca="false">INDEX(Lojas!$E$2:$E$11,MATCH(D1367,Lojas!$A$2:$A$11,0))</f>
        <v>Nordeste</v>
      </c>
      <c r="F1367" s="2" t="s">
        <v>255</v>
      </c>
      <c r="G1367" s="3" t="str">
        <f aca="false">INDEX(Produtos!$B$2:$B$11,MATCH(F1367,Produtos!$A$2:$A$11,0))&amp;" "&amp;INDEX(Produtos!$C$2:$C$11,MATCH(F1367,Produtos!$A$2:$A$11,0))</f>
        <v>Notebook Positivo</v>
      </c>
      <c r="H1367" s="2" t="n">
        <v>2</v>
      </c>
      <c r="I1367" s="5" t="n">
        <f aca="false">INDEX(Produtos!$D$2:$D$11,MATCH(F1367,Produtos!$A$2:$A$11,0))</f>
        <v>2199</v>
      </c>
      <c r="J1367" s="5" t="n">
        <f aca="false">H1367*I1367</f>
        <v>4398</v>
      </c>
      <c r="K1367" s="5" t="n">
        <f aca="false">INDEX(Produtos!$E$2:$E$11,MATCH(F1367,Produtos!$A$2:$A$11,0))</f>
        <v>1550</v>
      </c>
      <c r="L1367" s="5" t="n">
        <f aca="false">H1367*K1367</f>
        <v>3100</v>
      </c>
    </row>
    <row r="1368" customFormat="false" ht="15" hidden="false" customHeight="false" outlineLevel="0" collapsed="false">
      <c r="A1368" s="2" t="s">
        <v>1650</v>
      </c>
      <c r="B1368" s="8" t="n">
        <v>46137</v>
      </c>
      <c r="C1368" s="2" t="s">
        <v>205</v>
      </c>
      <c r="D1368" s="3" t="str">
        <f aca="false">INDEX(Vendedores!$C$2:$C$101,MATCH(C1368,Vendedores!$A$2:$A$101,0))</f>
        <v>L09</v>
      </c>
      <c r="E1368" s="3" t="str">
        <f aca="false">INDEX(Lojas!$E$2:$E$11,MATCH(D1368,Lojas!$A$2:$A$11,0))</f>
        <v>Nordeste</v>
      </c>
      <c r="F1368" s="2" t="s">
        <v>267</v>
      </c>
      <c r="G1368" s="3" t="str">
        <f aca="false">INDEX(Produtos!$B$2:$B$11,MATCH(F1368,Produtos!$A$2:$A$11,0))&amp;" "&amp;INDEX(Produtos!$C$2:$C$11,MATCH(F1368,Produtos!$A$2:$A$11,0))</f>
        <v>Carregador de Celular Tipo C</v>
      </c>
      <c r="H1368" s="2" t="n">
        <v>1</v>
      </c>
      <c r="I1368" s="5" t="n">
        <f aca="false">INDEX(Produtos!$D$2:$D$11,MATCH(F1368,Produtos!$A$2:$A$11,0))</f>
        <v>44.9</v>
      </c>
      <c r="J1368" s="5" t="n">
        <f aca="false">H1368*I1368</f>
        <v>44.9</v>
      </c>
      <c r="K1368" s="5" t="n">
        <f aca="false">INDEX(Produtos!$E$2:$E$11,MATCH(F1368,Produtos!$A$2:$A$11,0))</f>
        <v>18</v>
      </c>
      <c r="L1368" s="5" t="n">
        <f aca="false">H1368*K1368</f>
        <v>18</v>
      </c>
    </row>
    <row r="1369" customFormat="false" ht="15" hidden="false" customHeight="false" outlineLevel="0" collapsed="false">
      <c r="A1369" s="2" t="s">
        <v>1651</v>
      </c>
      <c r="B1369" s="8" t="n">
        <v>46137</v>
      </c>
      <c r="C1369" s="2" t="s">
        <v>164</v>
      </c>
      <c r="D1369" s="3" t="str">
        <f aca="false">INDEX(Vendedores!$C$2:$C$101,MATCH(C1369,Vendedores!$A$2:$A$101,0))</f>
        <v>L06</v>
      </c>
      <c r="E1369" s="3" t="str">
        <f aca="false">INDEX(Lojas!$E$2:$E$11,MATCH(D1369,Lojas!$A$2:$A$11,0))</f>
        <v>Sul</v>
      </c>
      <c r="F1369" s="2" t="s">
        <v>262</v>
      </c>
      <c r="G1369" s="3" t="str">
        <f aca="false">INDEX(Produtos!$B$2:$B$11,MATCH(F1369,Produtos!$A$2:$A$11,0))&amp;" "&amp;INDEX(Produtos!$C$2:$C$11,MATCH(F1369,Produtos!$A$2:$A$11,0))</f>
        <v>Fone de Ouvido De Celular</v>
      </c>
      <c r="H1369" s="2" t="n">
        <v>1</v>
      </c>
      <c r="I1369" s="5" t="n">
        <f aca="false">INDEX(Produtos!$D$2:$D$11,MATCH(F1369,Produtos!$A$2:$A$11,0))</f>
        <v>59.9</v>
      </c>
      <c r="J1369" s="5" t="n">
        <f aca="false">H1369*I1369</f>
        <v>59.9</v>
      </c>
      <c r="K1369" s="5" t="n">
        <f aca="false">INDEX(Produtos!$E$2:$E$11,MATCH(F1369,Produtos!$A$2:$A$11,0))</f>
        <v>28</v>
      </c>
      <c r="L1369" s="5" t="n">
        <f aca="false">H1369*K1369</f>
        <v>28</v>
      </c>
    </row>
    <row r="1370" customFormat="false" ht="15" hidden="false" customHeight="false" outlineLevel="0" collapsed="false">
      <c r="A1370" s="2" t="s">
        <v>1652</v>
      </c>
      <c r="B1370" s="8" t="n">
        <v>46137</v>
      </c>
      <c r="C1370" s="2" t="s">
        <v>203</v>
      </c>
      <c r="D1370" s="3" t="str">
        <f aca="false">INDEX(Vendedores!$C$2:$C$101,MATCH(C1370,Vendedores!$A$2:$A$101,0))</f>
        <v>L08</v>
      </c>
      <c r="E1370" s="3" t="str">
        <f aca="false">INDEX(Lojas!$E$2:$E$11,MATCH(D1370,Lojas!$A$2:$A$11,0))</f>
        <v>Nordeste</v>
      </c>
      <c r="F1370" s="2" t="s">
        <v>265</v>
      </c>
      <c r="G1370" s="3" t="str">
        <f aca="false">INDEX(Produtos!$B$2:$B$11,MATCH(F1370,Produtos!$A$2:$A$11,0))&amp;" "&amp;INDEX(Produtos!$C$2:$C$11,MATCH(F1370,Produtos!$A$2:$A$11,0))</f>
        <v>Fone de Ouvido Headset</v>
      </c>
      <c r="H1370" s="2" t="n">
        <v>1</v>
      </c>
      <c r="I1370" s="5" t="n">
        <f aca="false">INDEX(Produtos!$D$2:$D$11,MATCH(F1370,Produtos!$A$2:$A$11,0))</f>
        <v>249.9</v>
      </c>
      <c r="J1370" s="5" t="n">
        <f aca="false">H1370*I1370</f>
        <v>249.9</v>
      </c>
      <c r="K1370" s="5" t="n">
        <f aca="false">INDEX(Produtos!$E$2:$E$11,MATCH(F1370,Produtos!$A$2:$A$11,0))</f>
        <v>145</v>
      </c>
      <c r="L1370" s="5" t="n">
        <f aca="false">H1370*K1370</f>
        <v>145</v>
      </c>
    </row>
    <row r="1371" customFormat="false" ht="15" hidden="false" customHeight="false" outlineLevel="0" collapsed="false">
      <c r="A1371" s="2" t="s">
        <v>1653</v>
      </c>
      <c r="B1371" s="8" t="n">
        <v>46138</v>
      </c>
      <c r="C1371" s="2" t="s">
        <v>94</v>
      </c>
      <c r="D1371" s="3" t="str">
        <f aca="false">INDEX(Vendedores!$C$2:$C$101,MATCH(C1371,Vendedores!$A$2:$A$101,0))</f>
        <v>L03</v>
      </c>
      <c r="E1371" s="3" t="str">
        <f aca="false">INDEX(Lojas!$E$2:$E$11,MATCH(D1371,Lojas!$A$2:$A$11,0))</f>
        <v>Sudeste</v>
      </c>
      <c r="F1371" s="2" t="s">
        <v>265</v>
      </c>
      <c r="G1371" s="3" t="str">
        <f aca="false">INDEX(Produtos!$B$2:$B$11,MATCH(F1371,Produtos!$A$2:$A$11,0))&amp;" "&amp;INDEX(Produtos!$C$2:$C$11,MATCH(F1371,Produtos!$A$2:$A$11,0))</f>
        <v>Fone de Ouvido Headset</v>
      </c>
      <c r="H1371" s="2" t="n">
        <v>1</v>
      </c>
      <c r="I1371" s="5" t="n">
        <f aca="false">INDEX(Produtos!$D$2:$D$11,MATCH(F1371,Produtos!$A$2:$A$11,0))</f>
        <v>249.9</v>
      </c>
      <c r="J1371" s="5" t="n">
        <f aca="false">H1371*I1371</f>
        <v>249.9</v>
      </c>
      <c r="K1371" s="5" t="n">
        <f aca="false">INDEX(Produtos!$E$2:$E$11,MATCH(F1371,Produtos!$A$2:$A$11,0))</f>
        <v>145</v>
      </c>
      <c r="L1371" s="5" t="n">
        <f aca="false">H1371*K1371</f>
        <v>145</v>
      </c>
    </row>
    <row r="1372" customFormat="false" ht="15" hidden="false" customHeight="false" outlineLevel="0" collapsed="false">
      <c r="A1372" s="2" t="s">
        <v>1654</v>
      </c>
      <c r="B1372" s="8" t="n">
        <v>46138</v>
      </c>
      <c r="C1372" s="2" t="s">
        <v>191</v>
      </c>
      <c r="D1372" s="3" t="str">
        <f aca="false">INDEX(Vendedores!$C$2:$C$101,MATCH(C1372,Vendedores!$A$2:$A$101,0))</f>
        <v>L08</v>
      </c>
      <c r="E1372" s="3" t="str">
        <f aca="false">INDEX(Lojas!$E$2:$E$11,MATCH(D1372,Lojas!$A$2:$A$11,0))</f>
        <v>Nordeste</v>
      </c>
      <c r="F1372" s="2" t="s">
        <v>255</v>
      </c>
      <c r="G1372" s="3" t="str">
        <f aca="false">INDEX(Produtos!$B$2:$B$11,MATCH(F1372,Produtos!$A$2:$A$11,0))&amp;" "&amp;INDEX(Produtos!$C$2:$C$11,MATCH(F1372,Produtos!$A$2:$A$11,0))</f>
        <v>Notebook Positivo</v>
      </c>
      <c r="H1372" s="2" t="n">
        <v>1</v>
      </c>
      <c r="I1372" s="5" t="n">
        <f aca="false">INDEX(Produtos!$D$2:$D$11,MATCH(F1372,Produtos!$A$2:$A$11,0))</f>
        <v>2199</v>
      </c>
      <c r="J1372" s="5" t="n">
        <f aca="false">H1372*I1372</f>
        <v>2199</v>
      </c>
      <c r="K1372" s="5" t="n">
        <f aca="false">INDEX(Produtos!$E$2:$E$11,MATCH(F1372,Produtos!$A$2:$A$11,0))</f>
        <v>1550</v>
      </c>
      <c r="L1372" s="5" t="n">
        <f aca="false">H1372*K1372</f>
        <v>1550</v>
      </c>
    </row>
    <row r="1373" customFormat="false" ht="15" hidden="false" customHeight="false" outlineLevel="0" collapsed="false">
      <c r="A1373" s="2" t="s">
        <v>1655</v>
      </c>
      <c r="B1373" s="8" t="n">
        <v>46138</v>
      </c>
      <c r="C1373" s="2" t="s">
        <v>78</v>
      </c>
      <c r="D1373" s="3" t="str">
        <f aca="false">INDEX(Vendedores!$C$2:$C$101,MATCH(C1373,Vendedores!$A$2:$A$101,0))</f>
        <v>L02</v>
      </c>
      <c r="E1373" s="3" t="str">
        <f aca="false">INDEX(Lojas!$E$2:$E$11,MATCH(D1373,Lojas!$A$2:$A$11,0))</f>
        <v>Sudeste</v>
      </c>
      <c r="F1373" s="2" t="s">
        <v>257</v>
      </c>
      <c r="G1373" s="3" t="str">
        <f aca="false">INDEX(Produtos!$B$2:$B$11,MATCH(F1373,Produtos!$A$2:$A$11,0))&amp;" "&amp;INDEX(Produtos!$C$2:$C$11,MATCH(F1373,Produtos!$A$2:$A$11,0))</f>
        <v>Celular Samsung</v>
      </c>
      <c r="H1373" s="2" t="n">
        <v>2</v>
      </c>
      <c r="I1373" s="5" t="n">
        <f aca="false">INDEX(Produtos!$D$2:$D$11,MATCH(F1373,Produtos!$A$2:$A$11,0))</f>
        <v>2499</v>
      </c>
      <c r="J1373" s="5" t="n">
        <f aca="false">H1373*I1373</f>
        <v>4998</v>
      </c>
      <c r="K1373" s="5" t="n">
        <f aca="false">INDEX(Produtos!$E$2:$E$11,MATCH(F1373,Produtos!$A$2:$A$11,0))</f>
        <v>1800</v>
      </c>
      <c r="L1373" s="5" t="n">
        <f aca="false">H1373*K1373</f>
        <v>3600</v>
      </c>
    </row>
    <row r="1374" customFormat="false" ht="15" hidden="false" customHeight="false" outlineLevel="0" collapsed="false">
      <c r="A1374" s="2" t="s">
        <v>1656</v>
      </c>
      <c r="B1374" s="8" t="n">
        <v>46138</v>
      </c>
      <c r="C1374" s="2" t="s">
        <v>128</v>
      </c>
      <c r="D1374" s="3" t="str">
        <f aca="false">INDEX(Vendedores!$C$2:$C$101,MATCH(C1374,Vendedores!$A$2:$A$101,0))</f>
        <v>L04</v>
      </c>
      <c r="E1374" s="3" t="str">
        <f aca="false">INDEX(Lojas!$E$2:$E$11,MATCH(D1374,Lojas!$A$2:$A$11,0))</f>
        <v>Sudeste</v>
      </c>
      <c r="F1374" s="2" t="s">
        <v>273</v>
      </c>
      <c r="G1374" s="3" t="str">
        <f aca="false">INDEX(Produtos!$B$2:$B$11,MATCH(F1374,Produtos!$A$2:$A$11,0))&amp;" "&amp;INDEX(Produtos!$C$2:$C$11,MATCH(F1374,Produtos!$A$2:$A$11,0))</f>
        <v>Controle de Videogame PS4</v>
      </c>
      <c r="H1374" s="2" t="n">
        <v>2</v>
      </c>
      <c r="I1374" s="5" t="n">
        <f aca="false">INDEX(Produtos!$D$2:$D$11,MATCH(F1374,Produtos!$A$2:$A$11,0))</f>
        <v>299.9</v>
      </c>
      <c r="J1374" s="5" t="n">
        <f aca="false">H1374*I1374</f>
        <v>599.8</v>
      </c>
      <c r="K1374" s="5" t="n">
        <f aca="false">INDEX(Produtos!$E$2:$E$11,MATCH(F1374,Produtos!$A$2:$A$11,0))</f>
        <v>175</v>
      </c>
      <c r="L1374" s="5" t="n">
        <f aca="false">H1374*K1374</f>
        <v>350</v>
      </c>
    </row>
    <row r="1375" customFormat="false" ht="15" hidden="false" customHeight="false" outlineLevel="0" collapsed="false">
      <c r="A1375" s="2" t="s">
        <v>1657</v>
      </c>
      <c r="B1375" s="8" t="n">
        <v>46138</v>
      </c>
      <c r="C1375" s="2" t="s">
        <v>164</v>
      </c>
      <c r="D1375" s="3" t="str">
        <f aca="false">INDEX(Vendedores!$C$2:$C$101,MATCH(C1375,Vendedores!$A$2:$A$101,0))</f>
        <v>L06</v>
      </c>
      <c r="E1375" s="3" t="str">
        <f aca="false">INDEX(Lojas!$E$2:$E$11,MATCH(D1375,Lojas!$A$2:$A$11,0))</f>
        <v>Sul</v>
      </c>
      <c r="F1375" s="2" t="s">
        <v>275</v>
      </c>
      <c r="G1375" s="3" t="str">
        <f aca="false">INDEX(Produtos!$B$2:$B$11,MATCH(F1375,Produtos!$A$2:$A$11,0))&amp;" "&amp;INDEX(Produtos!$C$2:$C$11,MATCH(F1375,Produtos!$A$2:$A$11,0))</f>
        <v>Controle de Videogame PS5</v>
      </c>
      <c r="H1375" s="2" t="n">
        <v>2</v>
      </c>
      <c r="I1375" s="5" t="n">
        <f aca="false">INDEX(Produtos!$D$2:$D$11,MATCH(F1375,Produtos!$A$2:$A$11,0))</f>
        <v>379.9</v>
      </c>
      <c r="J1375" s="5" t="n">
        <f aca="false">H1375*I1375</f>
        <v>759.8</v>
      </c>
      <c r="K1375" s="5" t="n">
        <f aca="false">INDEX(Produtos!$E$2:$E$11,MATCH(F1375,Produtos!$A$2:$A$11,0))</f>
        <v>235</v>
      </c>
      <c r="L1375" s="5" t="n">
        <f aca="false">H1375*K1375</f>
        <v>470</v>
      </c>
    </row>
    <row r="1376" customFormat="false" ht="15" hidden="false" customHeight="false" outlineLevel="0" collapsed="false">
      <c r="A1376" s="2" t="s">
        <v>1658</v>
      </c>
      <c r="B1376" s="8" t="n">
        <v>46138</v>
      </c>
      <c r="C1376" s="2" t="s">
        <v>160</v>
      </c>
      <c r="D1376" s="3" t="str">
        <f aca="false">INDEX(Vendedores!$C$2:$C$101,MATCH(C1376,Vendedores!$A$2:$A$101,0))</f>
        <v>L06</v>
      </c>
      <c r="E1376" s="3" t="str">
        <f aca="false">INDEX(Lojas!$E$2:$E$11,MATCH(D1376,Lojas!$A$2:$A$11,0))</f>
        <v>Sul</v>
      </c>
      <c r="F1376" s="2" t="s">
        <v>270</v>
      </c>
      <c r="G1376" s="3" t="str">
        <f aca="false">INDEX(Produtos!$B$2:$B$11,MATCH(F1376,Produtos!$A$2:$A$11,0))&amp;" "&amp;INDEX(Produtos!$C$2:$C$11,MATCH(F1376,Produtos!$A$2:$A$11,0))</f>
        <v>Controle de Videogame Xbox</v>
      </c>
      <c r="H1376" s="2" t="n">
        <v>1</v>
      </c>
      <c r="I1376" s="5" t="n">
        <f aca="false">INDEX(Produtos!$D$2:$D$11,MATCH(F1376,Produtos!$A$2:$A$11,0))</f>
        <v>349.9</v>
      </c>
      <c r="J1376" s="5" t="n">
        <f aca="false">H1376*I1376</f>
        <v>349.9</v>
      </c>
      <c r="K1376" s="5" t="n">
        <f aca="false">INDEX(Produtos!$E$2:$E$11,MATCH(F1376,Produtos!$A$2:$A$11,0))</f>
        <v>215</v>
      </c>
      <c r="L1376" s="5" t="n">
        <f aca="false">H1376*K1376</f>
        <v>215</v>
      </c>
    </row>
    <row r="1377" customFormat="false" ht="15" hidden="false" customHeight="false" outlineLevel="0" collapsed="false">
      <c r="A1377" s="2" t="s">
        <v>1659</v>
      </c>
      <c r="B1377" s="8" t="n">
        <v>46138</v>
      </c>
      <c r="C1377" s="2" t="s">
        <v>235</v>
      </c>
      <c r="D1377" s="3" t="str">
        <f aca="false">INDEX(Vendedores!$C$2:$C$101,MATCH(C1377,Vendedores!$A$2:$A$101,0))</f>
        <v>L10</v>
      </c>
      <c r="E1377" s="3" t="str">
        <f aca="false">INDEX(Lojas!$E$2:$E$11,MATCH(D1377,Lojas!$A$2:$A$11,0))</f>
        <v>Nordeste</v>
      </c>
      <c r="F1377" s="2" t="s">
        <v>270</v>
      </c>
      <c r="G1377" s="3" t="str">
        <f aca="false">INDEX(Produtos!$B$2:$B$11,MATCH(F1377,Produtos!$A$2:$A$11,0))&amp;" "&amp;INDEX(Produtos!$C$2:$C$11,MATCH(F1377,Produtos!$A$2:$A$11,0))</f>
        <v>Controle de Videogame Xbox</v>
      </c>
      <c r="H1377" s="2" t="n">
        <v>3</v>
      </c>
      <c r="I1377" s="5" t="n">
        <f aca="false">INDEX(Produtos!$D$2:$D$11,MATCH(F1377,Produtos!$A$2:$A$11,0))</f>
        <v>349.9</v>
      </c>
      <c r="J1377" s="5" t="n">
        <f aca="false">H1377*I1377</f>
        <v>1049.7</v>
      </c>
      <c r="K1377" s="5" t="n">
        <f aca="false">INDEX(Produtos!$E$2:$E$11,MATCH(F1377,Produtos!$A$2:$A$11,0))</f>
        <v>215</v>
      </c>
      <c r="L1377" s="5" t="n">
        <f aca="false">H1377*K1377</f>
        <v>645</v>
      </c>
    </row>
    <row r="1378" customFormat="false" ht="15" hidden="false" customHeight="false" outlineLevel="0" collapsed="false">
      <c r="A1378" s="2" t="s">
        <v>1660</v>
      </c>
      <c r="B1378" s="8" t="n">
        <v>46138</v>
      </c>
      <c r="C1378" s="2" t="s">
        <v>131</v>
      </c>
      <c r="D1378" s="3" t="str">
        <f aca="false">INDEX(Vendedores!$C$2:$C$101,MATCH(C1378,Vendedores!$A$2:$A$101,0))</f>
        <v>L05</v>
      </c>
      <c r="E1378" s="3" t="str">
        <f aca="false">INDEX(Lojas!$E$2:$E$11,MATCH(D1378,Lojas!$A$2:$A$11,0))</f>
        <v>Sul</v>
      </c>
      <c r="F1378" s="2" t="s">
        <v>260</v>
      </c>
      <c r="G1378" s="3" t="str">
        <f aca="false">INDEX(Produtos!$B$2:$B$11,MATCH(F1378,Produtos!$A$2:$A$11,0))&amp;" "&amp;INDEX(Produtos!$C$2:$C$11,MATCH(F1378,Produtos!$A$2:$A$11,0))</f>
        <v>Celular Motorola</v>
      </c>
      <c r="H1378" s="2" t="n">
        <v>1</v>
      </c>
      <c r="I1378" s="5" t="n">
        <f aca="false">INDEX(Produtos!$D$2:$D$11,MATCH(F1378,Produtos!$A$2:$A$11,0))</f>
        <v>1799</v>
      </c>
      <c r="J1378" s="5" t="n">
        <f aca="false">H1378*I1378</f>
        <v>1799</v>
      </c>
      <c r="K1378" s="5" t="n">
        <f aca="false">INDEX(Produtos!$E$2:$E$11,MATCH(F1378,Produtos!$A$2:$A$11,0))</f>
        <v>1250</v>
      </c>
      <c r="L1378" s="5" t="n">
        <f aca="false">H1378*K1378</f>
        <v>1250</v>
      </c>
    </row>
    <row r="1379" customFormat="false" ht="15" hidden="false" customHeight="false" outlineLevel="0" collapsed="false">
      <c r="A1379" s="2" t="s">
        <v>1661</v>
      </c>
      <c r="B1379" s="8" t="n">
        <v>46138</v>
      </c>
      <c r="C1379" s="2" t="s">
        <v>138</v>
      </c>
      <c r="D1379" s="3" t="str">
        <f aca="false">INDEX(Vendedores!$C$2:$C$101,MATCH(C1379,Vendedores!$A$2:$A$101,0))</f>
        <v>L05</v>
      </c>
      <c r="E1379" s="3" t="str">
        <f aca="false">INDEX(Lojas!$E$2:$E$11,MATCH(D1379,Lojas!$A$2:$A$11,0))</f>
        <v>Sul</v>
      </c>
      <c r="F1379" s="2" t="s">
        <v>262</v>
      </c>
      <c r="G1379" s="3" t="str">
        <f aca="false">INDEX(Produtos!$B$2:$B$11,MATCH(F1379,Produtos!$A$2:$A$11,0))&amp;" "&amp;INDEX(Produtos!$C$2:$C$11,MATCH(F1379,Produtos!$A$2:$A$11,0))</f>
        <v>Fone de Ouvido De Celular</v>
      </c>
      <c r="H1379" s="2" t="n">
        <v>1</v>
      </c>
      <c r="I1379" s="5" t="n">
        <f aca="false">INDEX(Produtos!$D$2:$D$11,MATCH(F1379,Produtos!$A$2:$A$11,0))</f>
        <v>59.9</v>
      </c>
      <c r="J1379" s="5" t="n">
        <f aca="false">H1379*I1379</f>
        <v>59.9</v>
      </c>
      <c r="K1379" s="5" t="n">
        <f aca="false">INDEX(Produtos!$E$2:$E$11,MATCH(F1379,Produtos!$A$2:$A$11,0))</f>
        <v>28</v>
      </c>
      <c r="L1379" s="5" t="n">
        <f aca="false">H1379*K1379</f>
        <v>28</v>
      </c>
    </row>
    <row r="1380" customFormat="false" ht="15" hidden="false" customHeight="false" outlineLevel="0" collapsed="false">
      <c r="A1380" s="2" t="s">
        <v>1662</v>
      </c>
      <c r="B1380" s="8" t="n">
        <v>46138</v>
      </c>
      <c r="C1380" s="2" t="s">
        <v>94</v>
      </c>
      <c r="D1380" s="3" t="str">
        <f aca="false">INDEX(Vendedores!$C$2:$C$101,MATCH(C1380,Vendedores!$A$2:$A$101,0))</f>
        <v>L03</v>
      </c>
      <c r="E1380" s="3" t="str">
        <f aca="false">INDEX(Lojas!$E$2:$E$11,MATCH(D1380,Lojas!$A$2:$A$11,0))</f>
        <v>Sudeste</v>
      </c>
      <c r="F1380" s="2" t="s">
        <v>270</v>
      </c>
      <c r="G1380" s="3" t="str">
        <f aca="false">INDEX(Produtos!$B$2:$B$11,MATCH(F1380,Produtos!$A$2:$A$11,0))&amp;" "&amp;INDEX(Produtos!$C$2:$C$11,MATCH(F1380,Produtos!$A$2:$A$11,0))</f>
        <v>Controle de Videogame Xbox</v>
      </c>
      <c r="H1380" s="2" t="n">
        <v>1</v>
      </c>
      <c r="I1380" s="5" t="n">
        <f aca="false">INDEX(Produtos!$D$2:$D$11,MATCH(F1380,Produtos!$A$2:$A$11,0))</f>
        <v>349.9</v>
      </c>
      <c r="J1380" s="5" t="n">
        <f aca="false">H1380*I1380</f>
        <v>349.9</v>
      </c>
      <c r="K1380" s="5" t="n">
        <f aca="false">INDEX(Produtos!$E$2:$E$11,MATCH(F1380,Produtos!$A$2:$A$11,0))</f>
        <v>215</v>
      </c>
      <c r="L1380" s="5" t="n">
        <f aca="false">H1380*K1380</f>
        <v>215</v>
      </c>
    </row>
    <row r="1381" customFormat="false" ht="15" hidden="false" customHeight="false" outlineLevel="0" collapsed="false">
      <c r="A1381" s="2" t="s">
        <v>1663</v>
      </c>
      <c r="B1381" s="8" t="n">
        <v>46138</v>
      </c>
      <c r="C1381" s="2" t="s">
        <v>219</v>
      </c>
      <c r="D1381" s="3" t="str">
        <f aca="false">INDEX(Vendedores!$C$2:$C$101,MATCH(C1381,Vendedores!$A$2:$A$101,0))</f>
        <v>L09</v>
      </c>
      <c r="E1381" s="3" t="str">
        <f aca="false">INDEX(Lojas!$E$2:$E$11,MATCH(D1381,Lojas!$A$2:$A$11,0))</f>
        <v>Nordeste</v>
      </c>
      <c r="F1381" s="2" t="s">
        <v>275</v>
      </c>
      <c r="G1381" s="3" t="str">
        <f aca="false">INDEX(Produtos!$B$2:$B$11,MATCH(F1381,Produtos!$A$2:$A$11,0))&amp;" "&amp;INDEX(Produtos!$C$2:$C$11,MATCH(F1381,Produtos!$A$2:$A$11,0))</f>
        <v>Controle de Videogame PS5</v>
      </c>
      <c r="H1381" s="2" t="n">
        <v>1</v>
      </c>
      <c r="I1381" s="5" t="n">
        <f aca="false">INDEX(Produtos!$D$2:$D$11,MATCH(F1381,Produtos!$A$2:$A$11,0))</f>
        <v>379.9</v>
      </c>
      <c r="J1381" s="5" t="n">
        <f aca="false">H1381*I1381</f>
        <v>379.9</v>
      </c>
      <c r="K1381" s="5" t="n">
        <f aca="false">INDEX(Produtos!$E$2:$E$11,MATCH(F1381,Produtos!$A$2:$A$11,0))</f>
        <v>235</v>
      </c>
      <c r="L1381" s="5" t="n">
        <f aca="false">H1381*K1381</f>
        <v>235</v>
      </c>
    </row>
    <row r="1382" customFormat="false" ht="15" hidden="false" customHeight="false" outlineLevel="0" collapsed="false">
      <c r="A1382" s="2" t="s">
        <v>1664</v>
      </c>
      <c r="B1382" s="8" t="n">
        <v>46138</v>
      </c>
      <c r="C1382" s="2" t="s">
        <v>108</v>
      </c>
      <c r="D1382" s="3" t="str">
        <f aca="false">INDEX(Vendedores!$C$2:$C$101,MATCH(C1382,Vendedores!$A$2:$A$101,0))</f>
        <v>L03</v>
      </c>
      <c r="E1382" s="3" t="str">
        <f aca="false">INDEX(Lojas!$E$2:$E$11,MATCH(D1382,Lojas!$A$2:$A$11,0))</f>
        <v>Sudeste</v>
      </c>
      <c r="F1382" s="2" t="s">
        <v>275</v>
      </c>
      <c r="G1382" s="3" t="str">
        <f aca="false">INDEX(Produtos!$B$2:$B$11,MATCH(F1382,Produtos!$A$2:$A$11,0))&amp;" "&amp;INDEX(Produtos!$C$2:$C$11,MATCH(F1382,Produtos!$A$2:$A$11,0))</f>
        <v>Controle de Videogame PS5</v>
      </c>
      <c r="H1382" s="2" t="n">
        <v>1</v>
      </c>
      <c r="I1382" s="5" t="n">
        <f aca="false">INDEX(Produtos!$D$2:$D$11,MATCH(F1382,Produtos!$A$2:$A$11,0))</f>
        <v>379.9</v>
      </c>
      <c r="J1382" s="5" t="n">
        <f aca="false">H1382*I1382</f>
        <v>379.9</v>
      </c>
      <c r="K1382" s="5" t="n">
        <f aca="false">INDEX(Produtos!$E$2:$E$11,MATCH(F1382,Produtos!$A$2:$A$11,0))</f>
        <v>235</v>
      </c>
      <c r="L1382" s="5" t="n">
        <f aca="false">H1382*K1382</f>
        <v>235</v>
      </c>
    </row>
    <row r="1383" customFormat="false" ht="15" hidden="false" customHeight="false" outlineLevel="0" collapsed="false">
      <c r="A1383" s="2" t="s">
        <v>1665</v>
      </c>
      <c r="B1383" s="8" t="n">
        <v>46139</v>
      </c>
      <c r="C1383" s="2" t="s">
        <v>162</v>
      </c>
      <c r="D1383" s="3" t="str">
        <f aca="false">INDEX(Vendedores!$C$2:$C$101,MATCH(C1383,Vendedores!$A$2:$A$101,0))</f>
        <v>L06</v>
      </c>
      <c r="E1383" s="3" t="str">
        <f aca="false">INDEX(Lojas!$E$2:$E$11,MATCH(D1383,Lojas!$A$2:$A$11,0))</f>
        <v>Sul</v>
      </c>
      <c r="F1383" s="2" t="s">
        <v>275</v>
      </c>
      <c r="G1383" s="3" t="str">
        <f aca="false">INDEX(Produtos!$B$2:$B$11,MATCH(F1383,Produtos!$A$2:$A$11,0))&amp;" "&amp;INDEX(Produtos!$C$2:$C$11,MATCH(F1383,Produtos!$A$2:$A$11,0))</f>
        <v>Controle de Videogame PS5</v>
      </c>
      <c r="H1383" s="2" t="n">
        <v>1</v>
      </c>
      <c r="I1383" s="5" t="n">
        <f aca="false">INDEX(Produtos!$D$2:$D$11,MATCH(F1383,Produtos!$A$2:$A$11,0))</f>
        <v>379.9</v>
      </c>
      <c r="J1383" s="5" t="n">
        <f aca="false">H1383*I1383</f>
        <v>379.9</v>
      </c>
      <c r="K1383" s="5" t="n">
        <f aca="false">INDEX(Produtos!$E$2:$E$11,MATCH(F1383,Produtos!$A$2:$A$11,0))</f>
        <v>235</v>
      </c>
      <c r="L1383" s="5" t="n">
        <f aca="false">H1383*K1383</f>
        <v>235</v>
      </c>
    </row>
    <row r="1384" customFormat="false" ht="15" hidden="false" customHeight="false" outlineLevel="0" collapsed="false">
      <c r="A1384" s="2" t="s">
        <v>1666</v>
      </c>
      <c r="B1384" s="8" t="n">
        <v>46139</v>
      </c>
      <c r="C1384" s="2" t="s">
        <v>239</v>
      </c>
      <c r="D1384" s="3" t="str">
        <f aca="false">INDEX(Vendedores!$C$2:$C$101,MATCH(C1384,Vendedores!$A$2:$A$101,0))</f>
        <v>L10</v>
      </c>
      <c r="E1384" s="3" t="str">
        <f aca="false">INDEX(Lojas!$E$2:$E$11,MATCH(D1384,Lojas!$A$2:$A$11,0))</f>
        <v>Nordeste</v>
      </c>
      <c r="F1384" s="2" t="s">
        <v>270</v>
      </c>
      <c r="G1384" s="3" t="str">
        <f aca="false">INDEX(Produtos!$B$2:$B$11,MATCH(F1384,Produtos!$A$2:$A$11,0))&amp;" "&amp;INDEX(Produtos!$C$2:$C$11,MATCH(F1384,Produtos!$A$2:$A$11,0))</f>
        <v>Controle de Videogame Xbox</v>
      </c>
      <c r="H1384" s="2" t="n">
        <v>2</v>
      </c>
      <c r="I1384" s="5" t="n">
        <f aca="false">INDEX(Produtos!$D$2:$D$11,MATCH(F1384,Produtos!$A$2:$A$11,0))</f>
        <v>349.9</v>
      </c>
      <c r="J1384" s="5" t="n">
        <f aca="false">H1384*I1384</f>
        <v>699.8</v>
      </c>
      <c r="K1384" s="5" t="n">
        <f aca="false">INDEX(Produtos!$E$2:$E$11,MATCH(F1384,Produtos!$A$2:$A$11,0))</f>
        <v>215</v>
      </c>
      <c r="L1384" s="5" t="n">
        <f aca="false">H1384*K1384</f>
        <v>430</v>
      </c>
    </row>
    <row r="1385" customFormat="false" ht="15" hidden="false" customHeight="false" outlineLevel="0" collapsed="false">
      <c r="A1385" s="2" t="s">
        <v>1667</v>
      </c>
      <c r="B1385" s="8" t="n">
        <v>46139</v>
      </c>
      <c r="C1385" s="2" t="s">
        <v>92</v>
      </c>
      <c r="D1385" s="3" t="str">
        <f aca="false">INDEX(Vendedores!$C$2:$C$101,MATCH(C1385,Vendedores!$A$2:$A$101,0))</f>
        <v>L03</v>
      </c>
      <c r="E1385" s="3" t="str">
        <f aca="false">INDEX(Lojas!$E$2:$E$11,MATCH(D1385,Lojas!$A$2:$A$11,0))</f>
        <v>Sudeste</v>
      </c>
      <c r="F1385" s="2" t="s">
        <v>265</v>
      </c>
      <c r="G1385" s="3" t="str">
        <f aca="false">INDEX(Produtos!$B$2:$B$11,MATCH(F1385,Produtos!$A$2:$A$11,0))&amp;" "&amp;INDEX(Produtos!$C$2:$C$11,MATCH(F1385,Produtos!$A$2:$A$11,0))</f>
        <v>Fone de Ouvido Headset</v>
      </c>
      <c r="H1385" s="2" t="n">
        <v>1</v>
      </c>
      <c r="I1385" s="5" t="n">
        <f aca="false">INDEX(Produtos!$D$2:$D$11,MATCH(F1385,Produtos!$A$2:$A$11,0))</f>
        <v>249.9</v>
      </c>
      <c r="J1385" s="5" t="n">
        <f aca="false">H1385*I1385</f>
        <v>249.9</v>
      </c>
      <c r="K1385" s="5" t="n">
        <f aca="false">INDEX(Produtos!$E$2:$E$11,MATCH(F1385,Produtos!$A$2:$A$11,0))</f>
        <v>145</v>
      </c>
      <c r="L1385" s="5" t="n">
        <f aca="false">H1385*K1385</f>
        <v>145</v>
      </c>
    </row>
    <row r="1386" customFormat="false" ht="15" hidden="false" customHeight="false" outlineLevel="0" collapsed="false">
      <c r="A1386" s="2" t="s">
        <v>1668</v>
      </c>
      <c r="B1386" s="8" t="n">
        <v>46139</v>
      </c>
      <c r="C1386" s="2" t="s">
        <v>68</v>
      </c>
      <c r="D1386" s="3" t="str">
        <f aca="false">INDEX(Vendedores!$C$2:$C$101,MATCH(C1386,Vendedores!$A$2:$A$101,0))</f>
        <v>L01</v>
      </c>
      <c r="E1386" s="3" t="str">
        <f aca="false">INDEX(Lojas!$E$2:$E$11,MATCH(D1386,Lojas!$A$2:$A$11,0))</f>
        <v>Sudeste</v>
      </c>
      <c r="F1386" s="2" t="s">
        <v>273</v>
      </c>
      <c r="G1386" s="3" t="str">
        <f aca="false">INDEX(Produtos!$B$2:$B$11,MATCH(F1386,Produtos!$A$2:$A$11,0))&amp;" "&amp;INDEX(Produtos!$C$2:$C$11,MATCH(F1386,Produtos!$A$2:$A$11,0))</f>
        <v>Controle de Videogame PS4</v>
      </c>
      <c r="H1386" s="2" t="n">
        <v>1</v>
      </c>
      <c r="I1386" s="5" t="n">
        <f aca="false">INDEX(Produtos!$D$2:$D$11,MATCH(F1386,Produtos!$A$2:$A$11,0))</f>
        <v>299.9</v>
      </c>
      <c r="J1386" s="5" t="n">
        <f aca="false">H1386*I1386</f>
        <v>299.9</v>
      </c>
      <c r="K1386" s="5" t="n">
        <f aca="false">INDEX(Produtos!$E$2:$E$11,MATCH(F1386,Produtos!$A$2:$A$11,0))</f>
        <v>175</v>
      </c>
      <c r="L1386" s="5" t="n">
        <f aca="false">H1386*K1386</f>
        <v>175</v>
      </c>
    </row>
    <row r="1387" customFormat="false" ht="15" hidden="false" customHeight="false" outlineLevel="0" collapsed="false">
      <c r="A1387" s="2" t="s">
        <v>1669</v>
      </c>
      <c r="B1387" s="8" t="n">
        <v>46139</v>
      </c>
      <c r="C1387" s="2" t="s">
        <v>213</v>
      </c>
      <c r="D1387" s="3" t="str">
        <f aca="false">INDEX(Vendedores!$C$2:$C$101,MATCH(C1387,Vendedores!$A$2:$A$101,0))</f>
        <v>L09</v>
      </c>
      <c r="E1387" s="3" t="str">
        <f aca="false">INDEX(Lojas!$E$2:$E$11,MATCH(D1387,Lojas!$A$2:$A$11,0))</f>
        <v>Nordeste</v>
      </c>
      <c r="F1387" s="2" t="s">
        <v>267</v>
      </c>
      <c r="G1387" s="3" t="str">
        <f aca="false">INDEX(Produtos!$B$2:$B$11,MATCH(F1387,Produtos!$A$2:$A$11,0))&amp;" "&amp;INDEX(Produtos!$C$2:$C$11,MATCH(F1387,Produtos!$A$2:$A$11,0))</f>
        <v>Carregador de Celular Tipo C</v>
      </c>
      <c r="H1387" s="2" t="n">
        <v>2</v>
      </c>
      <c r="I1387" s="5" t="n">
        <f aca="false">INDEX(Produtos!$D$2:$D$11,MATCH(F1387,Produtos!$A$2:$A$11,0))</f>
        <v>44.9</v>
      </c>
      <c r="J1387" s="5" t="n">
        <f aca="false">H1387*I1387</f>
        <v>89.8</v>
      </c>
      <c r="K1387" s="5" t="n">
        <f aca="false">INDEX(Produtos!$E$2:$E$11,MATCH(F1387,Produtos!$A$2:$A$11,0))</f>
        <v>18</v>
      </c>
      <c r="L1387" s="5" t="n">
        <f aca="false">H1387*K1387</f>
        <v>36</v>
      </c>
    </row>
    <row r="1388" customFormat="false" ht="15" hidden="false" customHeight="false" outlineLevel="0" collapsed="false">
      <c r="A1388" s="2" t="s">
        <v>1670</v>
      </c>
      <c r="B1388" s="8" t="n">
        <v>46139</v>
      </c>
      <c r="C1388" s="2" t="s">
        <v>64</v>
      </c>
      <c r="D1388" s="3" t="str">
        <f aca="false">INDEX(Vendedores!$C$2:$C$101,MATCH(C1388,Vendedores!$A$2:$A$101,0))</f>
        <v>L01</v>
      </c>
      <c r="E1388" s="3" t="str">
        <f aca="false">INDEX(Lojas!$E$2:$E$11,MATCH(D1388,Lojas!$A$2:$A$11,0))</f>
        <v>Sudeste</v>
      </c>
      <c r="F1388" s="2" t="s">
        <v>252</v>
      </c>
      <c r="G1388" s="3" t="str">
        <f aca="false">INDEX(Produtos!$B$2:$B$11,MATCH(F1388,Produtos!$A$2:$A$11,0))&amp;" "&amp;INDEX(Produtos!$C$2:$C$11,MATCH(F1388,Produtos!$A$2:$A$11,0))</f>
        <v>Notebook Lenovo</v>
      </c>
      <c r="H1388" s="2" t="n">
        <v>1</v>
      </c>
      <c r="I1388" s="5" t="n">
        <f aca="false">INDEX(Produtos!$D$2:$D$11,MATCH(F1388,Produtos!$A$2:$A$11,0))</f>
        <v>3199</v>
      </c>
      <c r="J1388" s="5" t="n">
        <f aca="false">H1388*I1388</f>
        <v>3199</v>
      </c>
      <c r="K1388" s="5" t="n">
        <f aca="false">INDEX(Produtos!$E$2:$E$11,MATCH(F1388,Produtos!$A$2:$A$11,0))</f>
        <v>2350</v>
      </c>
      <c r="L1388" s="5" t="n">
        <f aca="false">H1388*K1388</f>
        <v>2350</v>
      </c>
    </row>
    <row r="1389" customFormat="false" ht="15" hidden="false" customHeight="false" outlineLevel="0" collapsed="false">
      <c r="A1389" s="2" t="s">
        <v>1671</v>
      </c>
      <c r="B1389" s="8" t="n">
        <v>46139</v>
      </c>
      <c r="C1389" s="2" t="s">
        <v>110</v>
      </c>
      <c r="D1389" s="3" t="str">
        <f aca="false">INDEX(Vendedores!$C$2:$C$101,MATCH(C1389,Vendedores!$A$2:$A$101,0))</f>
        <v>L04</v>
      </c>
      <c r="E1389" s="3" t="str">
        <f aca="false">INDEX(Lojas!$E$2:$E$11,MATCH(D1389,Lojas!$A$2:$A$11,0))</f>
        <v>Sudeste</v>
      </c>
      <c r="F1389" s="2" t="s">
        <v>265</v>
      </c>
      <c r="G1389" s="3" t="str">
        <f aca="false">INDEX(Produtos!$B$2:$B$11,MATCH(F1389,Produtos!$A$2:$A$11,0))&amp;" "&amp;INDEX(Produtos!$C$2:$C$11,MATCH(F1389,Produtos!$A$2:$A$11,0))</f>
        <v>Fone de Ouvido Headset</v>
      </c>
      <c r="H1389" s="2" t="n">
        <v>2</v>
      </c>
      <c r="I1389" s="5" t="n">
        <f aca="false">INDEX(Produtos!$D$2:$D$11,MATCH(F1389,Produtos!$A$2:$A$11,0))</f>
        <v>249.9</v>
      </c>
      <c r="J1389" s="5" t="n">
        <f aca="false">H1389*I1389</f>
        <v>499.8</v>
      </c>
      <c r="K1389" s="5" t="n">
        <f aca="false">INDEX(Produtos!$E$2:$E$11,MATCH(F1389,Produtos!$A$2:$A$11,0))</f>
        <v>145</v>
      </c>
      <c r="L1389" s="5" t="n">
        <f aca="false">H1389*K1389</f>
        <v>290</v>
      </c>
    </row>
    <row r="1390" customFormat="false" ht="15" hidden="false" customHeight="false" outlineLevel="0" collapsed="false">
      <c r="A1390" s="2" t="s">
        <v>1672</v>
      </c>
      <c r="B1390" s="8" t="n">
        <v>46139</v>
      </c>
      <c r="C1390" s="2" t="s">
        <v>239</v>
      </c>
      <c r="D1390" s="3" t="str">
        <f aca="false">INDEX(Vendedores!$C$2:$C$101,MATCH(C1390,Vendedores!$A$2:$A$101,0))</f>
        <v>L10</v>
      </c>
      <c r="E1390" s="3" t="str">
        <f aca="false">INDEX(Lojas!$E$2:$E$11,MATCH(D1390,Lojas!$A$2:$A$11,0))</f>
        <v>Nordeste</v>
      </c>
      <c r="F1390" s="2" t="s">
        <v>255</v>
      </c>
      <c r="G1390" s="3" t="str">
        <f aca="false">INDEX(Produtos!$B$2:$B$11,MATCH(F1390,Produtos!$A$2:$A$11,0))&amp;" "&amp;INDEX(Produtos!$C$2:$C$11,MATCH(F1390,Produtos!$A$2:$A$11,0))</f>
        <v>Notebook Positivo</v>
      </c>
      <c r="H1390" s="2" t="n">
        <v>1</v>
      </c>
      <c r="I1390" s="5" t="n">
        <f aca="false">INDEX(Produtos!$D$2:$D$11,MATCH(F1390,Produtos!$A$2:$A$11,0))</f>
        <v>2199</v>
      </c>
      <c r="J1390" s="5" t="n">
        <f aca="false">H1390*I1390</f>
        <v>2199</v>
      </c>
      <c r="K1390" s="5" t="n">
        <f aca="false">INDEX(Produtos!$E$2:$E$11,MATCH(F1390,Produtos!$A$2:$A$11,0))</f>
        <v>1550</v>
      </c>
      <c r="L1390" s="5" t="n">
        <f aca="false">H1390*K1390</f>
        <v>1550</v>
      </c>
    </row>
    <row r="1391" customFormat="false" ht="15" hidden="false" customHeight="false" outlineLevel="0" collapsed="false">
      <c r="A1391" s="2" t="s">
        <v>1673</v>
      </c>
      <c r="B1391" s="8" t="n">
        <v>46139</v>
      </c>
      <c r="C1391" s="2" t="s">
        <v>86</v>
      </c>
      <c r="D1391" s="3" t="str">
        <f aca="false">INDEX(Vendedores!$C$2:$C$101,MATCH(C1391,Vendedores!$A$2:$A$101,0))</f>
        <v>L02</v>
      </c>
      <c r="E1391" s="3" t="str">
        <f aca="false">INDEX(Lojas!$E$2:$E$11,MATCH(D1391,Lojas!$A$2:$A$11,0))</f>
        <v>Sudeste</v>
      </c>
      <c r="F1391" s="2" t="s">
        <v>262</v>
      </c>
      <c r="G1391" s="3" t="str">
        <f aca="false">INDEX(Produtos!$B$2:$B$11,MATCH(F1391,Produtos!$A$2:$A$11,0))&amp;" "&amp;INDEX(Produtos!$C$2:$C$11,MATCH(F1391,Produtos!$A$2:$A$11,0))</f>
        <v>Fone de Ouvido De Celular</v>
      </c>
      <c r="H1391" s="2" t="n">
        <v>2</v>
      </c>
      <c r="I1391" s="5" t="n">
        <f aca="false">INDEX(Produtos!$D$2:$D$11,MATCH(F1391,Produtos!$A$2:$A$11,0))</f>
        <v>59.9</v>
      </c>
      <c r="J1391" s="5" t="n">
        <f aca="false">H1391*I1391</f>
        <v>119.8</v>
      </c>
      <c r="K1391" s="5" t="n">
        <f aca="false">INDEX(Produtos!$E$2:$E$11,MATCH(F1391,Produtos!$A$2:$A$11,0))</f>
        <v>28</v>
      </c>
      <c r="L1391" s="5" t="n">
        <f aca="false">H1391*K1391</f>
        <v>56</v>
      </c>
    </row>
    <row r="1392" customFormat="false" ht="15" hidden="false" customHeight="false" outlineLevel="0" collapsed="false">
      <c r="A1392" s="2" t="s">
        <v>1674</v>
      </c>
      <c r="B1392" s="8" t="n">
        <v>46139</v>
      </c>
      <c r="C1392" s="2" t="s">
        <v>168</v>
      </c>
      <c r="D1392" s="3" t="str">
        <f aca="false">INDEX(Vendedores!$C$2:$C$101,MATCH(C1392,Vendedores!$A$2:$A$101,0))</f>
        <v>L07</v>
      </c>
      <c r="E1392" s="3" t="str">
        <f aca="false">INDEX(Lojas!$E$2:$E$11,MATCH(D1392,Lojas!$A$2:$A$11,0))</f>
        <v>Sul</v>
      </c>
      <c r="F1392" s="2" t="s">
        <v>267</v>
      </c>
      <c r="G1392" s="3" t="str">
        <f aca="false">INDEX(Produtos!$B$2:$B$11,MATCH(F1392,Produtos!$A$2:$A$11,0))&amp;" "&amp;INDEX(Produtos!$C$2:$C$11,MATCH(F1392,Produtos!$A$2:$A$11,0))</f>
        <v>Carregador de Celular Tipo C</v>
      </c>
      <c r="H1392" s="2" t="n">
        <v>1</v>
      </c>
      <c r="I1392" s="5" t="n">
        <f aca="false">INDEX(Produtos!$D$2:$D$11,MATCH(F1392,Produtos!$A$2:$A$11,0))</f>
        <v>44.9</v>
      </c>
      <c r="J1392" s="5" t="n">
        <f aca="false">H1392*I1392</f>
        <v>44.9</v>
      </c>
      <c r="K1392" s="5" t="n">
        <f aca="false">INDEX(Produtos!$E$2:$E$11,MATCH(F1392,Produtos!$A$2:$A$11,0))</f>
        <v>18</v>
      </c>
      <c r="L1392" s="5" t="n">
        <f aca="false">H1392*K1392</f>
        <v>18</v>
      </c>
    </row>
    <row r="1393" customFormat="false" ht="15" hidden="false" customHeight="false" outlineLevel="0" collapsed="false">
      <c r="A1393" s="2" t="s">
        <v>1675</v>
      </c>
      <c r="B1393" s="8" t="n">
        <v>46139</v>
      </c>
      <c r="C1393" s="2" t="s">
        <v>225</v>
      </c>
      <c r="D1393" s="3" t="str">
        <f aca="false">INDEX(Vendedores!$C$2:$C$101,MATCH(C1393,Vendedores!$A$2:$A$101,0))</f>
        <v>L10</v>
      </c>
      <c r="E1393" s="3" t="str">
        <f aca="false">INDEX(Lojas!$E$2:$E$11,MATCH(D1393,Lojas!$A$2:$A$11,0))</f>
        <v>Nordeste</v>
      </c>
      <c r="F1393" s="2" t="s">
        <v>270</v>
      </c>
      <c r="G1393" s="3" t="str">
        <f aca="false">INDEX(Produtos!$B$2:$B$11,MATCH(F1393,Produtos!$A$2:$A$11,0))&amp;" "&amp;INDEX(Produtos!$C$2:$C$11,MATCH(F1393,Produtos!$A$2:$A$11,0))</f>
        <v>Controle de Videogame Xbox</v>
      </c>
      <c r="H1393" s="2" t="n">
        <v>2</v>
      </c>
      <c r="I1393" s="5" t="n">
        <f aca="false">INDEX(Produtos!$D$2:$D$11,MATCH(F1393,Produtos!$A$2:$A$11,0))</f>
        <v>349.9</v>
      </c>
      <c r="J1393" s="5" t="n">
        <f aca="false">H1393*I1393</f>
        <v>699.8</v>
      </c>
      <c r="K1393" s="5" t="n">
        <f aca="false">INDEX(Produtos!$E$2:$E$11,MATCH(F1393,Produtos!$A$2:$A$11,0))</f>
        <v>215</v>
      </c>
      <c r="L1393" s="5" t="n">
        <f aca="false">H1393*K1393</f>
        <v>430</v>
      </c>
    </row>
    <row r="1394" customFormat="false" ht="15" hidden="false" customHeight="false" outlineLevel="0" collapsed="false">
      <c r="A1394" s="2" t="s">
        <v>1676</v>
      </c>
      <c r="B1394" s="8" t="n">
        <v>46139</v>
      </c>
      <c r="C1394" s="2" t="s">
        <v>203</v>
      </c>
      <c r="D1394" s="3" t="str">
        <f aca="false">INDEX(Vendedores!$C$2:$C$101,MATCH(C1394,Vendedores!$A$2:$A$101,0))</f>
        <v>L08</v>
      </c>
      <c r="E1394" s="3" t="str">
        <f aca="false">INDEX(Lojas!$E$2:$E$11,MATCH(D1394,Lojas!$A$2:$A$11,0))</f>
        <v>Nordeste</v>
      </c>
      <c r="F1394" s="2" t="s">
        <v>257</v>
      </c>
      <c r="G1394" s="3" t="str">
        <f aca="false">INDEX(Produtos!$B$2:$B$11,MATCH(F1394,Produtos!$A$2:$A$11,0))&amp;" "&amp;INDEX(Produtos!$C$2:$C$11,MATCH(F1394,Produtos!$A$2:$A$11,0))</f>
        <v>Celular Samsung</v>
      </c>
      <c r="H1394" s="2" t="n">
        <v>3</v>
      </c>
      <c r="I1394" s="5" t="n">
        <f aca="false">INDEX(Produtos!$D$2:$D$11,MATCH(F1394,Produtos!$A$2:$A$11,0))</f>
        <v>2499</v>
      </c>
      <c r="J1394" s="5" t="n">
        <f aca="false">H1394*I1394</f>
        <v>7497</v>
      </c>
      <c r="K1394" s="5" t="n">
        <f aca="false">INDEX(Produtos!$E$2:$E$11,MATCH(F1394,Produtos!$A$2:$A$11,0))</f>
        <v>1800</v>
      </c>
      <c r="L1394" s="5" t="n">
        <f aca="false">H1394*K1394</f>
        <v>5400</v>
      </c>
    </row>
    <row r="1395" customFormat="false" ht="15" hidden="false" customHeight="false" outlineLevel="0" collapsed="false">
      <c r="A1395" s="2" t="s">
        <v>1677</v>
      </c>
      <c r="B1395" s="8" t="n">
        <v>46139</v>
      </c>
      <c r="C1395" s="2" t="s">
        <v>154</v>
      </c>
      <c r="D1395" s="3" t="str">
        <f aca="false">INDEX(Vendedores!$C$2:$C$101,MATCH(C1395,Vendedores!$A$2:$A$101,0))</f>
        <v>L06</v>
      </c>
      <c r="E1395" s="3" t="str">
        <f aca="false">INDEX(Lojas!$E$2:$E$11,MATCH(D1395,Lojas!$A$2:$A$11,0))</f>
        <v>Sul</v>
      </c>
      <c r="F1395" s="2" t="s">
        <v>255</v>
      </c>
      <c r="G1395" s="3" t="str">
        <f aca="false">INDEX(Produtos!$B$2:$B$11,MATCH(F1395,Produtos!$A$2:$A$11,0))&amp;" "&amp;INDEX(Produtos!$C$2:$C$11,MATCH(F1395,Produtos!$A$2:$A$11,0))</f>
        <v>Notebook Positivo</v>
      </c>
      <c r="H1395" s="2" t="n">
        <v>1</v>
      </c>
      <c r="I1395" s="5" t="n">
        <f aca="false">INDEX(Produtos!$D$2:$D$11,MATCH(F1395,Produtos!$A$2:$A$11,0))</f>
        <v>2199</v>
      </c>
      <c r="J1395" s="5" t="n">
        <f aca="false">H1395*I1395</f>
        <v>2199</v>
      </c>
      <c r="K1395" s="5" t="n">
        <f aca="false">INDEX(Produtos!$E$2:$E$11,MATCH(F1395,Produtos!$A$2:$A$11,0))</f>
        <v>1550</v>
      </c>
      <c r="L1395" s="5" t="n">
        <f aca="false">H1395*K1395</f>
        <v>1550</v>
      </c>
    </row>
    <row r="1396" customFormat="false" ht="15" hidden="false" customHeight="false" outlineLevel="0" collapsed="false">
      <c r="A1396" s="2" t="s">
        <v>1678</v>
      </c>
      <c r="B1396" s="8" t="n">
        <v>46140</v>
      </c>
      <c r="C1396" s="2" t="s">
        <v>166</v>
      </c>
      <c r="D1396" s="3" t="str">
        <f aca="false">INDEX(Vendedores!$C$2:$C$101,MATCH(C1396,Vendedores!$A$2:$A$101,0))</f>
        <v>L06</v>
      </c>
      <c r="E1396" s="3" t="str">
        <f aca="false">INDEX(Lojas!$E$2:$E$11,MATCH(D1396,Lojas!$A$2:$A$11,0))</f>
        <v>Sul</v>
      </c>
      <c r="F1396" s="2" t="s">
        <v>257</v>
      </c>
      <c r="G1396" s="3" t="str">
        <f aca="false">INDEX(Produtos!$B$2:$B$11,MATCH(F1396,Produtos!$A$2:$A$11,0))&amp;" "&amp;INDEX(Produtos!$C$2:$C$11,MATCH(F1396,Produtos!$A$2:$A$11,0))</f>
        <v>Celular Samsung</v>
      </c>
      <c r="H1396" s="2" t="n">
        <v>1</v>
      </c>
      <c r="I1396" s="5" t="n">
        <f aca="false">INDEX(Produtos!$D$2:$D$11,MATCH(F1396,Produtos!$A$2:$A$11,0))</f>
        <v>2499</v>
      </c>
      <c r="J1396" s="5" t="n">
        <f aca="false">H1396*I1396</f>
        <v>2499</v>
      </c>
      <c r="K1396" s="5" t="n">
        <f aca="false">INDEX(Produtos!$E$2:$E$11,MATCH(F1396,Produtos!$A$2:$A$11,0))</f>
        <v>1800</v>
      </c>
      <c r="L1396" s="5" t="n">
        <f aca="false">H1396*K1396</f>
        <v>1800</v>
      </c>
    </row>
    <row r="1397" customFormat="false" ht="15" hidden="false" customHeight="false" outlineLevel="0" collapsed="false">
      <c r="A1397" s="2" t="s">
        <v>1679</v>
      </c>
      <c r="B1397" s="8" t="n">
        <v>46140</v>
      </c>
      <c r="C1397" s="2" t="s">
        <v>106</v>
      </c>
      <c r="D1397" s="3" t="str">
        <f aca="false">INDEX(Vendedores!$C$2:$C$101,MATCH(C1397,Vendedores!$A$2:$A$101,0))</f>
        <v>L03</v>
      </c>
      <c r="E1397" s="3" t="str">
        <f aca="false">INDEX(Lojas!$E$2:$E$11,MATCH(D1397,Lojas!$A$2:$A$11,0))</f>
        <v>Sudeste</v>
      </c>
      <c r="F1397" s="2" t="s">
        <v>275</v>
      </c>
      <c r="G1397" s="3" t="str">
        <f aca="false">INDEX(Produtos!$B$2:$B$11,MATCH(F1397,Produtos!$A$2:$A$11,0))&amp;" "&amp;INDEX(Produtos!$C$2:$C$11,MATCH(F1397,Produtos!$A$2:$A$11,0))</f>
        <v>Controle de Videogame PS5</v>
      </c>
      <c r="H1397" s="2" t="n">
        <v>3</v>
      </c>
      <c r="I1397" s="5" t="n">
        <f aca="false">INDEX(Produtos!$D$2:$D$11,MATCH(F1397,Produtos!$A$2:$A$11,0))</f>
        <v>379.9</v>
      </c>
      <c r="J1397" s="5" t="n">
        <f aca="false">H1397*I1397</f>
        <v>1139.7</v>
      </c>
      <c r="K1397" s="5" t="n">
        <f aca="false">INDEX(Produtos!$E$2:$E$11,MATCH(F1397,Produtos!$A$2:$A$11,0))</f>
        <v>235</v>
      </c>
      <c r="L1397" s="5" t="n">
        <f aca="false">H1397*K1397</f>
        <v>705</v>
      </c>
    </row>
    <row r="1398" customFormat="false" ht="15" hidden="false" customHeight="false" outlineLevel="0" collapsed="false">
      <c r="A1398" s="2" t="s">
        <v>1680</v>
      </c>
      <c r="B1398" s="8" t="n">
        <v>46140</v>
      </c>
      <c r="C1398" s="2" t="s">
        <v>189</v>
      </c>
      <c r="D1398" s="3" t="str">
        <f aca="false">INDEX(Vendedores!$C$2:$C$101,MATCH(C1398,Vendedores!$A$2:$A$101,0))</f>
        <v>L08</v>
      </c>
      <c r="E1398" s="3" t="str">
        <f aca="false">INDEX(Lojas!$E$2:$E$11,MATCH(D1398,Lojas!$A$2:$A$11,0))</f>
        <v>Nordeste</v>
      </c>
      <c r="F1398" s="2" t="s">
        <v>260</v>
      </c>
      <c r="G1398" s="3" t="str">
        <f aca="false">INDEX(Produtos!$B$2:$B$11,MATCH(F1398,Produtos!$A$2:$A$11,0))&amp;" "&amp;INDEX(Produtos!$C$2:$C$11,MATCH(F1398,Produtos!$A$2:$A$11,0))</f>
        <v>Celular Motorola</v>
      </c>
      <c r="H1398" s="2" t="n">
        <v>1</v>
      </c>
      <c r="I1398" s="5" t="n">
        <f aca="false">INDEX(Produtos!$D$2:$D$11,MATCH(F1398,Produtos!$A$2:$A$11,0))</f>
        <v>1799</v>
      </c>
      <c r="J1398" s="5" t="n">
        <f aca="false">H1398*I1398</f>
        <v>1799</v>
      </c>
      <c r="K1398" s="5" t="n">
        <f aca="false">INDEX(Produtos!$E$2:$E$11,MATCH(F1398,Produtos!$A$2:$A$11,0))</f>
        <v>1250</v>
      </c>
      <c r="L1398" s="5" t="n">
        <f aca="false">H1398*K1398</f>
        <v>1250</v>
      </c>
    </row>
    <row r="1399" customFormat="false" ht="15" hidden="false" customHeight="false" outlineLevel="0" collapsed="false">
      <c r="A1399" s="2" t="s">
        <v>1681</v>
      </c>
      <c r="B1399" s="8" t="n">
        <v>46140</v>
      </c>
      <c r="C1399" s="2" t="s">
        <v>185</v>
      </c>
      <c r="D1399" s="3" t="str">
        <f aca="false">INDEX(Vendedores!$C$2:$C$101,MATCH(C1399,Vendedores!$A$2:$A$101,0))</f>
        <v>L08</v>
      </c>
      <c r="E1399" s="3" t="str">
        <f aca="false">INDEX(Lojas!$E$2:$E$11,MATCH(D1399,Lojas!$A$2:$A$11,0))</f>
        <v>Nordeste</v>
      </c>
      <c r="F1399" s="2" t="s">
        <v>267</v>
      </c>
      <c r="G1399" s="3" t="str">
        <f aca="false">INDEX(Produtos!$B$2:$B$11,MATCH(F1399,Produtos!$A$2:$A$11,0))&amp;" "&amp;INDEX(Produtos!$C$2:$C$11,MATCH(F1399,Produtos!$A$2:$A$11,0))</f>
        <v>Carregador de Celular Tipo C</v>
      </c>
      <c r="H1399" s="2" t="n">
        <v>1</v>
      </c>
      <c r="I1399" s="5" t="n">
        <f aca="false">INDEX(Produtos!$D$2:$D$11,MATCH(F1399,Produtos!$A$2:$A$11,0))</f>
        <v>44.9</v>
      </c>
      <c r="J1399" s="5" t="n">
        <f aca="false">H1399*I1399</f>
        <v>44.9</v>
      </c>
      <c r="K1399" s="5" t="n">
        <f aca="false">INDEX(Produtos!$E$2:$E$11,MATCH(F1399,Produtos!$A$2:$A$11,0))</f>
        <v>18</v>
      </c>
      <c r="L1399" s="5" t="n">
        <f aca="false">H1399*K1399</f>
        <v>18</v>
      </c>
    </row>
    <row r="1400" customFormat="false" ht="15" hidden="false" customHeight="false" outlineLevel="0" collapsed="false">
      <c r="A1400" s="2" t="s">
        <v>1682</v>
      </c>
      <c r="B1400" s="8" t="n">
        <v>46140</v>
      </c>
      <c r="C1400" s="2" t="s">
        <v>140</v>
      </c>
      <c r="D1400" s="3" t="str">
        <f aca="false">INDEX(Vendedores!$C$2:$C$101,MATCH(C1400,Vendedores!$A$2:$A$101,0))</f>
        <v>L05</v>
      </c>
      <c r="E1400" s="3" t="str">
        <f aca="false">INDEX(Lojas!$E$2:$E$11,MATCH(D1400,Lojas!$A$2:$A$11,0))</f>
        <v>Sul</v>
      </c>
      <c r="F1400" s="2" t="s">
        <v>275</v>
      </c>
      <c r="G1400" s="3" t="str">
        <f aca="false">INDEX(Produtos!$B$2:$B$11,MATCH(F1400,Produtos!$A$2:$A$11,0))&amp;" "&amp;INDEX(Produtos!$C$2:$C$11,MATCH(F1400,Produtos!$A$2:$A$11,0))</f>
        <v>Controle de Videogame PS5</v>
      </c>
      <c r="H1400" s="2" t="n">
        <v>3</v>
      </c>
      <c r="I1400" s="5" t="n">
        <f aca="false">INDEX(Produtos!$D$2:$D$11,MATCH(F1400,Produtos!$A$2:$A$11,0))</f>
        <v>379.9</v>
      </c>
      <c r="J1400" s="5" t="n">
        <f aca="false">H1400*I1400</f>
        <v>1139.7</v>
      </c>
      <c r="K1400" s="5" t="n">
        <f aca="false">INDEX(Produtos!$E$2:$E$11,MATCH(F1400,Produtos!$A$2:$A$11,0))</f>
        <v>235</v>
      </c>
      <c r="L1400" s="5" t="n">
        <f aca="false">H1400*K1400</f>
        <v>705</v>
      </c>
    </row>
    <row r="1401" customFormat="false" ht="15" hidden="false" customHeight="false" outlineLevel="0" collapsed="false">
      <c r="A1401" s="2" t="s">
        <v>1683</v>
      </c>
      <c r="B1401" s="8" t="n">
        <v>46140</v>
      </c>
      <c r="C1401" s="2" t="s">
        <v>148</v>
      </c>
      <c r="D1401" s="3" t="str">
        <f aca="false">INDEX(Vendedores!$C$2:$C$101,MATCH(C1401,Vendedores!$A$2:$A$101,0))</f>
        <v>L06</v>
      </c>
      <c r="E1401" s="3" t="str">
        <f aca="false">INDEX(Lojas!$E$2:$E$11,MATCH(D1401,Lojas!$A$2:$A$11,0))</f>
        <v>Sul</v>
      </c>
      <c r="F1401" s="2" t="s">
        <v>267</v>
      </c>
      <c r="G1401" s="3" t="str">
        <f aca="false">INDEX(Produtos!$B$2:$B$11,MATCH(F1401,Produtos!$A$2:$A$11,0))&amp;" "&amp;INDEX(Produtos!$C$2:$C$11,MATCH(F1401,Produtos!$A$2:$A$11,0))</f>
        <v>Carregador de Celular Tipo C</v>
      </c>
      <c r="H1401" s="2" t="n">
        <v>1</v>
      </c>
      <c r="I1401" s="5" t="n">
        <f aca="false">INDEX(Produtos!$D$2:$D$11,MATCH(F1401,Produtos!$A$2:$A$11,0))</f>
        <v>44.9</v>
      </c>
      <c r="J1401" s="5" t="n">
        <f aca="false">H1401*I1401</f>
        <v>44.9</v>
      </c>
      <c r="K1401" s="5" t="n">
        <f aca="false">INDEX(Produtos!$E$2:$E$11,MATCH(F1401,Produtos!$A$2:$A$11,0))</f>
        <v>18</v>
      </c>
      <c r="L1401" s="5" t="n">
        <f aca="false">H1401*K1401</f>
        <v>18</v>
      </c>
    </row>
    <row r="1402" customFormat="false" ht="15" hidden="false" customHeight="false" outlineLevel="0" collapsed="false">
      <c r="A1402" s="2" t="s">
        <v>1684</v>
      </c>
      <c r="B1402" s="8" t="n">
        <v>46140</v>
      </c>
      <c r="C1402" s="2" t="s">
        <v>185</v>
      </c>
      <c r="D1402" s="3" t="str">
        <f aca="false">INDEX(Vendedores!$C$2:$C$101,MATCH(C1402,Vendedores!$A$2:$A$101,0))</f>
        <v>L08</v>
      </c>
      <c r="E1402" s="3" t="str">
        <f aca="false">INDEX(Lojas!$E$2:$E$11,MATCH(D1402,Lojas!$A$2:$A$11,0))</f>
        <v>Nordeste</v>
      </c>
      <c r="F1402" s="2" t="s">
        <v>252</v>
      </c>
      <c r="G1402" s="3" t="str">
        <f aca="false">INDEX(Produtos!$B$2:$B$11,MATCH(F1402,Produtos!$A$2:$A$11,0))&amp;" "&amp;INDEX(Produtos!$C$2:$C$11,MATCH(F1402,Produtos!$A$2:$A$11,0))</f>
        <v>Notebook Lenovo</v>
      </c>
      <c r="H1402" s="2" t="n">
        <v>1</v>
      </c>
      <c r="I1402" s="5" t="n">
        <f aca="false">INDEX(Produtos!$D$2:$D$11,MATCH(F1402,Produtos!$A$2:$A$11,0))</f>
        <v>3199</v>
      </c>
      <c r="J1402" s="5" t="n">
        <f aca="false">H1402*I1402</f>
        <v>3199</v>
      </c>
      <c r="K1402" s="5" t="n">
        <f aca="false">INDEX(Produtos!$E$2:$E$11,MATCH(F1402,Produtos!$A$2:$A$11,0))</f>
        <v>2350</v>
      </c>
      <c r="L1402" s="5" t="n">
        <f aca="false">H1402*K1402</f>
        <v>2350</v>
      </c>
    </row>
    <row r="1403" customFormat="false" ht="15" hidden="false" customHeight="false" outlineLevel="0" collapsed="false">
      <c r="A1403" s="2" t="s">
        <v>1685</v>
      </c>
      <c r="B1403" s="8" t="n">
        <v>46140</v>
      </c>
      <c r="C1403" s="2" t="s">
        <v>241</v>
      </c>
      <c r="D1403" s="3" t="str">
        <f aca="false">INDEX(Vendedores!$C$2:$C$101,MATCH(C1403,Vendedores!$A$2:$A$101,0))</f>
        <v>L10</v>
      </c>
      <c r="E1403" s="3" t="str">
        <f aca="false">INDEX(Lojas!$E$2:$E$11,MATCH(D1403,Lojas!$A$2:$A$11,0))</f>
        <v>Nordeste</v>
      </c>
      <c r="F1403" s="2" t="s">
        <v>262</v>
      </c>
      <c r="G1403" s="3" t="str">
        <f aca="false">INDEX(Produtos!$B$2:$B$11,MATCH(F1403,Produtos!$A$2:$A$11,0))&amp;" "&amp;INDEX(Produtos!$C$2:$C$11,MATCH(F1403,Produtos!$A$2:$A$11,0))</f>
        <v>Fone de Ouvido De Celular</v>
      </c>
      <c r="H1403" s="2" t="n">
        <v>1</v>
      </c>
      <c r="I1403" s="5" t="n">
        <f aca="false">INDEX(Produtos!$D$2:$D$11,MATCH(F1403,Produtos!$A$2:$A$11,0))</f>
        <v>59.9</v>
      </c>
      <c r="J1403" s="5" t="n">
        <f aca="false">H1403*I1403</f>
        <v>59.9</v>
      </c>
      <c r="K1403" s="5" t="n">
        <f aca="false">INDEX(Produtos!$E$2:$E$11,MATCH(F1403,Produtos!$A$2:$A$11,0))</f>
        <v>28</v>
      </c>
      <c r="L1403" s="5" t="n">
        <f aca="false">H1403*K1403</f>
        <v>28</v>
      </c>
    </row>
    <row r="1404" customFormat="false" ht="15" hidden="false" customHeight="false" outlineLevel="0" collapsed="false">
      <c r="A1404" s="2" t="s">
        <v>1686</v>
      </c>
      <c r="B1404" s="8" t="n">
        <v>46140</v>
      </c>
      <c r="C1404" s="2" t="s">
        <v>225</v>
      </c>
      <c r="D1404" s="3" t="str">
        <f aca="false">INDEX(Vendedores!$C$2:$C$101,MATCH(C1404,Vendedores!$A$2:$A$101,0))</f>
        <v>L10</v>
      </c>
      <c r="E1404" s="3" t="str">
        <f aca="false">INDEX(Lojas!$E$2:$E$11,MATCH(D1404,Lojas!$A$2:$A$11,0))</f>
        <v>Nordeste</v>
      </c>
      <c r="F1404" s="2" t="s">
        <v>252</v>
      </c>
      <c r="G1404" s="3" t="str">
        <f aca="false">INDEX(Produtos!$B$2:$B$11,MATCH(F1404,Produtos!$A$2:$A$11,0))&amp;" "&amp;INDEX(Produtos!$C$2:$C$11,MATCH(F1404,Produtos!$A$2:$A$11,0))</f>
        <v>Notebook Lenovo</v>
      </c>
      <c r="H1404" s="2" t="n">
        <v>1</v>
      </c>
      <c r="I1404" s="5" t="n">
        <f aca="false">INDEX(Produtos!$D$2:$D$11,MATCH(F1404,Produtos!$A$2:$A$11,0))</f>
        <v>3199</v>
      </c>
      <c r="J1404" s="5" t="n">
        <f aca="false">H1404*I1404</f>
        <v>3199</v>
      </c>
      <c r="K1404" s="5" t="n">
        <f aca="false">INDEX(Produtos!$E$2:$E$11,MATCH(F1404,Produtos!$A$2:$A$11,0))</f>
        <v>2350</v>
      </c>
      <c r="L1404" s="5" t="n">
        <f aca="false">H1404*K1404</f>
        <v>2350</v>
      </c>
    </row>
    <row r="1405" customFormat="false" ht="15" hidden="false" customHeight="false" outlineLevel="0" collapsed="false">
      <c r="A1405" s="2" t="s">
        <v>1687</v>
      </c>
      <c r="B1405" s="8" t="n">
        <v>46140</v>
      </c>
      <c r="C1405" s="2" t="s">
        <v>160</v>
      </c>
      <c r="D1405" s="3" t="str">
        <f aca="false">INDEX(Vendedores!$C$2:$C$101,MATCH(C1405,Vendedores!$A$2:$A$101,0))</f>
        <v>L06</v>
      </c>
      <c r="E1405" s="3" t="str">
        <f aca="false">INDEX(Lojas!$E$2:$E$11,MATCH(D1405,Lojas!$A$2:$A$11,0))</f>
        <v>Sul</v>
      </c>
      <c r="F1405" s="2" t="s">
        <v>270</v>
      </c>
      <c r="G1405" s="3" t="str">
        <f aca="false">INDEX(Produtos!$B$2:$B$11,MATCH(F1405,Produtos!$A$2:$A$11,0))&amp;" "&amp;INDEX(Produtos!$C$2:$C$11,MATCH(F1405,Produtos!$A$2:$A$11,0))</f>
        <v>Controle de Videogame Xbox</v>
      </c>
      <c r="H1405" s="2" t="n">
        <v>3</v>
      </c>
      <c r="I1405" s="5" t="n">
        <f aca="false">INDEX(Produtos!$D$2:$D$11,MATCH(F1405,Produtos!$A$2:$A$11,0))</f>
        <v>349.9</v>
      </c>
      <c r="J1405" s="5" t="n">
        <f aca="false">H1405*I1405</f>
        <v>1049.7</v>
      </c>
      <c r="K1405" s="5" t="n">
        <f aca="false">INDEX(Produtos!$E$2:$E$11,MATCH(F1405,Produtos!$A$2:$A$11,0))</f>
        <v>215</v>
      </c>
      <c r="L1405" s="5" t="n">
        <f aca="false">H1405*K1405</f>
        <v>645</v>
      </c>
    </row>
    <row r="1406" customFormat="false" ht="15" hidden="false" customHeight="false" outlineLevel="0" collapsed="false">
      <c r="A1406" s="2" t="s">
        <v>1688</v>
      </c>
      <c r="B1406" s="8" t="n">
        <v>46141</v>
      </c>
      <c r="C1406" s="2" t="s">
        <v>146</v>
      </c>
      <c r="D1406" s="3" t="str">
        <f aca="false">INDEX(Vendedores!$C$2:$C$101,MATCH(C1406,Vendedores!$A$2:$A$101,0))</f>
        <v>L05</v>
      </c>
      <c r="E1406" s="3" t="str">
        <f aca="false">INDEX(Lojas!$E$2:$E$11,MATCH(D1406,Lojas!$A$2:$A$11,0))</f>
        <v>Sul</v>
      </c>
      <c r="F1406" s="2" t="s">
        <v>267</v>
      </c>
      <c r="G1406" s="3" t="str">
        <f aca="false">INDEX(Produtos!$B$2:$B$11,MATCH(F1406,Produtos!$A$2:$A$11,0))&amp;" "&amp;INDEX(Produtos!$C$2:$C$11,MATCH(F1406,Produtos!$A$2:$A$11,0))</f>
        <v>Carregador de Celular Tipo C</v>
      </c>
      <c r="H1406" s="2" t="n">
        <v>1</v>
      </c>
      <c r="I1406" s="5" t="n">
        <f aca="false">INDEX(Produtos!$D$2:$D$11,MATCH(F1406,Produtos!$A$2:$A$11,0))</f>
        <v>44.9</v>
      </c>
      <c r="J1406" s="5" t="n">
        <f aca="false">H1406*I1406</f>
        <v>44.9</v>
      </c>
      <c r="K1406" s="5" t="n">
        <f aca="false">INDEX(Produtos!$E$2:$E$11,MATCH(F1406,Produtos!$A$2:$A$11,0))</f>
        <v>18</v>
      </c>
      <c r="L1406" s="5" t="n">
        <f aca="false">H1406*K1406</f>
        <v>18</v>
      </c>
    </row>
    <row r="1407" customFormat="false" ht="15" hidden="false" customHeight="false" outlineLevel="0" collapsed="false">
      <c r="A1407" s="2" t="s">
        <v>1689</v>
      </c>
      <c r="B1407" s="8" t="n">
        <v>46141</v>
      </c>
      <c r="C1407" s="2" t="s">
        <v>116</v>
      </c>
      <c r="D1407" s="3" t="str">
        <f aca="false">INDEX(Vendedores!$C$2:$C$101,MATCH(C1407,Vendedores!$A$2:$A$101,0))</f>
        <v>L04</v>
      </c>
      <c r="E1407" s="3" t="str">
        <f aca="false">INDEX(Lojas!$E$2:$E$11,MATCH(D1407,Lojas!$A$2:$A$11,0))</f>
        <v>Sudeste</v>
      </c>
      <c r="F1407" s="2" t="s">
        <v>252</v>
      </c>
      <c r="G1407" s="3" t="str">
        <f aca="false">INDEX(Produtos!$B$2:$B$11,MATCH(F1407,Produtos!$A$2:$A$11,0))&amp;" "&amp;INDEX(Produtos!$C$2:$C$11,MATCH(F1407,Produtos!$A$2:$A$11,0))</f>
        <v>Notebook Lenovo</v>
      </c>
      <c r="H1407" s="2" t="n">
        <v>1</v>
      </c>
      <c r="I1407" s="5" t="n">
        <f aca="false">INDEX(Produtos!$D$2:$D$11,MATCH(F1407,Produtos!$A$2:$A$11,0))</f>
        <v>3199</v>
      </c>
      <c r="J1407" s="5" t="n">
        <f aca="false">H1407*I1407</f>
        <v>3199</v>
      </c>
      <c r="K1407" s="5" t="n">
        <f aca="false">INDEX(Produtos!$E$2:$E$11,MATCH(F1407,Produtos!$A$2:$A$11,0))</f>
        <v>2350</v>
      </c>
      <c r="L1407" s="5" t="n">
        <f aca="false">H1407*K1407</f>
        <v>2350</v>
      </c>
    </row>
    <row r="1408" customFormat="false" ht="15" hidden="false" customHeight="false" outlineLevel="0" collapsed="false">
      <c r="A1408" s="2" t="s">
        <v>1690</v>
      </c>
      <c r="B1408" s="8" t="n">
        <v>46141</v>
      </c>
      <c r="C1408" s="2" t="s">
        <v>146</v>
      </c>
      <c r="D1408" s="3" t="str">
        <f aca="false">INDEX(Vendedores!$C$2:$C$101,MATCH(C1408,Vendedores!$A$2:$A$101,0))</f>
        <v>L05</v>
      </c>
      <c r="E1408" s="3" t="str">
        <f aca="false">INDEX(Lojas!$E$2:$E$11,MATCH(D1408,Lojas!$A$2:$A$11,0))</f>
        <v>Sul</v>
      </c>
      <c r="F1408" s="2" t="s">
        <v>257</v>
      </c>
      <c r="G1408" s="3" t="str">
        <f aca="false">INDEX(Produtos!$B$2:$B$11,MATCH(F1408,Produtos!$A$2:$A$11,0))&amp;" "&amp;INDEX(Produtos!$C$2:$C$11,MATCH(F1408,Produtos!$A$2:$A$11,0))</f>
        <v>Celular Samsung</v>
      </c>
      <c r="H1408" s="2" t="n">
        <v>1</v>
      </c>
      <c r="I1408" s="5" t="n">
        <f aca="false">INDEX(Produtos!$D$2:$D$11,MATCH(F1408,Produtos!$A$2:$A$11,0))</f>
        <v>2499</v>
      </c>
      <c r="J1408" s="5" t="n">
        <f aca="false">H1408*I1408</f>
        <v>2499</v>
      </c>
      <c r="K1408" s="5" t="n">
        <f aca="false">INDEX(Produtos!$E$2:$E$11,MATCH(F1408,Produtos!$A$2:$A$11,0))</f>
        <v>1800</v>
      </c>
      <c r="L1408" s="5" t="n">
        <f aca="false">H1408*K1408</f>
        <v>1800</v>
      </c>
    </row>
    <row r="1409" customFormat="false" ht="15" hidden="false" customHeight="false" outlineLevel="0" collapsed="false">
      <c r="A1409" s="2" t="s">
        <v>1691</v>
      </c>
      <c r="B1409" s="8" t="n">
        <v>46141</v>
      </c>
      <c r="C1409" s="2" t="s">
        <v>158</v>
      </c>
      <c r="D1409" s="3" t="str">
        <f aca="false">INDEX(Vendedores!$C$2:$C$101,MATCH(C1409,Vendedores!$A$2:$A$101,0))</f>
        <v>L06</v>
      </c>
      <c r="E1409" s="3" t="str">
        <f aca="false">INDEX(Lojas!$E$2:$E$11,MATCH(D1409,Lojas!$A$2:$A$11,0))</f>
        <v>Sul</v>
      </c>
      <c r="F1409" s="2" t="s">
        <v>270</v>
      </c>
      <c r="G1409" s="3" t="str">
        <f aca="false">INDEX(Produtos!$B$2:$B$11,MATCH(F1409,Produtos!$A$2:$A$11,0))&amp;" "&amp;INDEX(Produtos!$C$2:$C$11,MATCH(F1409,Produtos!$A$2:$A$11,0))</f>
        <v>Controle de Videogame Xbox</v>
      </c>
      <c r="H1409" s="2" t="n">
        <v>1</v>
      </c>
      <c r="I1409" s="5" t="n">
        <f aca="false">INDEX(Produtos!$D$2:$D$11,MATCH(F1409,Produtos!$A$2:$A$11,0))</f>
        <v>349.9</v>
      </c>
      <c r="J1409" s="5" t="n">
        <f aca="false">H1409*I1409</f>
        <v>349.9</v>
      </c>
      <c r="K1409" s="5" t="n">
        <f aca="false">INDEX(Produtos!$E$2:$E$11,MATCH(F1409,Produtos!$A$2:$A$11,0))</f>
        <v>215</v>
      </c>
      <c r="L1409" s="5" t="n">
        <f aca="false">H1409*K1409</f>
        <v>215</v>
      </c>
    </row>
    <row r="1410" customFormat="false" ht="15" hidden="false" customHeight="false" outlineLevel="0" collapsed="false">
      <c r="A1410" s="2" t="s">
        <v>1692</v>
      </c>
      <c r="B1410" s="8" t="n">
        <v>46141</v>
      </c>
      <c r="C1410" s="2" t="s">
        <v>137</v>
      </c>
      <c r="D1410" s="3" t="str">
        <f aca="false">INDEX(Vendedores!$C$2:$C$101,MATCH(C1410,Vendedores!$A$2:$A$101,0))</f>
        <v>L05</v>
      </c>
      <c r="E1410" s="3" t="str">
        <f aca="false">INDEX(Lojas!$E$2:$E$11,MATCH(D1410,Lojas!$A$2:$A$11,0))</f>
        <v>Sul</v>
      </c>
      <c r="F1410" s="2" t="s">
        <v>252</v>
      </c>
      <c r="G1410" s="3" t="str">
        <f aca="false">INDEX(Produtos!$B$2:$B$11,MATCH(F1410,Produtos!$A$2:$A$11,0))&amp;" "&amp;INDEX(Produtos!$C$2:$C$11,MATCH(F1410,Produtos!$A$2:$A$11,0))</f>
        <v>Notebook Lenovo</v>
      </c>
      <c r="H1410" s="2" t="n">
        <v>1</v>
      </c>
      <c r="I1410" s="5" t="n">
        <f aca="false">INDEX(Produtos!$D$2:$D$11,MATCH(F1410,Produtos!$A$2:$A$11,0))</f>
        <v>3199</v>
      </c>
      <c r="J1410" s="5" t="n">
        <f aca="false">H1410*I1410</f>
        <v>3199</v>
      </c>
      <c r="K1410" s="5" t="n">
        <f aca="false">INDEX(Produtos!$E$2:$E$11,MATCH(F1410,Produtos!$A$2:$A$11,0))</f>
        <v>2350</v>
      </c>
      <c r="L1410" s="5" t="n">
        <f aca="false">H1410*K1410</f>
        <v>2350</v>
      </c>
    </row>
    <row r="1411" customFormat="false" ht="15" hidden="false" customHeight="false" outlineLevel="0" collapsed="false">
      <c r="A1411" s="2" t="s">
        <v>1693</v>
      </c>
      <c r="B1411" s="8" t="n">
        <v>46141</v>
      </c>
      <c r="C1411" s="2" t="s">
        <v>154</v>
      </c>
      <c r="D1411" s="3" t="str">
        <f aca="false">INDEX(Vendedores!$C$2:$C$101,MATCH(C1411,Vendedores!$A$2:$A$101,0))</f>
        <v>L06</v>
      </c>
      <c r="E1411" s="3" t="str">
        <f aca="false">INDEX(Lojas!$E$2:$E$11,MATCH(D1411,Lojas!$A$2:$A$11,0))</f>
        <v>Sul</v>
      </c>
      <c r="F1411" s="2" t="s">
        <v>260</v>
      </c>
      <c r="G1411" s="3" t="str">
        <f aca="false">INDEX(Produtos!$B$2:$B$11,MATCH(F1411,Produtos!$A$2:$A$11,0))&amp;" "&amp;INDEX(Produtos!$C$2:$C$11,MATCH(F1411,Produtos!$A$2:$A$11,0))</f>
        <v>Celular Motorola</v>
      </c>
      <c r="H1411" s="2" t="n">
        <v>1</v>
      </c>
      <c r="I1411" s="5" t="n">
        <f aca="false">INDEX(Produtos!$D$2:$D$11,MATCH(F1411,Produtos!$A$2:$A$11,0))</f>
        <v>1799</v>
      </c>
      <c r="J1411" s="5" t="n">
        <f aca="false">H1411*I1411</f>
        <v>1799</v>
      </c>
      <c r="K1411" s="5" t="n">
        <f aca="false">INDEX(Produtos!$E$2:$E$11,MATCH(F1411,Produtos!$A$2:$A$11,0))</f>
        <v>1250</v>
      </c>
      <c r="L1411" s="5" t="n">
        <f aca="false">H1411*K1411</f>
        <v>1250</v>
      </c>
    </row>
    <row r="1412" customFormat="false" ht="15" hidden="false" customHeight="false" outlineLevel="0" collapsed="false">
      <c r="A1412" s="2" t="s">
        <v>1694</v>
      </c>
      <c r="B1412" s="8" t="n">
        <v>46141</v>
      </c>
      <c r="C1412" s="2" t="s">
        <v>215</v>
      </c>
      <c r="D1412" s="3" t="str">
        <f aca="false">INDEX(Vendedores!$C$2:$C$101,MATCH(C1412,Vendedores!$A$2:$A$101,0))</f>
        <v>L09</v>
      </c>
      <c r="E1412" s="3" t="str">
        <f aca="false">INDEX(Lojas!$E$2:$E$11,MATCH(D1412,Lojas!$A$2:$A$11,0))</f>
        <v>Nordeste</v>
      </c>
      <c r="F1412" s="2" t="s">
        <v>255</v>
      </c>
      <c r="G1412" s="3" t="str">
        <f aca="false">INDEX(Produtos!$B$2:$B$11,MATCH(F1412,Produtos!$A$2:$A$11,0))&amp;" "&amp;INDEX(Produtos!$C$2:$C$11,MATCH(F1412,Produtos!$A$2:$A$11,0))</f>
        <v>Notebook Positivo</v>
      </c>
      <c r="H1412" s="2" t="n">
        <v>2</v>
      </c>
      <c r="I1412" s="5" t="n">
        <f aca="false">INDEX(Produtos!$D$2:$D$11,MATCH(F1412,Produtos!$A$2:$A$11,0))</f>
        <v>2199</v>
      </c>
      <c r="J1412" s="5" t="n">
        <f aca="false">H1412*I1412</f>
        <v>4398</v>
      </c>
      <c r="K1412" s="5" t="n">
        <f aca="false">INDEX(Produtos!$E$2:$E$11,MATCH(F1412,Produtos!$A$2:$A$11,0))</f>
        <v>1550</v>
      </c>
      <c r="L1412" s="5" t="n">
        <f aca="false">H1412*K1412</f>
        <v>3100</v>
      </c>
    </row>
    <row r="1413" customFormat="false" ht="15" hidden="false" customHeight="false" outlineLevel="0" collapsed="false">
      <c r="A1413" s="2" t="s">
        <v>1695</v>
      </c>
      <c r="B1413" s="8" t="n">
        <v>46141</v>
      </c>
      <c r="C1413" s="2" t="s">
        <v>235</v>
      </c>
      <c r="D1413" s="3" t="str">
        <f aca="false">INDEX(Vendedores!$C$2:$C$101,MATCH(C1413,Vendedores!$A$2:$A$101,0))</f>
        <v>L10</v>
      </c>
      <c r="E1413" s="3" t="str">
        <f aca="false">INDEX(Lojas!$E$2:$E$11,MATCH(D1413,Lojas!$A$2:$A$11,0))</f>
        <v>Nordeste</v>
      </c>
      <c r="F1413" s="2" t="s">
        <v>260</v>
      </c>
      <c r="G1413" s="3" t="str">
        <f aca="false">INDEX(Produtos!$B$2:$B$11,MATCH(F1413,Produtos!$A$2:$A$11,0))&amp;" "&amp;INDEX(Produtos!$C$2:$C$11,MATCH(F1413,Produtos!$A$2:$A$11,0))</f>
        <v>Celular Motorola</v>
      </c>
      <c r="H1413" s="2" t="n">
        <v>2</v>
      </c>
      <c r="I1413" s="5" t="n">
        <f aca="false">INDEX(Produtos!$D$2:$D$11,MATCH(F1413,Produtos!$A$2:$A$11,0))</f>
        <v>1799</v>
      </c>
      <c r="J1413" s="5" t="n">
        <f aca="false">H1413*I1413</f>
        <v>3598</v>
      </c>
      <c r="K1413" s="5" t="n">
        <f aca="false">INDEX(Produtos!$E$2:$E$11,MATCH(F1413,Produtos!$A$2:$A$11,0))</f>
        <v>1250</v>
      </c>
      <c r="L1413" s="5" t="n">
        <f aca="false">H1413*K1413</f>
        <v>2500</v>
      </c>
    </row>
    <row r="1414" customFormat="false" ht="15" hidden="false" customHeight="false" outlineLevel="0" collapsed="false">
      <c r="A1414" s="2" t="s">
        <v>1696</v>
      </c>
      <c r="B1414" s="8" t="n">
        <v>46141</v>
      </c>
      <c r="C1414" s="2" t="s">
        <v>219</v>
      </c>
      <c r="D1414" s="3" t="str">
        <f aca="false">INDEX(Vendedores!$C$2:$C$101,MATCH(C1414,Vendedores!$A$2:$A$101,0))</f>
        <v>L09</v>
      </c>
      <c r="E1414" s="3" t="str">
        <f aca="false">INDEX(Lojas!$E$2:$E$11,MATCH(D1414,Lojas!$A$2:$A$11,0))</f>
        <v>Nordeste</v>
      </c>
      <c r="F1414" s="2" t="s">
        <v>265</v>
      </c>
      <c r="G1414" s="3" t="str">
        <f aca="false">INDEX(Produtos!$B$2:$B$11,MATCH(F1414,Produtos!$A$2:$A$11,0))&amp;" "&amp;INDEX(Produtos!$C$2:$C$11,MATCH(F1414,Produtos!$A$2:$A$11,0))</f>
        <v>Fone de Ouvido Headset</v>
      </c>
      <c r="H1414" s="2" t="n">
        <v>1</v>
      </c>
      <c r="I1414" s="5" t="n">
        <f aca="false">INDEX(Produtos!$D$2:$D$11,MATCH(F1414,Produtos!$A$2:$A$11,0))</f>
        <v>249.9</v>
      </c>
      <c r="J1414" s="5" t="n">
        <f aca="false">H1414*I1414</f>
        <v>249.9</v>
      </c>
      <c r="K1414" s="5" t="n">
        <f aca="false">INDEX(Produtos!$E$2:$E$11,MATCH(F1414,Produtos!$A$2:$A$11,0))</f>
        <v>145</v>
      </c>
      <c r="L1414" s="5" t="n">
        <f aca="false">H1414*K1414</f>
        <v>145</v>
      </c>
    </row>
    <row r="1415" customFormat="false" ht="15" hidden="false" customHeight="false" outlineLevel="0" collapsed="false">
      <c r="A1415" s="2" t="s">
        <v>1697</v>
      </c>
      <c r="B1415" s="8" t="n">
        <v>46142</v>
      </c>
      <c r="C1415" s="2" t="s">
        <v>178</v>
      </c>
      <c r="D1415" s="3" t="str">
        <f aca="false">INDEX(Vendedores!$C$2:$C$101,MATCH(C1415,Vendedores!$A$2:$A$101,0))</f>
        <v>L07</v>
      </c>
      <c r="E1415" s="3" t="str">
        <f aca="false">INDEX(Lojas!$E$2:$E$11,MATCH(D1415,Lojas!$A$2:$A$11,0))</f>
        <v>Sul</v>
      </c>
      <c r="F1415" s="2" t="s">
        <v>273</v>
      </c>
      <c r="G1415" s="3" t="str">
        <f aca="false">INDEX(Produtos!$B$2:$B$11,MATCH(F1415,Produtos!$A$2:$A$11,0))&amp;" "&amp;INDEX(Produtos!$C$2:$C$11,MATCH(F1415,Produtos!$A$2:$A$11,0))</f>
        <v>Controle de Videogame PS4</v>
      </c>
      <c r="H1415" s="2" t="n">
        <v>1</v>
      </c>
      <c r="I1415" s="5" t="n">
        <f aca="false">INDEX(Produtos!$D$2:$D$11,MATCH(F1415,Produtos!$A$2:$A$11,0))</f>
        <v>299.9</v>
      </c>
      <c r="J1415" s="5" t="n">
        <f aca="false">H1415*I1415</f>
        <v>299.9</v>
      </c>
      <c r="K1415" s="5" t="n">
        <f aca="false">INDEX(Produtos!$E$2:$E$11,MATCH(F1415,Produtos!$A$2:$A$11,0))</f>
        <v>175</v>
      </c>
      <c r="L1415" s="5" t="n">
        <f aca="false">H1415*K1415</f>
        <v>175</v>
      </c>
    </row>
    <row r="1416" customFormat="false" ht="15" hidden="false" customHeight="false" outlineLevel="0" collapsed="false">
      <c r="A1416" s="2" t="s">
        <v>1698</v>
      </c>
      <c r="B1416" s="8" t="n">
        <v>46142</v>
      </c>
      <c r="C1416" s="2" t="s">
        <v>156</v>
      </c>
      <c r="D1416" s="3" t="str">
        <f aca="false">INDEX(Vendedores!$C$2:$C$101,MATCH(C1416,Vendedores!$A$2:$A$101,0))</f>
        <v>L06</v>
      </c>
      <c r="E1416" s="3" t="str">
        <f aca="false">INDEX(Lojas!$E$2:$E$11,MATCH(D1416,Lojas!$A$2:$A$11,0))</f>
        <v>Sul</v>
      </c>
      <c r="F1416" s="2" t="s">
        <v>257</v>
      </c>
      <c r="G1416" s="3" t="str">
        <f aca="false">INDEX(Produtos!$B$2:$B$11,MATCH(F1416,Produtos!$A$2:$A$11,0))&amp;" "&amp;INDEX(Produtos!$C$2:$C$11,MATCH(F1416,Produtos!$A$2:$A$11,0))</f>
        <v>Celular Samsung</v>
      </c>
      <c r="H1416" s="2" t="n">
        <v>1</v>
      </c>
      <c r="I1416" s="5" t="n">
        <f aca="false">INDEX(Produtos!$D$2:$D$11,MATCH(F1416,Produtos!$A$2:$A$11,0))</f>
        <v>2499</v>
      </c>
      <c r="J1416" s="5" t="n">
        <f aca="false">H1416*I1416</f>
        <v>2499</v>
      </c>
      <c r="K1416" s="5" t="n">
        <f aca="false">INDEX(Produtos!$E$2:$E$11,MATCH(F1416,Produtos!$A$2:$A$11,0))</f>
        <v>1800</v>
      </c>
      <c r="L1416" s="5" t="n">
        <f aca="false">H1416*K1416</f>
        <v>1800</v>
      </c>
    </row>
    <row r="1417" customFormat="false" ht="15" hidden="false" customHeight="false" outlineLevel="0" collapsed="false">
      <c r="A1417" s="2" t="s">
        <v>1699</v>
      </c>
      <c r="B1417" s="8" t="n">
        <v>46142</v>
      </c>
      <c r="C1417" s="2" t="s">
        <v>172</v>
      </c>
      <c r="D1417" s="3" t="str">
        <f aca="false">INDEX(Vendedores!$C$2:$C$101,MATCH(C1417,Vendedores!$A$2:$A$101,0))</f>
        <v>L07</v>
      </c>
      <c r="E1417" s="3" t="str">
        <f aca="false">INDEX(Lojas!$E$2:$E$11,MATCH(D1417,Lojas!$A$2:$A$11,0))</f>
        <v>Sul</v>
      </c>
      <c r="F1417" s="2" t="s">
        <v>275</v>
      </c>
      <c r="G1417" s="3" t="str">
        <f aca="false">INDEX(Produtos!$B$2:$B$11,MATCH(F1417,Produtos!$A$2:$A$11,0))&amp;" "&amp;INDEX(Produtos!$C$2:$C$11,MATCH(F1417,Produtos!$A$2:$A$11,0))</f>
        <v>Controle de Videogame PS5</v>
      </c>
      <c r="H1417" s="2" t="n">
        <v>1</v>
      </c>
      <c r="I1417" s="5" t="n">
        <f aca="false">INDEX(Produtos!$D$2:$D$11,MATCH(F1417,Produtos!$A$2:$A$11,0))</f>
        <v>379.9</v>
      </c>
      <c r="J1417" s="5" t="n">
        <f aca="false">H1417*I1417</f>
        <v>379.9</v>
      </c>
      <c r="K1417" s="5" t="n">
        <f aca="false">INDEX(Produtos!$E$2:$E$11,MATCH(F1417,Produtos!$A$2:$A$11,0))</f>
        <v>235</v>
      </c>
      <c r="L1417" s="5" t="n">
        <f aca="false">H1417*K1417</f>
        <v>235</v>
      </c>
    </row>
    <row r="1418" customFormat="false" ht="15" hidden="false" customHeight="false" outlineLevel="0" collapsed="false">
      <c r="A1418" s="2" t="s">
        <v>1700</v>
      </c>
      <c r="B1418" s="8" t="n">
        <v>46142</v>
      </c>
      <c r="C1418" s="2" t="s">
        <v>174</v>
      </c>
      <c r="D1418" s="3" t="str">
        <f aca="false">INDEX(Vendedores!$C$2:$C$101,MATCH(C1418,Vendedores!$A$2:$A$101,0))</f>
        <v>L07</v>
      </c>
      <c r="E1418" s="3" t="str">
        <f aca="false">INDEX(Lojas!$E$2:$E$11,MATCH(D1418,Lojas!$A$2:$A$11,0))</f>
        <v>Sul</v>
      </c>
      <c r="F1418" s="2" t="s">
        <v>267</v>
      </c>
      <c r="G1418" s="3" t="str">
        <f aca="false">INDEX(Produtos!$B$2:$B$11,MATCH(F1418,Produtos!$A$2:$A$11,0))&amp;" "&amp;INDEX(Produtos!$C$2:$C$11,MATCH(F1418,Produtos!$A$2:$A$11,0))</f>
        <v>Carregador de Celular Tipo C</v>
      </c>
      <c r="H1418" s="2" t="n">
        <v>1</v>
      </c>
      <c r="I1418" s="5" t="n">
        <f aca="false">INDEX(Produtos!$D$2:$D$11,MATCH(F1418,Produtos!$A$2:$A$11,0))</f>
        <v>44.9</v>
      </c>
      <c r="J1418" s="5" t="n">
        <f aca="false">H1418*I1418</f>
        <v>44.9</v>
      </c>
      <c r="K1418" s="5" t="n">
        <f aca="false">INDEX(Produtos!$E$2:$E$11,MATCH(F1418,Produtos!$A$2:$A$11,0))</f>
        <v>18</v>
      </c>
      <c r="L1418" s="5" t="n">
        <f aca="false">H1418*K1418</f>
        <v>18</v>
      </c>
    </row>
    <row r="1419" customFormat="false" ht="15" hidden="false" customHeight="false" outlineLevel="0" collapsed="false">
      <c r="A1419" s="2" t="s">
        <v>1701</v>
      </c>
      <c r="B1419" s="8" t="n">
        <v>46142</v>
      </c>
      <c r="C1419" s="2" t="s">
        <v>205</v>
      </c>
      <c r="D1419" s="3" t="str">
        <f aca="false">INDEX(Vendedores!$C$2:$C$101,MATCH(C1419,Vendedores!$A$2:$A$101,0))</f>
        <v>L09</v>
      </c>
      <c r="E1419" s="3" t="str">
        <f aca="false">INDEX(Lojas!$E$2:$E$11,MATCH(D1419,Lojas!$A$2:$A$11,0))</f>
        <v>Nordeste</v>
      </c>
      <c r="F1419" s="2" t="s">
        <v>267</v>
      </c>
      <c r="G1419" s="3" t="str">
        <f aca="false">INDEX(Produtos!$B$2:$B$11,MATCH(F1419,Produtos!$A$2:$A$11,0))&amp;" "&amp;INDEX(Produtos!$C$2:$C$11,MATCH(F1419,Produtos!$A$2:$A$11,0))</f>
        <v>Carregador de Celular Tipo C</v>
      </c>
      <c r="H1419" s="2" t="n">
        <v>2</v>
      </c>
      <c r="I1419" s="5" t="n">
        <f aca="false">INDEX(Produtos!$D$2:$D$11,MATCH(F1419,Produtos!$A$2:$A$11,0))</f>
        <v>44.9</v>
      </c>
      <c r="J1419" s="5" t="n">
        <f aca="false">H1419*I1419</f>
        <v>89.8</v>
      </c>
      <c r="K1419" s="5" t="n">
        <f aca="false">INDEX(Produtos!$E$2:$E$11,MATCH(F1419,Produtos!$A$2:$A$11,0))</f>
        <v>18</v>
      </c>
      <c r="L1419" s="5" t="n">
        <f aca="false">H1419*K1419</f>
        <v>36</v>
      </c>
    </row>
    <row r="1420" customFormat="false" ht="15" hidden="false" customHeight="false" outlineLevel="0" collapsed="false">
      <c r="A1420" s="2" t="s">
        <v>1702</v>
      </c>
      <c r="B1420" s="8" t="n">
        <v>46142</v>
      </c>
      <c r="C1420" s="2" t="s">
        <v>229</v>
      </c>
      <c r="D1420" s="3" t="str">
        <f aca="false">INDEX(Vendedores!$C$2:$C$101,MATCH(C1420,Vendedores!$A$2:$A$101,0))</f>
        <v>L10</v>
      </c>
      <c r="E1420" s="3" t="str">
        <f aca="false">INDEX(Lojas!$E$2:$E$11,MATCH(D1420,Lojas!$A$2:$A$11,0))</f>
        <v>Nordeste</v>
      </c>
      <c r="F1420" s="2" t="s">
        <v>267</v>
      </c>
      <c r="G1420" s="3" t="str">
        <f aca="false">INDEX(Produtos!$B$2:$B$11,MATCH(F1420,Produtos!$A$2:$A$11,0))&amp;" "&amp;INDEX(Produtos!$C$2:$C$11,MATCH(F1420,Produtos!$A$2:$A$11,0))</f>
        <v>Carregador de Celular Tipo C</v>
      </c>
      <c r="H1420" s="2" t="n">
        <v>1</v>
      </c>
      <c r="I1420" s="5" t="n">
        <f aca="false">INDEX(Produtos!$D$2:$D$11,MATCH(F1420,Produtos!$A$2:$A$11,0))</f>
        <v>44.9</v>
      </c>
      <c r="J1420" s="5" t="n">
        <f aca="false">H1420*I1420</f>
        <v>44.9</v>
      </c>
      <c r="K1420" s="5" t="n">
        <f aca="false">INDEX(Produtos!$E$2:$E$11,MATCH(F1420,Produtos!$A$2:$A$11,0))</f>
        <v>18</v>
      </c>
      <c r="L1420" s="5" t="n">
        <f aca="false">H1420*K1420</f>
        <v>18</v>
      </c>
    </row>
    <row r="1421" customFormat="false" ht="15" hidden="false" customHeight="false" outlineLevel="0" collapsed="false">
      <c r="A1421" s="2" t="s">
        <v>1703</v>
      </c>
      <c r="B1421" s="8" t="n">
        <v>46142</v>
      </c>
      <c r="C1421" s="2" t="s">
        <v>209</v>
      </c>
      <c r="D1421" s="3" t="str">
        <f aca="false">INDEX(Vendedores!$C$2:$C$101,MATCH(C1421,Vendedores!$A$2:$A$101,0))</f>
        <v>L09</v>
      </c>
      <c r="E1421" s="3" t="str">
        <f aca="false">INDEX(Lojas!$E$2:$E$11,MATCH(D1421,Lojas!$A$2:$A$11,0))</f>
        <v>Nordeste</v>
      </c>
      <c r="F1421" s="2" t="s">
        <v>260</v>
      </c>
      <c r="G1421" s="3" t="str">
        <f aca="false">INDEX(Produtos!$B$2:$B$11,MATCH(F1421,Produtos!$A$2:$A$11,0))&amp;" "&amp;INDEX(Produtos!$C$2:$C$11,MATCH(F1421,Produtos!$A$2:$A$11,0))</f>
        <v>Celular Motorola</v>
      </c>
      <c r="H1421" s="2" t="n">
        <v>1</v>
      </c>
      <c r="I1421" s="5" t="n">
        <f aca="false">INDEX(Produtos!$D$2:$D$11,MATCH(F1421,Produtos!$A$2:$A$11,0))</f>
        <v>1799</v>
      </c>
      <c r="J1421" s="5" t="n">
        <f aca="false">H1421*I1421</f>
        <v>1799</v>
      </c>
      <c r="K1421" s="5" t="n">
        <f aca="false">INDEX(Produtos!$E$2:$E$11,MATCH(F1421,Produtos!$A$2:$A$11,0))</f>
        <v>1250</v>
      </c>
      <c r="L1421" s="5" t="n">
        <f aca="false">H1421*K1421</f>
        <v>1250</v>
      </c>
    </row>
    <row r="1422" customFormat="false" ht="15" hidden="false" customHeight="false" outlineLevel="0" collapsed="false">
      <c r="A1422" s="2" t="s">
        <v>1704</v>
      </c>
      <c r="B1422" s="8" t="n">
        <v>46142</v>
      </c>
      <c r="C1422" s="2" t="s">
        <v>146</v>
      </c>
      <c r="D1422" s="3" t="str">
        <f aca="false">INDEX(Vendedores!$C$2:$C$101,MATCH(C1422,Vendedores!$A$2:$A$101,0))</f>
        <v>L05</v>
      </c>
      <c r="E1422" s="3" t="str">
        <f aca="false">INDEX(Lojas!$E$2:$E$11,MATCH(D1422,Lojas!$A$2:$A$11,0))</f>
        <v>Sul</v>
      </c>
      <c r="F1422" s="2" t="s">
        <v>275</v>
      </c>
      <c r="G1422" s="3" t="str">
        <f aca="false">INDEX(Produtos!$B$2:$B$11,MATCH(F1422,Produtos!$A$2:$A$11,0))&amp;" "&amp;INDEX(Produtos!$C$2:$C$11,MATCH(F1422,Produtos!$A$2:$A$11,0))</f>
        <v>Controle de Videogame PS5</v>
      </c>
      <c r="H1422" s="2" t="n">
        <v>1</v>
      </c>
      <c r="I1422" s="5" t="n">
        <f aca="false">INDEX(Produtos!$D$2:$D$11,MATCH(F1422,Produtos!$A$2:$A$11,0))</f>
        <v>379.9</v>
      </c>
      <c r="J1422" s="5" t="n">
        <f aca="false">H1422*I1422</f>
        <v>379.9</v>
      </c>
      <c r="K1422" s="5" t="n">
        <f aca="false">INDEX(Produtos!$E$2:$E$11,MATCH(F1422,Produtos!$A$2:$A$11,0))</f>
        <v>235</v>
      </c>
      <c r="L1422" s="5" t="n">
        <f aca="false">H1422*K1422</f>
        <v>235</v>
      </c>
    </row>
    <row r="1423" customFormat="false" ht="15" hidden="false" customHeight="false" outlineLevel="0" collapsed="false">
      <c r="A1423" s="2" t="s">
        <v>1705</v>
      </c>
      <c r="B1423" s="8" t="n">
        <v>46142</v>
      </c>
      <c r="C1423" s="2" t="s">
        <v>179</v>
      </c>
      <c r="D1423" s="3" t="str">
        <f aca="false">INDEX(Vendedores!$C$2:$C$101,MATCH(C1423,Vendedores!$A$2:$A$101,0))</f>
        <v>L07</v>
      </c>
      <c r="E1423" s="3" t="str">
        <f aca="false">INDEX(Lojas!$E$2:$E$11,MATCH(D1423,Lojas!$A$2:$A$11,0))</f>
        <v>Sul</v>
      </c>
      <c r="F1423" s="2" t="s">
        <v>273</v>
      </c>
      <c r="G1423" s="3" t="str">
        <f aca="false">INDEX(Produtos!$B$2:$B$11,MATCH(F1423,Produtos!$A$2:$A$11,0))&amp;" "&amp;INDEX(Produtos!$C$2:$C$11,MATCH(F1423,Produtos!$A$2:$A$11,0))</f>
        <v>Controle de Videogame PS4</v>
      </c>
      <c r="H1423" s="2" t="n">
        <v>1</v>
      </c>
      <c r="I1423" s="5" t="n">
        <f aca="false">INDEX(Produtos!$D$2:$D$11,MATCH(F1423,Produtos!$A$2:$A$11,0))</f>
        <v>299.9</v>
      </c>
      <c r="J1423" s="5" t="n">
        <f aca="false">H1423*I1423</f>
        <v>299.9</v>
      </c>
      <c r="K1423" s="5" t="n">
        <f aca="false">INDEX(Produtos!$E$2:$E$11,MATCH(F1423,Produtos!$A$2:$A$11,0))</f>
        <v>175</v>
      </c>
      <c r="L1423" s="5" t="n">
        <f aca="false">H1423*K1423</f>
        <v>175</v>
      </c>
    </row>
    <row r="1424" customFormat="false" ht="15" hidden="false" customHeight="false" outlineLevel="0" collapsed="false">
      <c r="A1424" s="2" t="s">
        <v>1706</v>
      </c>
      <c r="B1424" s="8" t="n">
        <v>46142</v>
      </c>
      <c r="C1424" s="2" t="s">
        <v>233</v>
      </c>
      <c r="D1424" s="3" t="str">
        <f aca="false">INDEX(Vendedores!$C$2:$C$101,MATCH(C1424,Vendedores!$A$2:$A$101,0))</f>
        <v>L10</v>
      </c>
      <c r="E1424" s="3" t="str">
        <f aca="false">INDEX(Lojas!$E$2:$E$11,MATCH(D1424,Lojas!$A$2:$A$11,0))</f>
        <v>Nordeste</v>
      </c>
      <c r="F1424" s="2" t="s">
        <v>267</v>
      </c>
      <c r="G1424" s="3" t="str">
        <f aca="false">INDEX(Produtos!$B$2:$B$11,MATCH(F1424,Produtos!$A$2:$A$11,0))&amp;" "&amp;INDEX(Produtos!$C$2:$C$11,MATCH(F1424,Produtos!$A$2:$A$11,0))</f>
        <v>Carregador de Celular Tipo C</v>
      </c>
      <c r="H1424" s="2" t="n">
        <v>1</v>
      </c>
      <c r="I1424" s="5" t="n">
        <f aca="false">INDEX(Produtos!$D$2:$D$11,MATCH(F1424,Produtos!$A$2:$A$11,0))</f>
        <v>44.9</v>
      </c>
      <c r="J1424" s="5" t="n">
        <f aca="false">H1424*I1424</f>
        <v>44.9</v>
      </c>
      <c r="K1424" s="5" t="n">
        <f aca="false">INDEX(Produtos!$E$2:$E$11,MATCH(F1424,Produtos!$A$2:$A$11,0))</f>
        <v>18</v>
      </c>
      <c r="L1424" s="5" t="n">
        <f aca="false">H1424*K1424</f>
        <v>18</v>
      </c>
    </row>
    <row r="1425" customFormat="false" ht="15" hidden="false" customHeight="false" outlineLevel="0" collapsed="false">
      <c r="A1425" s="2" t="s">
        <v>1707</v>
      </c>
      <c r="B1425" s="8" t="n">
        <v>46143</v>
      </c>
      <c r="C1425" s="2" t="s">
        <v>62</v>
      </c>
      <c r="D1425" s="3" t="str">
        <f aca="false">INDEX(Vendedores!$C$2:$C$101,MATCH(C1425,Vendedores!$A$2:$A$101,0))</f>
        <v>L01</v>
      </c>
      <c r="E1425" s="3" t="str">
        <f aca="false">INDEX(Lojas!$E$2:$E$11,MATCH(D1425,Lojas!$A$2:$A$11,0))</f>
        <v>Sudeste</v>
      </c>
      <c r="F1425" s="2" t="s">
        <v>262</v>
      </c>
      <c r="G1425" s="3" t="str">
        <f aca="false">INDEX(Produtos!$B$2:$B$11,MATCH(F1425,Produtos!$A$2:$A$11,0))&amp;" "&amp;INDEX(Produtos!$C$2:$C$11,MATCH(F1425,Produtos!$A$2:$A$11,0))</f>
        <v>Fone de Ouvido De Celular</v>
      </c>
      <c r="H1425" s="2" t="n">
        <v>1</v>
      </c>
      <c r="I1425" s="5" t="n">
        <f aca="false">INDEX(Produtos!$D$2:$D$11,MATCH(F1425,Produtos!$A$2:$A$11,0))</f>
        <v>59.9</v>
      </c>
      <c r="J1425" s="5" t="n">
        <f aca="false">H1425*I1425</f>
        <v>59.9</v>
      </c>
      <c r="K1425" s="5" t="n">
        <f aca="false">INDEX(Produtos!$E$2:$E$11,MATCH(F1425,Produtos!$A$2:$A$11,0))</f>
        <v>28</v>
      </c>
      <c r="L1425" s="5" t="n">
        <f aca="false">H1425*K1425</f>
        <v>28</v>
      </c>
    </row>
    <row r="1426" customFormat="false" ht="15" hidden="false" customHeight="false" outlineLevel="0" collapsed="false">
      <c r="A1426" s="2" t="s">
        <v>1708</v>
      </c>
      <c r="B1426" s="8" t="n">
        <v>46143</v>
      </c>
      <c r="C1426" s="2" t="s">
        <v>135</v>
      </c>
      <c r="D1426" s="3" t="str">
        <f aca="false">INDEX(Vendedores!$C$2:$C$101,MATCH(C1426,Vendedores!$A$2:$A$101,0))</f>
        <v>L05</v>
      </c>
      <c r="E1426" s="3" t="str">
        <f aca="false">INDEX(Lojas!$E$2:$E$11,MATCH(D1426,Lojas!$A$2:$A$11,0))</f>
        <v>Sul</v>
      </c>
      <c r="F1426" s="2" t="s">
        <v>262</v>
      </c>
      <c r="G1426" s="3" t="str">
        <f aca="false">INDEX(Produtos!$B$2:$B$11,MATCH(F1426,Produtos!$A$2:$A$11,0))&amp;" "&amp;INDEX(Produtos!$C$2:$C$11,MATCH(F1426,Produtos!$A$2:$A$11,0))</f>
        <v>Fone de Ouvido De Celular</v>
      </c>
      <c r="H1426" s="2" t="n">
        <v>1</v>
      </c>
      <c r="I1426" s="5" t="n">
        <f aca="false">INDEX(Produtos!$D$2:$D$11,MATCH(F1426,Produtos!$A$2:$A$11,0))</f>
        <v>59.9</v>
      </c>
      <c r="J1426" s="5" t="n">
        <f aca="false">H1426*I1426</f>
        <v>59.9</v>
      </c>
      <c r="K1426" s="5" t="n">
        <f aca="false">INDEX(Produtos!$E$2:$E$11,MATCH(F1426,Produtos!$A$2:$A$11,0))</f>
        <v>28</v>
      </c>
      <c r="L1426" s="5" t="n">
        <f aca="false">H1426*K1426</f>
        <v>28</v>
      </c>
    </row>
    <row r="1427" customFormat="false" ht="15" hidden="false" customHeight="false" outlineLevel="0" collapsed="false">
      <c r="A1427" s="2" t="s">
        <v>1709</v>
      </c>
      <c r="B1427" s="8" t="n">
        <v>46143</v>
      </c>
      <c r="C1427" s="2" t="s">
        <v>191</v>
      </c>
      <c r="D1427" s="3" t="str">
        <f aca="false">INDEX(Vendedores!$C$2:$C$101,MATCH(C1427,Vendedores!$A$2:$A$101,0))</f>
        <v>L08</v>
      </c>
      <c r="E1427" s="3" t="str">
        <f aca="false">INDEX(Lojas!$E$2:$E$11,MATCH(D1427,Lojas!$A$2:$A$11,0))</f>
        <v>Nordeste</v>
      </c>
      <c r="F1427" s="2" t="s">
        <v>260</v>
      </c>
      <c r="G1427" s="3" t="str">
        <f aca="false">INDEX(Produtos!$B$2:$B$11,MATCH(F1427,Produtos!$A$2:$A$11,0))&amp;" "&amp;INDEX(Produtos!$C$2:$C$11,MATCH(F1427,Produtos!$A$2:$A$11,0))</f>
        <v>Celular Motorola</v>
      </c>
      <c r="H1427" s="2" t="n">
        <v>2</v>
      </c>
      <c r="I1427" s="5" t="n">
        <f aca="false">INDEX(Produtos!$D$2:$D$11,MATCH(F1427,Produtos!$A$2:$A$11,0))</f>
        <v>1799</v>
      </c>
      <c r="J1427" s="5" t="n">
        <f aca="false">H1427*I1427</f>
        <v>3598</v>
      </c>
      <c r="K1427" s="5" t="n">
        <f aca="false">INDEX(Produtos!$E$2:$E$11,MATCH(F1427,Produtos!$A$2:$A$11,0))</f>
        <v>1250</v>
      </c>
      <c r="L1427" s="5" t="n">
        <f aca="false">H1427*K1427</f>
        <v>2500</v>
      </c>
    </row>
    <row r="1428" customFormat="false" ht="15" hidden="false" customHeight="false" outlineLevel="0" collapsed="false">
      <c r="A1428" s="2" t="s">
        <v>1710</v>
      </c>
      <c r="B1428" s="8" t="n">
        <v>46143</v>
      </c>
      <c r="C1428" s="2" t="s">
        <v>219</v>
      </c>
      <c r="D1428" s="3" t="str">
        <f aca="false">INDEX(Vendedores!$C$2:$C$101,MATCH(C1428,Vendedores!$A$2:$A$101,0))</f>
        <v>L09</v>
      </c>
      <c r="E1428" s="3" t="str">
        <f aca="false">INDEX(Lojas!$E$2:$E$11,MATCH(D1428,Lojas!$A$2:$A$11,0))</f>
        <v>Nordeste</v>
      </c>
      <c r="F1428" s="2" t="s">
        <v>265</v>
      </c>
      <c r="G1428" s="3" t="str">
        <f aca="false">INDEX(Produtos!$B$2:$B$11,MATCH(F1428,Produtos!$A$2:$A$11,0))&amp;" "&amp;INDEX(Produtos!$C$2:$C$11,MATCH(F1428,Produtos!$A$2:$A$11,0))</f>
        <v>Fone de Ouvido Headset</v>
      </c>
      <c r="H1428" s="2" t="n">
        <v>1</v>
      </c>
      <c r="I1428" s="5" t="n">
        <f aca="false">INDEX(Produtos!$D$2:$D$11,MATCH(F1428,Produtos!$A$2:$A$11,0))</f>
        <v>249.9</v>
      </c>
      <c r="J1428" s="5" t="n">
        <f aca="false">H1428*I1428</f>
        <v>249.9</v>
      </c>
      <c r="K1428" s="5" t="n">
        <f aca="false">INDEX(Produtos!$E$2:$E$11,MATCH(F1428,Produtos!$A$2:$A$11,0))</f>
        <v>145</v>
      </c>
      <c r="L1428" s="5" t="n">
        <f aca="false">H1428*K1428</f>
        <v>145</v>
      </c>
    </row>
    <row r="1429" customFormat="false" ht="15" hidden="false" customHeight="false" outlineLevel="0" collapsed="false">
      <c r="A1429" s="2" t="s">
        <v>1711</v>
      </c>
      <c r="B1429" s="8" t="n">
        <v>46143</v>
      </c>
      <c r="C1429" s="2" t="s">
        <v>160</v>
      </c>
      <c r="D1429" s="3" t="str">
        <f aca="false">INDEX(Vendedores!$C$2:$C$101,MATCH(C1429,Vendedores!$A$2:$A$101,0))</f>
        <v>L06</v>
      </c>
      <c r="E1429" s="3" t="str">
        <f aca="false">INDEX(Lojas!$E$2:$E$11,MATCH(D1429,Lojas!$A$2:$A$11,0))</f>
        <v>Sul</v>
      </c>
      <c r="F1429" s="2" t="s">
        <v>270</v>
      </c>
      <c r="G1429" s="3" t="str">
        <f aca="false">INDEX(Produtos!$B$2:$B$11,MATCH(F1429,Produtos!$A$2:$A$11,0))&amp;" "&amp;INDEX(Produtos!$C$2:$C$11,MATCH(F1429,Produtos!$A$2:$A$11,0))</f>
        <v>Controle de Videogame Xbox</v>
      </c>
      <c r="H1429" s="2" t="n">
        <v>1</v>
      </c>
      <c r="I1429" s="5" t="n">
        <f aca="false">INDEX(Produtos!$D$2:$D$11,MATCH(F1429,Produtos!$A$2:$A$11,0))</f>
        <v>349.9</v>
      </c>
      <c r="J1429" s="5" t="n">
        <f aca="false">H1429*I1429</f>
        <v>349.9</v>
      </c>
      <c r="K1429" s="5" t="n">
        <f aca="false">INDEX(Produtos!$E$2:$E$11,MATCH(F1429,Produtos!$A$2:$A$11,0))</f>
        <v>215</v>
      </c>
      <c r="L1429" s="5" t="n">
        <f aca="false">H1429*K1429</f>
        <v>215</v>
      </c>
    </row>
    <row r="1430" customFormat="false" ht="15" hidden="false" customHeight="false" outlineLevel="0" collapsed="false">
      <c r="A1430" s="2" t="s">
        <v>1712</v>
      </c>
      <c r="B1430" s="8" t="n">
        <v>46143</v>
      </c>
      <c r="C1430" s="2" t="s">
        <v>235</v>
      </c>
      <c r="D1430" s="3" t="str">
        <f aca="false">INDEX(Vendedores!$C$2:$C$101,MATCH(C1430,Vendedores!$A$2:$A$101,0))</f>
        <v>L10</v>
      </c>
      <c r="E1430" s="3" t="str">
        <f aca="false">INDEX(Lojas!$E$2:$E$11,MATCH(D1430,Lojas!$A$2:$A$11,0))</f>
        <v>Nordeste</v>
      </c>
      <c r="F1430" s="2" t="s">
        <v>255</v>
      </c>
      <c r="G1430" s="3" t="str">
        <f aca="false">INDEX(Produtos!$B$2:$B$11,MATCH(F1430,Produtos!$A$2:$A$11,0))&amp;" "&amp;INDEX(Produtos!$C$2:$C$11,MATCH(F1430,Produtos!$A$2:$A$11,0))</f>
        <v>Notebook Positivo</v>
      </c>
      <c r="H1430" s="2" t="n">
        <v>2</v>
      </c>
      <c r="I1430" s="5" t="n">
        <f aca="false">INDEX(Produtos!$D$2:$D$11,MATCH(F1430,Produtos!$A$2:$A$11,0))</f>
        <v>2199</v>
      </c>
      <c r="J1430" s="5" t="n">
        <f aca="false">H1430*I1430</f>
        <v>4398</v>
      </c>
      <c r="K1430" s="5" t="n">
        <f aca="false">INDEX(Produtos!$E$2:$E$11,MATCH(F1430,Produtos!$A$2:$A$11,0))</f>
        <v>1550</v>
      </c>
      <c r="L1430" s="5" t="n">
        <f aca="false">H1430*K1430</f>
        <v>3100</v>
      </c>
    </row>
    <row r="1431" customFormat="false" ht="15" hidden="false" customHeight="false" outlineLevel="0" collapsed="false">
      <c r="A1431" s="2" t="s">
        <v>1713</v>
      </c>
      <c r="B1431" s="8" t="n">
        <v>46143</v>
      </c>
      <c r="C1431" s="2" t="s">
        <v>135</v>
      </c>
      <c r="D1431" s="3" t="str">
        <f aca="false">INDEX(Vendedores!$C$2:$C$101,MATCH(C1431,Vendedores!$A$2:$A$101,0))</f>
        <v>L05</v>
      </c>
      <c r="E1431" s="3" t="str">
        <f aca="false">INDEX(Lojas!$E$2:$E$11,MATCH(D1431,Lojas!$A$2:$A$11,0))</f>
        <v>Sul</v>
      </c>
      <c r="F1431" s="2" t="s">
        <v>270</v>
      </c>
      <c r="G1431" s="3" t="str">
        <f aca="false">INDEX(Produtos!$B$2:$B$11,MATCH(F1431,Produtos!$A$2:$A$11,0))&amp;" "&amp;INDEX(Produtos!$C$2:$C$11,MATCH(F1431,Produtos!$A$2:$A$11,0))</f>
        <v>Controle de Videogame Xbox</v>
      </c>
      <c r="H1431" s="2" t="n">
        <v>1</v>
      </c>
      <c r="I1431" s="5" t="n">
        <f aca="false">INDEX(Produtos!$D$2:$D$11,MATCH(F1431,Produtos!$A$2:$A$11,0))</f>
        <v>349.9</v>
      </c>
      <c r="J1431" s="5" t="n">
        <f aca="false">H1431*I1431</f>
        <v>349.9</v>
      </c>
      <c r="K1431" s="5" t="n">
        <f aca="false">INDEX(Produtos!$E$2:$E$11,MATCH(F1431,Produtos!$A$2:$A$11,0))</f>
        <v>215</v>
      </c>
      <c r="L1431" s="5" t="n">
        <f aca="false">H1431*K1431</f>
        <v>215</v>
      </c>
    </row>
    <row r="1432" customFormat="false" ht="15" hidden="false" customHeight="false" outlineLevel="0" collapsed="false">
      <c r="A1432" s="2" t="s">
        <v>1714</v>
      </c>
      <c r="B1432" s="8" t="n">
        <v>46143</v>
      </c>
      <c r="C1432" s="2" t="s">
        <v>126</v>
      </c>
      <c r="D1432" s="3" t="str">
        <f aca="false">INDEX(Vendedores!$C$2:$C$101,MATCH(C1432,Vendedores!$A$2:$A$101,0))</f>
        <v>L04</v>
      </c>
      <c r="E1432" s="3" t="str">
        <f aca="false">INDEX(Lojas!$E$2:$E$11,MATCH(D1432,Lojas!$A$2:$A$11,0))</f>
        <v>Sudeste</v>
      </c>
      <c r="F1432" s="2" t="s">
        <v>265</v>
      </c>
      <c r="G1432" s="3" t="str">
        <f aca="false">INDEX(Produtos!$B$2:$B$11,MATCH(F1432,Produtos!$A$2:$A$11,0))&amp;" "&amp;INDEX(Produtos!$C$2:$C$11,MATCH(F1432,Produtos!$A$2:$A$11,0))</f>
        <v>Fone de Ouvido Headset</v>
      </c>
      <c r="H1432" s="2" t="n">
        <v>2</v>
      </c>
      <c r="I1432" s="5" t="n">
        <f aca="false">INDEX(Produtos!$D$2:$D$11,MATCH(F1432,Produtos!$A$2:$A$11,0))</f>
        <v>249.9</v>
      </c>
      <c r="J1432" s="5" t="n">
        <f aca="false">H1432*I1432</f>
        <v>499.8</v>
      </c>
      <c r="K1432" s="5" t="n">
        <f aca="false">INDEX(Produtos!$E$2:$E$11,MATCH(F1432,Produtos!$A$2:$A$11,0))</f>
        <v>145</v>
      </c>
      <c r="L1432" s="5" t="n">
        <f aca="false">H1432*K1432</f>
        <v>290</v>
      </c>
    </row>
    <row r="1433" customFormat="false" ht="15" hidden="false" customHeight="false" outlineLevel="0" collapsed="false">
      <c r="A1433" s="2" t="s">
        <v>1715</v>
      </c>
      <c r="B1433" s="8" t="n">
        <v>46143</v>
      </c>
      <c r="C1433" s="2" t="s">
        <v>158</v>
      </c>
      <c r="D1433" s="3" t="str">
        <f aca="false">INDEX(Vendedores!$C$2:$C$101,MATCH(C1433,Vendedores!$A$2:$A$101,0))</f>
        <v>L06</v>
      </c>
      <c r="E1433" s="3" t="str">
        <f aca="false">INDEX(Lojas!$E$2:$E$11,MATCH(D1433,Lojas!$A$2:$A$11,0))</f>
        <v>Sul</v>
      </c>
      <c r="F1433" s="2" t="s">
        <v>275</v>
      </c>
      <c r="G1433" s="3" t="str">
        <f aca="false">INDEX(Produtos!$B$2:$B$11,MATCH(F1433,Produtos!$A$2:$A$11,0))&amp;" "&amp;INDEX(Produtos!$C$2:$C$11,MATCH(F1433,Produtos!$A$2:$A$11,0))</f>
        <v>Controle de Videogame PS5</v>
      </c>
      <c r="H1433" s="2" t="n">
        <v>1</v>
      </c>
      <c r="I1433" s="5" t="n">
        <f aca="false">INDEX(Produtos!$D$2:$D$11,MATCH(F1433,Produtos!$A$2:$A$11,0))</f>
        <v>379.9</v>
      </c>
      <c r="J1433" s="5" t="n">
        <f aca="false">H1433*I1433</f>
        <v>379.9</v>
      </c>
      <c r="K1433" s="5" t="n">
        <f aca="false">INDEX(Produtos!$E$2:$E$11,MATCH(F1433,Produtos!$A$2:$A$11,0))</f>
        <v>235</v>
      </c>
      <c r="L1433" s="5" t="n">
        <f aca="false">H1433*K1433</f>
        <v>235</v>
      </c>
    </row>
    <row r="1434" customFormat="false" ht="15" hidden="false" customHeight="false" outlineLevel="0" collapsed="false">
      <c r="A1434" s="2" t="s">
        <v>1716</v>
      </c>
      <c r="B1434" s="8" t="n">
        <v>46143</v>
      </c>
      <c r="C1434" s="2" t="s">
        <v>129</v>
      </c>
      <c r="D1434" s="3" t="str">
        <f aca="false">INDEX(Vendedores!$C$2:$C$101,MATCH(C1434,Vendedores!$A$2:$A$101,0))</f>
        <v>L05</v>
      </c>
      <c r="E1434" s="3" t="str">
        <f aca="false">INDEX(Lojas!$E$2:$E$11,MATCH(D1434,Lojas!$A$2:$A$11,0))</f>
        <v>Sul</v>
      </c>
      <c r="F1434" s="2" t="s">
        <v>270</v>
      </c>
      <c r="G1434" s="3" t="str">
        <f aca="false">INDEX(Produtos!$B$2:$B$11,MATCH(F1434,Produtos!$A$2:$A$11,0))&amp;" "&amp;INDEX(Produtos!$C$2:$C$11,MATCH(F1434,Produtos!$A$2:$A$11,0))</f>
        <v>Controle de Videogame Xbox</v>
      </c>
      <c r="H1434" s="2" t="n">
        <v>2</v>
      </c>
      <c r="I1434" s="5" t="n">
        <f aca="false">INDEX(Produtos!$D$2:$D$11,MATCH(F1434,Produtos!$A$2:$A$11,0))</f>
        <v>349.9</v>
      </c>
      <c r="J1434" s="5" t="n">
        <f aca="false">H1434*I1434</f>
        <v>699.8</v>
      </c>
      <c r="K1434" s="5" t="n">
        <f aca="false">INDEX(Produtos!$E$2:$E$11,MATCH(F1434,Produtos!$A$2:$A$11,0))</f>
        <v>215</v>
      </c>
      <c r="L1434" s="5" t="n">
        <f aca="false">H1434*K1434</f>
        <v>430</v>
      </c>
    </row>
    <row r="1435" customFormat="false" ht="15" hidden="false" customHeight="false" outlineLevel="0" collapsed="false">
      <c r="A1435" s="2" t="s">
        <v>1717</v>
      </c>
      <c r="B1435" s="8" t="n">
        <v>46143</v>
      </c>
      <c r="C1435" s="2" t="s">
        <v>80</v>
      </c>
      <c r="D1435" s="3" t="str">
        <f aca="false">INDEX(Vendedores!$C$2:$C$101,MATCH(C1435,Vendedores!$A$2:$A$101,0))</f>
        <v>L02</v>
      </c>
      <c r="E1435" s="3" t="str">
        <f aca="false">INDEX(Lojas!$E$2:$E$11,MATCH(D1435,Lojas!$A$2:$A$11,0))</f>
        <v>Sudeste</v>
      </c>
      <c r="F1435" s="2" t="s">
        <v>273</v>
      </c>
      <c r="G1435" s="3" t="str">
        <f aca="false">INDEX(Produtos!$B$2:$B$11,MATCH(F1435,Produtos!$A$2:$A$11,0))&amp;" "&amp;INDEX(Produtos!$C$2:$C$11,MATCH(F1435,Produtos!$A$2:$A$11,0))</f>
        <v>Controle de Videogame PS4</v>
      </c>
      <c r="H1435" s="2" t="n">
        <v>2</v>
      </c>
      <c r="I1435" s="5" t="n">
        <f aca="false">INDEX(Produtos!$D$2:$D$11,MATCH(F1435,Produtos!$A$2:$A$11,0))</f>
        <v>299.9</v>
      </c>
      <c r="J1435" s="5" t="n">
        <f aca="false">H1435*I1435</f>
        <v>599.8</v>
      </c>
      <c r="K1435" s="5" t="n">
        <f aca="false">INDEX(Produtos!$E$2:$E$11,MATCH(F1435,Produtos!$A$2:$A$11,0))</f>
        <v>175</v>
      </c>
      <c r="L1435" s="5" t="n">
        <f aca="false">H1435*K1435</f>
        <v>350</v>
      </c>
    </row>
    <row r="1436" customFormat="false" ht="15" hidden="false" customHeight="false" outlineLevel="0" collapsed="false">
      <c r="A1436" s="2" t="s">
        <v>1718</v>
      </c>
      <c r="B1436" s="8" t="n">
        <v>46143</v>
      </c>
      <c r="C1436" s="2" t="s">
        <v>106</v>
      </c>
      <c r="D1436" s="3" t="str">
        <f aca="false">INDEX(Vendedores!$C$2:$C$101,MATCH(C1436,Vendedores!$A$2:$A$101,0))</f>
        <v>L03</v>
      </c>
      <c r="E1436" s="3" t="str">
        <f aca="false">INDEX(Lojas!$E$2:$E$11,MATCH(D1436,Lojas!$A$2:$A$11,0))</f>
        <v>Sudeste</v>
      </c>
      <c r="F1436" s="2" t="s">
        <v>267</v>
      </c>
      <c r="G1436" s="3" t="str">
        <f aca="false">INDEX(Produtos!$B$2:$B$11,MATCH(F1436,Produtos!$A$2:$A$11,0))&amp;" "&amp;INDEX(Produtos!$C$2:$C$11,MATCH(F1436,Produtos!$A$2:$A$11,0))</f>
        <v>Carregador de Celular Tipo C</v>
      </c>
      <c r="H1436" s="2" t="n">
        <v>1</v>
      </c>
      <c r="I1436" s="5" t="n">
        <f aca="false">INDEX(Produtos!$D$2:$D$11,MATCH(F1436,Produtos!$A$2:$A$11,0))</f>
        <v>44.9</v>
      </c>
      <c r="J1436" s="5" t="n">
        <f aca="false">H1436*I1436</f>
        <v>44.9</v>
      </c>
      <c r="K1436" s="5" t="n">
        <f aca="false">INDEX(Produtos!$E$2:$E$11,MATCH(F1436,Produtos!$A$2:$A$11,0))</f>
        <v>18</v>
      </c>
      <c r="L1436" s="5" t="n">
        <f aca="false">H1436*K1436</f>
        <v>18</v>
      </c>
    </row>
    <row r="1437" customFormat="false" ht="15" hidden="false" customHeight="false" outlineLevel="0" collapsed="false">
      <c r="A1437" s="2" t="s">
        <v>1719</v>
      </c>
      <c r="B1437" s="8" t="n">
        <v>46144</v>
      </c>
      <c r="C1437" s="2" t="s">
        <v>176</v>
      </c>
      <c r="D1437" s="3" t="str">
        <f aca="false">INDEX(Vendedores!$C$2:$C$101,MATCH(C1437,Vendedores!$A$2:$A$101,0))</f>
        <v>L07</v>
      </c>
      <c r="E1437" s="3" t="str">
        <f aca="false">INDEX(Lojas!$E$2:$E$11,MATCH(D1437,Lojas!$A$2:$A$11,0))</f>
        <v>Sul</v>
      </c>
      <c r="F1437" s="2" t="s">
        <v>275</v>
      </c>
      <c r="G1437" s="3" t="str">
        <f aca="false">INDEX(Produtos!$B$2:$B$11,MATCH(F1437,Produtos!$A$2:$A$11,0))&amp;" "&amp;INDEX(Produtos!$C$2:$C$11,MATCH(F1437,Produtos!$A$2:$A$11,0))</f>
        <v>Controle de Videogame PS5</v>
      </c>
      <c r="H1437" s="2" t="n">
        <v>1</v>
      </c>
      <c r="I1437" s="5" t="n">
        <f aca="false">INDEX(Produtos!$D$2:$D$11,MATCH(F1437,Produtos!$A$2:$A$11,0))</f>
        <v>379.9</v>
      </c>
      <c r="J1437" s="5" t="n">
        <f aca="false">H1437*I1437</f>
        <v>379.9</v>
      </c>
      <c r="K1437" s="5" t="n">
        <f aca="false">INDEX(Produtos!$E$2:$E$11,MATCH(F1437,Produtos!$A$2:$A$11,0))</f>
        <v>235</v>
      </c>
      <c r="L1437" s="5" t="n">
        <f aca="false">H1437*K1437</f>
        <v>235</v>
      </c>
    </row>
    <row r="1438" customFormat="false" ht="15" hidden="false" customHeight="false" outlineLevel="0" collapsed="false">
      <c r="A1438" s="2" t="s">
        <v>1720</v>
      </c>
      <c r="B1438" s="8" t="n">
        <v>46144</v>
      </c>
      <c r="C1438" s="2" t="s">
        <v>183</v>
      </c>
      <c r="D1438" s="3" t="str">
        <f aca="false">INDEX(Vendedores!$C$2:$C$101,MATCH(C1438,Vendedores!$A$2:$A$101,0))</f>
        <v>L07</v>
      </c>
      <c r="E1438" s="3" t="str">
        <f aca="false">INDEX(Lojas!$E$2:$E$11,MATCH(D1438,Lojas!$A$2:$A$11,0))</f>
        <v>Sul</v>
      </c>
      <c r="F1438" s="2" t="s">
        <v>262</v>
      </c>
      <c r="G1438" s="3" t="str">
        <f aca="false">INDEX(Produtos!$B$2:$B$11,MATCH(F1438,Produtos!$A$2:$A$11,0))&amp;" "&amp;INDEX(Produtos!$C$2:$C$11,MATCH(F1438,Produtos!$A$2:$A$11,0))</f>
        <v>Fone de Ouvido De Celular</v>
      </c>
      <c r="H1438" s="2" t="n">
        <v>1</v>
      </c>
      <c r="I1438" s="5" t="n">
        <f aca="false">INDEX(Produtos!$D$2:$D$11,MATCH(F1438,Produtos!$A$2:$A$11,0))</f>
        <v>59.9</v>
      </c>
      <c r="J1438" s="5" t="n">
        <f aca="false">H1438*I1438</f>
        <v>59.9</v>
      </c>
      <c r="K1438" s="5" t="n">
        <f aca="false">INDEX(Produtos!$E$2:$E$11,MATCH(F1438,Produtos!$A$2:$A$11,0))</f>
        <v>28</v>
      </c>
      <c r="L1438" s="5" t="n">
        <f aca="false">H1438*K1438</f>
        <v>28</v>
      </c>
    </row>
    <row r="1439" customFormat="false" ht="15" hidden="false" customHeight="false" outlineLevel="0" collapsed="false">
      <c r="A1439" s="2" t="s">
        <v>1721</v>
      </c>
      <c r="B1439" s="8" t="n">
        <v>46144</v>
      </c>
      <c r="C1439" s="2" t="s">
        <v>152</v>
      </c>
      <c r="D1439" s="3" t="str">
        <f aca="false">INDEX(Vendedores!$C$2:$C$101,MATCH(C1439,Vendedores!$A$2:$A$101,0))</f>
        <v>L06</v>
      </c>
      <c r="E1439" s="3" t="str">
        <f aca="false">INDEX(Lojas!$E$2:$E$11,MATCH(D1439,Lojas!$A$2:$A$11,0))</f>
        <v>Sul</v>
      </c>
      <c r="F1439" s="2" t="s">
        <v>270</v>
      </c>
      <c r="G1439" s="3" t="str">
        <f aca="false">INDEX(Produtos!$B$2:$B$11,MATCH(F1439,Produtos!$A$2:$A$11,0))&amp;" "&amp;INDEX(Produtos!$C$2:$C$11,MATCH(F1439,Produtos!$A$2:$A$11,0))</f>
        <v>Controle de Videogame Xbox</v>
      </c>
      <c r="H1439" s="2" t="n">
        <v>1</v>
      </c>
      <c r="I1439" s="5" t="n">
        <f aca="false">INDEX(Produtos!$D$2:$D$11,MATCH(F1439,Produtos!$A$2:$A$11,0))</f>
        <v>349.9</v>
      </c>
      <c r="J1439" s="5" t="n">
        <f aca="false">H1439*I1439</f>
        <v>349.9</v>
      </c>
      <c r="K1439" s="5" t="n">
        <f aca="false">INDEX(Produtos!$E$2:$E$11,MATCH(F1439,Produtos!$A$2:$A$11,0))</f>
        <v>215</v>
      </c>
      <c r="L1439" s="5" t="n">
        <f aca="false">H1439*K1439</f>
        <v>215</v>
      </c>
    </row>
    <row r="1440" customFormat="false" ht="15" hidden="false" customHeight="false" outlineLevel="0" collapsed="false">
      <c r="A1440" s="2" t="s">
        <v>1722</v>
      </c>
      <c r="B1440" s="8" t="n">
        <v>46144</v>
      </c>
      <c r="C1440" s="2" t="s">
        <v>110</v>
      </c>
      <c r="D1440" s="3" t="str">
        <f aca="false">INDEX(Vendedores!$C$2:$C$101,MATCH(C1440,Vendedores!$A$2:$A$101,0))</f>
        <v>L04</v>
      </c>
      <c r="E1440" s="3" t="str">
        <f aca="false">INDEX(Lojas!$E$2:$E$11,MATCH(D1440,Lojas!$A$2:$A$11,0))</f>
        <v>Sudeste</v>
      </c>
      <c r="F1440" s="2" t="s">
        <v>273</v>
      </c>
      <c r="G1440" s="3" t="str">
        <f aca="false">INDEX(Produtos!$B$2:$B$11,MATCH(F1440,Produtos!$A$2:$A$11,0))&amp;" "&amp;INDEX(Produtos!$C$2:$C$11,MATCH(F1440,Produtos!$A$2:$A$11,0))</f>
        <v>Controle de Videogame PS4</v>
      </c>
      <c r="H1440" s="2" t="n">
        <v>1</v>
      </c>
      <c r="I1440" s="5" t="n">
        <f aca="false">INDEX(Produtos!$D$2:$D$11,MATCH(F1440,Produtos!$A$2:$A$11,0))</f>
        <v>299.9</v>
      </c>
      <c r="J1440" s="5" t="n">
        <f aca="false">H1440*I1440</f>
        <v>299.9</v>
      </c>
      <c r="K1440" s="5" t="n">
        <f aca="false">INDEX(Produtos!$E$2:$E$11,MATCH(F1440,Produtos!$A$2:$A$11,0))</f>
        <v>175</v>
      </c>
      <c r="L1440" s="5" t="n">
        <f aca="false">H1440*K1440</f>
        <v>175</v>
      </c>
    </row>
    <row r="1441" customFormat="false" ht="15" hidden="false" customHeight="false" outlineLevel="0" collapsed="false">
      <c r="A1441" s="2" t="s">
        <v>1723</v>
      </c>
      <c r="B1441" s="8" t="n">
        <v>46144</v>
      </c>
      <c r="C1441" s="2" t="s">
        <v>82</v>
      </c>
      <c r="D1441" s="3" t="str">
        <f aca="false">INDEX(Vendedores!$C$2:$C$101,MATCH(C1441,Vendedores!$A$2:$A$101,0))</f>
        <v>L02</v>
      </c>
      <c r="E1441" s="3" t="str">
        <f aca="false">INDEX(Lojas!$E$2:$E$11,MATCH(D1441,Lojas!$A$2:$A$11,0))</f>
        <v>Sudeste</v>
      </c>
      <c r="F1441" s="2" t="s">
        <v>262</v>
      </c>
      <c r="G1441" s="3" t="str">
        <f aca="false">INDEX(Produtos!$B$2:$B$11,MATCH(F1441,Produtos!$A$2:$A$11,0))&amp;" "&amp;INDEX(Produtos!$C$2:$C$11,MATCH(F1441,Produtos!$A$2:$A$11,0))</f>
        <v>Fone de Ouvido De Celular</v>
      </c>
      <c r="H1441" s="2" t="n">
        <v>1</v>
      </c>
      <c r="I1441" s="5" t="n">
        <f aca="false">INDEX(Produtos!$D$2:$D$11,MATCH(F1441,Produtos!$A$2:$A$11,0))</f>
        <v>59.9</v>
      </c>
      <c r="J1441" s="5" t="n">
        <f aca="false">H1441*I1441</f>
        <v>59.9</v>
      </c>
      <c r="K1441" s="5" t="n">
        <f aca="false">INDEX(Produtos!$E$2:$E$11,MATCH(F1441,Produtos!$A$2:$A$11,0))</f>
        <v>28</v>
      </c>
      <c r="L1441" s="5" t="n">
        <f aca="false">H1441*K1441</f>
        <v>28</v>
      </c>
    </row>
    <row r="1442" customFormat="false" ht="15" hidden="false" customHeight="false" outlineLevel="0" collapsed="false">
      <c r="A1442" s="2" t="s">
        <v>1724</v>
      </c>
      <c r="B1442" s="8" t="n">
        <v>46144</v>
      </c>
      <c r="C1442" s="2" t="s">
        <v>235</v>
      </c>
      <c r="D1442" s="3" t="str">
        <f aca="false">INDEX(Vendedores!$C$2:$C$101,MATCH(C1442,Vendedores!$A$2:$A$101,0))</f>
        <v>L10</v>
      </c>
      <c r="E1442" s="3" t="str">
        <f aca="false">INDEX(Lojas!$E$2:$E$11,MATCH(D1442,Lojas!$A$2:$A$11,0))</f>
        <v>Nordeste</v>
      </c>
      <c r="F1442" s="2" t="s">
        <v>273</v>
      </c>
      <c r="G1442" s="3" t="str">
        <f aca="false">INDEX(Produtos!$B$2:$B$11,MATCH(F1442,Produtos!$A$2:$A$11,0))&amp;" "&amp;INDEX(Produtos!$C$2:$C$11,MATCH(F1442,Produtos!$A$2:$A$11,0))</f>
        <v>Controle de Videogame PS4</v>
      </c>
      <c r="H1442" s="2" t="n">
        <v>2</v>
      </c>
      <c r="I1442" s="5" t="n">
        <f aca="false">INDEX(Produtos!$D$2:$D$11,MATCH(F1442,Produtos!$A$2:$A$11,0))</f>
        <v>299.9</v>
      </c>
      <c r="J1442" s="5" t="n">
        <f aca="false">H1442*I1442</f>
        <v>599.8</v>
      </c>
      <c r="K1442" s="5" t="n">
        <f aca="false">INDEX(Produtos!$E$2:$E$11,MATCH(F1442,Produtos!$A$2:$A$11,0))</f>
        <v>175</v>
      </c>
      <c r="L1442" s="5" t="n">
        <f aca="false">H1442*K1442</f>
        <v>350</v>
      </c>
    </row>
    <row r="1443" customFormat="false" ht="15" hidden="false" customHeight="false" outlineLevel="0" collapsed="false">
      <c r="A1443" s="2" t="s">
        <v>1725</v>
      </c>
      <c r="B1443" s="8" t="n">
        <v>46144</v>
      </c>
      <c r="C1443" s="2" t="s">
        <v>223</v>
      </c>
      <c r="D1443" s="3" t="str">
        <f aca="false">INDEX(Vendedores!$C$2:$C$101,MATCH(C1443,Vendedores!$A$2:$A$101,0))</f>
        <v>L09</v>
      </c>
      <c r="E1443" s="3" t="str">
        <f aca="false">INDEX(Lojas!$E$2:$E$11,MATCH(D1443,Lojas!$A$2:$A$11,0))</f>
        <v>Nordeste</v>
      </c>
      <c r="F1443" s="2" t="s">
        <v>275</v>
      </c>
      <c r="G1443" s="3" t="str">
        <f aca="false">INDEX(Produtos!$B$2:$B$11,MATCH(F1443,Produtos!$A$2:$A$11,0))&amp;" "&amp;INDEX(Produtos!$C$2:$C$11,MATCH(F1443,Produtos!$A$2:$A$11,0))</f>
        <v>Controle de Videogame PS5</v>
      </c>
      <c r="H1443" s="2" t="n">
        <v>1</v>
      </c>
      <c r="I1443" s="5" t="n">
        <f aca="false">INDEX(Produtos!$D$2:$D$11,MATCH(F1443,Produtos!$A$2:$A$11,0))</f>
        <v>379.9</v>
      </c>
      <c r="J1443" s="5" t="n">
        <f aca="false">H1443*I1443</f>
        <v>379.9</v>
      </c>
      <c r="K1443" s="5" t="n">
        <f aca="false">INDEX(Produtos!$E$2:$E$11,MATCH(F1443,Produtos!$A$2:$A$11,0))</f>
        <v>235</v>
      </c>
      <c r="L1443" s="5" t="n">
        <f aca="false">H1443*K1443</f>
        <v>235</v>
      </c>
    </row>
    <row r="1444" customFormat="false" ht="15" hidden="false" customHeight="false" outlineLevel="0" collapsed="false">
      <c r="A1444" s="2" t="s">
        <v>1726</v>
      </c>
      <c r="B1444" s="8" t="n">
        <v>46144</v>
      </c>
      <c r="C1444" s="2" t="s">
        <v>239</v>
      </c>
      <c r="D1444" s="3" t="str">
        <f aca="false">INDEX(Vendedores!$C$2:$C$101,MATCH(C1444,Vendedores!$A$2:$A$101,0))</f>
        <v>L10</v>
      </c>
      <c r="E1444" s="3" t="str">
        <f aca="false">INDEX(Lojas!$E$2:$E$11,MATCH(D1444,Lojas!$A$2:$A$11,0))</f>
        <v>Nordeste</v>
      </c>
      <c r="F1444" s="2" t="s">
        <v>273</v>
      </c>
      <c r="G1444" s="3" t="str">
        <f aca="false">INDEX(Produtos!$B$2:$B$11,MATCH(F1444,Produtos!$A$2:$A$11,0))&amp;" "&amp;INDEX(Produtos!$C$2:$C$11,MATCH(F1444,Produtos!$A$2:$A$11,0))</f>
        <v>Controle de Videogame PS4</v>
      </c>
      <c r="H1444" s="2" t="n">
        <v>1</v>
      </c>
      <c r="I1444" s="5" t="n">
        <f aca="false">INDEX(Produtos!$D$2:$D$11,MATCH(F1444,Produtos!$A$2:$A$11,0))</f>
        <v>299.9</v>
      </c>
      <c r="J1444" s="5" t="n">
        <f aca="false">H1444*I1444</f>
        <v>299.9</v>
      </c>
      <c r="K1444" s="5" t="n">
        <f aca="false">INDEX(Produtos!$E$2:$E$11,MATCH(F1444,Produtos!$A$2:$A$11,0))</f>
        <v>175</v>
      </c>
      <c r="L1444" s="5" t="n">
        <f aca="false">H1444*K1444</f>
        <v>175</v>
      </c>
    </row>
    <row r="1445" customFormat="false" ht="15" hidden="false" customHeight="false" outlineLevel="0" collapsed="false">
      <c r="A1445" s="2" t="s">
        <v>1727</v>
      </c>
      <c r="B1445" s="8" t="n">
        <v>46144</v>
      </c>
      <c r="C1445" s="2" t="s">
        <v>205</v>
      </c>
      <c r="D1445" s="3" t="str">
        <f aca="false">INDEX(Vendedores!$C$2:$C$101,MATCH(C1445,Vendedores!$A$2:$A$101,0))</f>
        <v>L09</v>
      </c>
      <c r="E1445" s="3" t="str">
        <f aca="false">INDEX(Lojas!$E$2:$E$11,MATCH(D1445,Lojas!$A$2:$A$11,0))</f>
        <v>Nordeste</v>
      </c>
      <c r="F1445" s="2" t="s">
        <v>255</v>
      </c>
      <c r="G1445" s="3" t="str">
        <f aca="false">INDEX(Produtos!$B$2:$B$11,MATCH(F1445,Produtos!$A$2:$A$11,0))&amp;" "&amp;INDEX(Produtos!$C$2:$C$11,MATCH(F1445,Produtos!$A$2:$A$11,0))</f>
        <v>Notebook Positivo</v>
      </c>
      <c r="H1445" s="2" t="n">
        <v>1</v>
      </c>
      <c r="I1445" s="5" t="n">
        <f aca="false">INDEX(Produtos!$D$2:$D$11,MATCH(F1445,Produtos!$A$2:$A$11,0))</f>
        <v>2199</v>
      </c>
      <c r="J1445" s="5" t="n">
        <f aca="false">H1445*I1445</f>
        <v>2199</v>
      </c>
      <c r="K1445" s="5" t="n">
        <f aca="false">INDEX(Produtos!$E$2:$E$11,MATCH(F1445,Produtos!$A$2:$A$11,0))</f>
        <v>1550</v>
      </c>
      <c r="L1445" s="5" t="n">
        <f aca="false">H1445*K1445</f>
        <v>1550</v>
      </c>
    </row>
    <row r="1446" customFormat="false" ht="15" hidden="false" customHeight="false" outlineLevel="0" collapsed="false">
      <c r="A1446" s="2" t="s">
        <v>1728</v>
      </c>
      <c r="B1446" s="8" t="n">
        <v>46144</v>
      </c>
      <c r="C1446" s="2" t="s">
        <v>66</v>
      </c>
      <c r="D1446" s="3" t="str">
        <f aca="false">INDEX(Vendedores!$C$2:$C$101,MATCH(C1446,Vendedores!$A$2:$A$101,0))</f>
        <v>L01</v>
      </c>
      <c r="E1446" s="3" t="str">
        <f aca="false">INDEX(Lojas!$E$2:$E$11,MATCH(D1446,Lojas!$A$2:$A$11,0))</f>
        <v>Sudeste</v>
      </c>
      <c r="F1446" s="2" t="s">
        <v>275</v>
      </c>
      <c r="G1446" s="3" t="str">
        <f aca="false">INDEX(Produtos!$B$2:$B$11,MATCH(F1446,Produtos!$A$2:$A$11,0))&amp;" "&amp;INDEX(Produtos!$C$2:$C$11,MATCH(F1446,Produtos!$A$2:$A$11,0))</f>
        <v>Controle de Videogame PS5</v>
      </c>
      <c r="H1446" s="2" t="n">
        <v>1</v>
      </c>
      <c r="I1446" s="5" t="n">
        <f aca="false">INDEX(Produtos!$D$2:$D$11,MATCH(F1446,Produtos!$A$2:$A$11,0))</f>
        <v>379.9</v>
      </c>
      <c r="J1446" s="5" t="n">
        <f aca="false">H1446*I1446</f>
        <v>379.9</v>
      </c>
      <c r="K1446" s="5" t="n">
        <f aca="false">INDEX(Produtos!$E$2:$E$11,MATCH(F1446,Produtos!$A$2:$A$11,0))</f>
        <v>235</v>
      </c>
      <c r="L1446" s="5" t="n">
        <f aca="false">H1446*K1446</f>
        <v>235</v>
      </c>
    </row>
    <row r="1447" customFormat="false" ht="15" hidden="false" customHeight="false" outlineLevel="0" collapsed="false">
      <c r="A1447" s="2" t="s">
        <v>1729</v>
      </c>
      <c r="B1447" s="8" t="n">
        <v>46144</v>
      </c>
      <c r="C1447" s="2" t="s">
        <v>70</v>
      </c>
      <c r="D1447" s="3" t="str">
        <f aca="false">INDEX(Vendedores!$C$2:$C$101,MATCH(C1447,Vendedores!$A$2:$A$101,0))</f>
        <v>L02</v>
      </c>
      <c r="E1447" s="3" t="str">
        <f aca="false">INDEX(Lojas!$E$2:$E$11,MATCH(D1447,Lojas!$A$2:$A$11,0))</f>
        <v>Sudeste</v>
      </c>
      <c r="F1447" s="2" t="s">
        <v>252</v>
      </c>
      <c r="G1447" s="3" t="str">
        <f aca="false">INDEX(Produtos!$B$2:$B$11,MATCH(F1447,Produtos!$A$2:$A$11,0))&amp;" "&amp;INDEX(Produtos!$C$2:$C$11,MATCH(F1447,Produtos!$A$2:$A$11,0))</f>
        <v>Notebook Lenovo</v>
      </c>
      <c r="H1447" s="2" t="n">
        <v>1</v>
      </c>
      <c r="I1447" s="5" t="n">
        <f aca="false">INDEX(Produtos!$D$2:$D$11,MATCH(F1447,Produtos!$A$2:$A$11,0))</f>
        <v>3199</v>
      </c>
      <c r="J1447" s="5" t="n">
        <f aca="false">H1447*I1447</f>
        <v>3199</v>
      </c>
      <c r="K1447" s="5" t="n">
        <f aca="false">INDEX(Produtos!$E$2:$E$11,MATCH(F1447,Produtos!$A$2:$A$11,0))</f>
        <v>2350</v>
      </c>
      <c r="L1447" s="5" t="n">
        <f aca="false">H1447*K1447</f>
        <v>2350</v>
      </c>
    </row>
    <row r="1448" customFormat="false" ht="15" hidden="false" customHeight="false" outlineLevel="0" collapsed="false">
      <c r="A1448" s="2" t="s">
        <v>1730</v>
      </c>
      <c r="B1448" s="8" t="n">
        <v>46144</v>
      </c>
      <c r="C1448" s="2" t="s">
        <v>211</v>
      </c>
      <c r="D1448" s="3" t="str">
        <f aca="false">INDEX(Vendedores!$C$2:$C$101,MATCH(C1448,Vendedores!$A$2:$A$101,0))</f>
        <v>L09</v>
      </c>
      <c r="E1448" s="3" t="str">
        <f aca="false">INDEX(Lojas!$E$2:$E$11,MATCH(D1448,Lojas!$A$2:$A$11,0))</f>
        <v>Nordeste</v>
      </c>
      <c r="F1448" s="2" t="s">
        <v>275</v>
      </c>
      <c r="G1448" s="3" t="str">
        <f aca="false">INDEX(Produtos!$B$2:$B$11,MATCH(F1448,Produtos!$A$2:$A$11,0))&amp;" "&amp;INDEX(Produtos!$C$2:$C$11,MATCH(F1448,Produtos!$A$2:$A$11,0))</f>
        <v>Controle de Videogame PS5</v>
      </c>
      <c r="H1448" s="2" t="n">
        <v>1</v>
      </c>
      <c r="I1448" s="5" t="n">
        <f aca="false">INDEX(Produtos!$D$2:$D$11,MATCH(F1448,Produtos!$A$2:$A$11,0))</f>
        <v>379.9</v>
      </c>
      <c r="J1448" s="5" t="n">
        <f aca="false">H1448*I1448</f>
        <v>379.9</v>
      </c>
      <c r="K1448" s="5" t="n">
        <f aca="false">INDEX(Produtos!$E$2:$E$11,MATCH(F1448,Produtos!$A$2:$A$11,0))</f>
        <v>235</v>
      </c>
      <c r="L1448" s="5" t="n">
        <f aca="false">H1448*K1448</f>
        <v>235</v>
      </c>
    </row>
    <row r="1449" customFormat="false" ht="15" hidden="false" customHeight="false" outlineLevel="0" collapsed="false">
      <c r="A1449" s="2" t="s">
        <v>1731</v>
      </c>
      <c r="B1449" s="8" t="n">
        <v>46144</v>
      </c>
      <c r="C1449" s="2" t="s">
        <v>178</v>
      </c>
      <c r="D1449" s="3" t="str">
        <f aca="false">INDEX(Vendedores!$C$2:$C$101,MATCH(C1449,Vendedores!$A$2:$A$101,0))</f>
        <v>L07</v>
      </c>
      <c r="E1449" s="3" t="str">
        <f aca="false">INDEX(Lojas!$E$2:$E$11,MATCH(D1449,Lojas!$A$2:$A$11,0))</f>
        <v>Sul</v>
      </c>
      <c r="F1449" s="2" t="s">
        <v>257</v>
      </c>
      <c r="G1449" s="3" t="str">
        <f aca="false">INDEX(Produtos!$B$2:$B$11,MATCH(F1449,Produtos!$A$2:$A$11,0))&amp;" "&amp;INDEX(Produtos!$C$2:$C$11,MATCH(F1449,Produtos!$A$2:$A$11,0))</f>
        <v>Celular Samsung</v>
      </c>
      <c r="H1449" s="2" t="n">
        <v>1</v>
      </c>
      <c r="I1449" s="5" t="n">
        <f aca="false">INDEX(Produtos!$D$2:$D$11,MATCH(F1449,Produtos!$A$2:$A$11,0))</f>
        <v>2499</v>
      </c>
      <c r="J1449" s="5" t="n">
        <f aca="false">H1449*I1449</f>
        <v>2499</v>
      </c>
      <c r="K1449" s="5" t="n">
        <f aca="false">INDEX(Produtos!$E$2:$E$11,MATCH(F1449,Produtos!$A$2:$A$11,0))</f>
        <v>1800</v>
      </c>
      <c r="L1449" s="5" t="n">
        <f aca="false">H1449*K1449</f>
        <v>1800</v>
      </c>
    </row>
    <row r="1450" customFormat="false" ht="15" hidden="false" customHeight="false" outlineLevel="0" collapsed="false">
      <c r="A1450" s="2" t="s">
        <v>1732</v>
      </c>
      <c r="B1450" s="8" t="n">
        <v>46145</v>
      </c>
      <c r="C1450" s="2" t="s">
        <v>154</v>
      </c>
      <c r="D1450" s="3" t="str">
        <f aca="false">INDEX(Vendedores!$C$2:$C$101,MATCH(C1450,Vendedores!$A$2:$A$101,0))</f>
        <v>L06</v>
      </c>
      <c r="E1450" s="3" t="str">
        <f aca="false">INDEX(Lojas!$E$2:$E$11,MATCH(D1450,Lojas!$A$2:$A$11,0))</f>
        <v>Sul</v>
      </c>
      <c r="F1450" s="2" t="s">
        <v>262</v>
      </c>
      <c r="G1450" s="3" t="str">
        <f aca="false">INDEX(Produtos!$B$2:$B$11,MATCH(F1450,Produtos!$A$2:$A$11,0))&amp;" "&amp;INDEX(Produtos!$C$2:$C$11,MATCH(F1450,Produtos!$A$2:$A$11,0))</f>
        <v>Fone de Ouvido De Celular</v>
      </c>
      <c r="H1450" s="2" t="n">
        <v>1</v>
      </c>
      <c r="I1450" s="5" t="n">
        <f aca="false">INDEX(Produtos!$D$2:$D$11,MATCH(F1450,Produtos!$A$2:$A$11,0))</f>
        <v>59.9</v>
      </c>
      <c r="J1450" s="5" t="n">
        <f aca="false">H1450*I1450</f>
        <v>59.9</v>
      </c>
      <c r="K1450" s="5" t="n">
        <f aca="false">INDEX(Produtos!$E$2:$E$11,MATCH(F1450,Produtos!$A$2:$A$11,0))</f>
        <v>28</v>
      </c>
      <c r="L1450" s="5" t="n">
        <f aca="false">H1450*K1450</f>
        <v>28</v>
      </c>
    </row>
    <row r="1451" customFormat="false" ht="15" hidden="false" customHeight="false" outlineLevel="0" collapsed="false">
      <c r="A1451" s="2" t="s">
        <v>1733</v>
      </c>
      <c r="B1451" s="8" t="n">
        <v>46145</v>
      </c>
      <c r="C1451" s="2" t="s">
        <v>166</v>
      </c>
      <c r="D1451" s="3" t="str">
        <f aca="false">INDEX(Vendedores!$C$2:$C$101,MATCH(C1451,Vendedores!$A$2:$A$101,0))</f>
        <v>L06</v>
      </c>
      <c r="E1451" s="3" t="str">
        <f aca="false">INDEX(Lojas!$E$2:$E$11,MATCH(D1451,Lojas!$A$2:$A$11,0))</f>
        <v>Sul</v>
      </c>
      <c r="F1451" s="2" t="s">
        <v>262</v>
      </c>
      <c r="G1451" s="3" t="str">
        <f aca="false">INDEX(Produtos!$B$2:$B$11,MATCH(F1451,Produtos!$A$2:$A$11,0))&amp;" "&amp;INDEX(Produtos!$C$2:$C$11,MATCH(F1451,Produtos!$A$2:$A$11,0))</f>
        <v>Fone de Ouvido De Celular</v>
      </c>
      <c r="H1451" s="2" t="n">
        <v>1</v>
      </c>
      <c r="I1451" s="5" t="n">
        <f aca="false">INDEX(Produtos!$D$2:$D$11,MATCH(F1451,Produtos!$A$2:$A$11,0))</f>
        <v>59.9</v>
      </c>
      <c r="J1451" s="5" t="n">
        <f aca="false">H1451*I1451</f>
        <v>59.9</v>
      </c>
      <c r="K1451" s="5" t="n">
        <f aca="false">INDEX(Produtos!$E$2:$E$11,MATCH(F1451,Produtos!$A$2:$A$11,0))</f>
        <v>28</v>
      </c>
      <c r="L1451" s="5" t="n">
        <f aca="false">H1451*K1451</f>
        <v>28</v>
      </c>
    </row>
    <row r="1452" customFormat="false" ht="15" hidden="false" customHeight="false" outlineLevel="0" collapsed="false">
      <c r="A1452" s="2" t="s">
        <v>1734</v>
      </c>
      <c r="B1452" s="8" t="n">
        <v>46145</v>
      </c>
      <c r="C1452" s="2" t="s">
        <v>174</v>
      </c>
      <c r="D1452" s="3" t="str">
        <f aca="false">INDEX(Vendedores!$C$2:$C$101,MATCH(C1452,Vendedores!$A$2:$A$101,0))</f>
        <v>L07</v>
      </c>
      <c r="E1452" s="3" t="str">
        <f aca="false">INDEX(Lojas!$E$2:$E$11,MATCH(D1452,Lojas!$A$2:$A$11,0))</f>
        <v>Sul</v>
      </c>
      <c r="F1452" s="2" t="s">
        <v>257</v>
      </c>
      <c r="G1452" s="3" t="str">
        <f aca="false">INDEX(Produtos!$B$2:$B$11,MATCH(F1452,Produtos!$A$2:$A$11,0))&amp;" "&amp;INDEX(Produtos!$C$2:$C$11,MATCH(F1452,Produtos!$A$2:$A$11,0))</f>
        <v>Celular Samsung</v>
      </c>
      <c r="H1452" s="2" t="n">
        <v>1</v>
      </c>
      <c r="I1452" s="5" t="n">
        <f aca="false">INDEX(Produtos!$D$2:$D$11,MATCH(F1452,Produtos!$A$2:$A$11,0))</f>
        <v>2499</v>
      </c>
      <c r="J1452" s="5" t="n">
        <f aca="false">H1452*I1452</f>
        <v>2499</v>
      </c>
      <c r="K1452" s="5" t="n">
        <f aca="false">INDEX(Produtos!$E$2:$E$11,MATCH(F1452,Produtos!$A$2:$A$11,0))</f>
        <v>1800</v>
      </c>
      <c r="L1452" s="5" t="n">
        <f aca="false">H1452*K1452</f>
        <v>1800</v>
      </c>
    </row>
    <row r="1453" customFormat="false" ht="15" hidden="false" customHeight="false" outlineLevel="0" collapsed="false">
      <c r="A1453" s="2" t="s">
        <v>1735</v>
      </c>
      <c r="B1453" s="8" t="n">
        <v>46145</v>
      </c>
      <c r="C1453" s="2" t="s">
        <v>215</v>
      </c>
      <c r="D1453" s="3" t="str">
        <f aca="false">INDEX(Vendedores!$C$2:$C$101,MATCH(C1453,Vendedores!$A$2:$A$101,0))</f>
        <v>L09</v>
      </c>
      <c r="E1453" s="3" t="str">
        <f aca="false">INDEX(Lojas!$E$2:$E$11,MATCH(D1453,Lojas!$A$2:$A$11,0))</f>
        <v>Nordeste</v>
      </c>
      <c r="F1453" s="2" t="s">
        <v>257</v>
      </c>
      <c r="G1453" s="3" t="str">
        <f aca="false">INDEX(Produtos!$B$2:$B$11,MATCH(F1453,Produtos!$A$2:$A$11,0))&amp;" "&amp;INDEX(Produtos!$C$2:$C$11,MATCH(F1453,Produtos!$A$2:$A$11,0))</f>
        <v>Celular Samsung</v>
      </c>
      <c r="H1453" s="2" t="n">
        <v>1</v>
      </c>
      <c r="I1453" s="5" t="n">
        <f aca="false">INDEX(Produtos!$D$2:$D$11,MATCH(F1453,Produtos!$A$2:$A$11,0))</f>
        <v>2499</v>
      </c>
      <c r="J1453" s="5" t="n">
        <f aca="false">H1453*I1453</f>
        <v>2499</v>
      </c>
      <c r="K1453" s="5" t="n">
        <f aca="false">INDEX(Produtos!$E$2:$E$11,MATCH(F1453,Produtos!$A$2:$A$11,0))</f>
        <v>1800</v>
      </c>
      <c r="L1453" s="5" t="n">
        <f aca="false">H1453*K1453</f>
        <v>1800</v>
      </c>
    </row>
    <row r="1454" customFormat="false" ht="15" hidden="false" customHeight="false" outlineLevel="0" collapsed="false">
      <c r="A1454" s="2" t="s">
        <v>1736</v>
      </c>
      <c r="B1454" s="8" t="n">
        <v>46145</v>
      </c>
      <c r="C1454" s="2" t="s">
        <v>66</v>
      </c>
      <c r="D1454" s="3" t="str">
        <f aca="false">INDEX(Vendedores!$C$2:$C$101,MATCH(C1454,Vendedores!$A$2:$A$101,0))</f>
        <v>L01</v>
      </c>
      <c r="E1454" s="3" t="str">
        <f aca="false">INDEX(Lojas!$E$2:$E$11,MATCH(D1454,Lojas!$A$2:$A$11,0))</f>
        <v>Sudeste</v>
      </c>
      <c r="F1454" s="2" t="s">
        <v>257</v>
      </c>
      <c r="G1454" s="3" t="str">
        <f aca="false">INDEX(Produtos!$B$2:$B$11,MATCH(F1454,Produtos!$A$2:$A$11,0))&amp;" "&amp;INDEX(Produtos!$C$2:$C$11,MATCH(F1454,Produtos!$A$2:$A$11,0))</f>
        <v>Celular Samsung</v>
      </c>
      <c r="H1454" s="2" t="n">
        <v>1</v>
      </c>
      <c r="I1454" s="5" t="n">
        <f aca="false">INDEX(Produtos!$D$2:$D$11,MATCH(F1454,Produtos!$A$2:$A$11,0))</f>
        <v>2499</v>
      </c>
      <c r="J1454" s="5" t="n">
        <f aca="false">H1454*I1454</f>
        <v>2499</v>
      </c>
      <c r="K1454" s="5" t="n">
        <f aca="false">INDEX(Produtos!$E$2:$E$11,MATCH(F1454,Produtos!$A$2:$A$11,0))</f>
        <v>1800</v>
      </c>
      <c r="L1454" s="5" t="n">
        <f aca="false">H1454*K1454</f>
        <v>1800</v>
      </c>
    </row>
    <row r="1455" customFormat="false" ht="15" hidden="false" customHeight="false" outlineLevel="0" collapsed="false">
      <c r="A1455" s="2" t="s">
        <v>1737</v>
      </c>
      <c r="B1455" s="8" t="n">
        <v>46145</v>
      </c>
      <c r="C1455" s="2" t="s">
        <v>150</v>
      </c>
      <c r="D1455" s="3" t="str">
        <f aca="false">INDEX(Vendedores!$C$2:$C$101,MATCH(C1455,Vendedores!$A$2:$A$101,0))</f>
        <v>L06</v>
      </c>
      <c r="E1455" s="3" t="str">
        <f aca="false">INDEX(Lojas!$E$2:$E$11,MATCH(D1455,Lojas!$A$2:$A$11,0))</f>
        <v>Sul</v>
      </c>
      <c r="F1455" s="2" t="s">
        <v>262</v>
      </c>
      <c r="G1455" s="3" t="str">
        <f aca="false">INDEX(Produtos!$B$2:$B$11,MATCH(F1455,Produtos!$A$2:$A$11,0))&amp;" "&amp;INDEX(Produtos!$C$2:$C$11,MATCH(F1455,Produtos!$A$2:$A$11,0))</f>
        <v>Fone de Ouvido De Celular</v>
      </c>
      <c r="H1455" s="2" t="n">
        <v>1</v>
      </c>
      <c r="I1455" s="5" t="n">
        <f aca="false">INDEX(Produtos!$D$2:$D$11,MATCH(F1455,Produtos!$A$2:$A$11,0))</f>
        <v>59.9</v>
      </c>
      <c r="J1455" s="5" t="n">
        <f aca="false">H1455*I1455</f>
        <v>59.9</v>
      </c>
      <c r="K1455" s="5" t="n">
        <f aca="false">INDEX(Produtos!$E$2:$E$11,MATCH(F1455,Produtos!$A$2:$A$11,0))</f>
        <v>28</v>
      </c>
      <c r="L1455" s="5" t="n">
        <f aca="false">H1455*K1455</f>
        <v>28</v>
      </c>
    </row>
    <row r="1456" customFormat="false" ht="15" hidden="false" customHeight="false" outlineLevel="0" collapsed="false">
      <c r="A1456" s="2" t="s">
        <v>1738</v>
      </c>
      <c r="B1456" s="8" t="n">
        <v>46145</v>
      </c>
      <c r="C1456" s="2" t="s">
        <v>124</v>
      </c>
      <c r="D1456" s="3" t="str">
        <f aca="false">INDEX(Vendedores!$C$2:$C$101,MATCH(C1456,Vendedores!$A$2:$A$101,0))</f>
        <v>L04</v>
      </c>
      <c r="E1456" s="3" t="str">
        <f aca="false">INDEX(Lojas!$E$2:$E$11,MATCH(D1456,Lojas!$A$2:$A$11,0))</f>
        <v>Sudeste</v>
      </c>
      <c r="F1456" s="2" t="s">
        <v>252</v>
      </c>
      <c r="G1456" s="3" t="str">
        <f aca="false">INDEX(Produtos!$B$2:$B$11,MATCH(F1456,Produtos!$A$2:$A$11,0))&amp;" "&amp;INDEX(Produtos!$C$2:$C$11,MATCH(F1456,Produtos!$A$2:$A$11,0))</f>
        <v>Notebook Lenovo</v>
      </c>
      <c r="H1456" s="2" t="n">
        <v>1</v>
      </c>
      <c r="I1456" s="5" t="n">
        <f aca="false">INDEX(Produtos!$D$2:$D$11,MATCH(F1456,Produtos!$A$2:$A$11,0))</f>
        <v>3199</v>
      </c>
      <c r="J1456" s="5" t="n">
        <f aca="false">H1456*I1456</f>
        <v>3199</v>
      </c>
      <c r="K1456" s="5" t="n">
        <f aca="false">INDEX(Produtos!$E$2:$E$11,MATCH(F1456,Produtos!$A$2:$A$11,0))</f>
        <v>2350</v>
      </c>
      <c r="L1456" s="5" t="n">
        <f aca="false">H1456*K1456</f>
        <v>2350</v>
      </c>
    </row>
    <row r="1457" customFormat="false" ht="15" hidden="false" customHeight="false" outlineLevel="0" collapsed="false">
      <c r="A1457" s="2" t="s">
        <v>1739</v>
      </c>
      <c r="B1457" s="8" t="n">
        <v>46145</v>
      </c>
      <c r="C1457" s="2" t="s">
        <v>92</v>
      </c>
      <c r="D1457" s="3" t="str">
        <f aca="false">INDEX(Vendedores!$C$2:$C$101,MATCH(C1457,Vendedores!$A$2:$A$101,0))</f>
        <v>L03</v>
      </c>
      <c r="E1457" s="3" t="str">
        <f aca="false">INDEX(Lojas!$E$2:$E$11,MATCH(D1457,Lojas!$A$2:$A$11,0))</f>
        <v>Sudeste</v>
      </c>
      <c r="F1457" s="2" t="s">
        <v>265</v>
      </c>
      <c r="G1457" s="3" t="str">
        <f aca="false">INDEX(Produtos!$B$2:$B$11,MATCH(F1457,Produtos!$A$2:$A$11,0))&amp;" "&amp;INDEX(Produtos!$C$2:$C$11,MATCH(F1457,Produtos!$A$2:$A$11,0))</f>
        <v>Fone de Ouvido Headset</v>
      </c>
      <c r="H1457" s="2" t="n">
        <v>1</v>
      </c>
      <c r="I1457" s="5" t="n">
        <f aca="false">INDEX(Produtos!$D$2:$D$11,MATCH(F1457,Produtos!$A$2:$A$11,0))</f>
        <v>249.9</v>
      </c>
      <c r="J1457" s="5" t="n">
        <f aca="false">H1457*I1457</f>
        <v>249.9</v>
      </c>
      <c r="K1457" s="5" t="n">
        <f aca="false">INDEX(Produtos!$E$2:$E$11,MATCH(F1457,Produtos!$A$2:$A$11,0))</f>
        <v>145</v>
      </c>
      <c r="L1457" s="5" t="n">
        <f aca="false">H1457*K1457</f>
        <v>145</v>
      </c>
    </row>
    <row r="1458" customFormat="false" ht="15" hidden="false" customHeight="false" outlineLevel="0" collapsed="false">
      <c r="A1458" s="2" t="s">
        <v>1740</v>
      </c>
      <c r="B1458" s="8" t="n">
        <v>46145</v>
      </c>
      <c r="C1458" s="2" t="s">
        <v>82</v>
      </c>
      <c r="D1458" s="3" t="str">
        <f aca="false">INDEX(Vendedores!$C$2:$C$101,MATCH(C1458,Vendedores!$A$2:$A$101,0))</f>
        <v>L02</v>
      </c>
      <c r="E1458" s="3" t="str">
        <f aca="false">INDEX(Lojas!$E$2:$E$11,MATCH(D1458,Lojas!$A$2:$A$11,0))</f>
        <v>Sudeste</v>
      </c>
      <c r="F1458" s="2" t="s">
        <v>265</v>
      </c>
      <c r="G1458" s="3" t="str">
        <f aca="false">INDEX(Produtos!$B$2:$B$11,MATCH(F1458,Produtos!$A$2:$A$11,0))&amp;" "&amp;INDEX(Produtos!$C$2:$C$11,MATCH(F1458,Produtos!$A$2:$A$11,0))</f>
        <v>Fone de Ouvido Headset</v>
      </c>
      <c r="H1458" s="2" t="n">
        <v>2</v>
      </c>
      <c r="I1458" s="5" t="n">
        <f aca="false">INDEX(Produtos!$D$2:$D$11,MATCH(F1458,Produtos!$A$2:$A$11,0))</f>
        <v>249.9</v>
      </c>
      <c r="J1458" s="5" t="n">
        <f aca="false">H1458*I1458</f>
        <v>499.8</v>
      </c>
      <c r="K1458" s="5" t="n">
        <f aca="false">INDEX(Produtos!$E$2:$E$11,MATCH(F1458,Produtos!$A$2:$A$11,0))</f>
        <v>145</v>
      </c>
      <c r="L1458" s="5" t="n">
        <f aca="false">H1458*K1458</f>
        <v>290</v>
      </c>
    </row>
    <row r="1459" customFormat="false" ht="15" hidden="false" customHeight="false" outlineLevel="0" collapsed="false">
      <c r="A1459" s="2" t="s">
        <v>1741</v>
      </c>
      <c r="B1459" s="8" t="n">
        <v>46146</v>
      </c>
      <c r="C1459" s="2" t="s">
        <v>187</v>
      </c>
      <c r="D1459" s="3" t="str">
        <f aca="false">INDEX(Vendedores!$C$2:$C$101,MATCH(C1459,Vendedores!$A$2:$A$101,0))</f>
        <v>L08</v>
      </c>
      <c r="E1459" s="3" t="str">
        <f aca="false">INDEX(Lojas!$E$2:$E$11,MATCH(D1459,Lojas!$A$2:$A$11,0))</f>
        <v>Nordeste</v>
      </c>
      <c r="F1459" s="2" t="s">
        <v>267</v>
      </c>
      <c r="G1459" s="3" t="str">
        <f aca="false">INDEX(Produtos!$B$2:$B$11,MATCH(F1459,Produtos!$A$2:$A$11,0))&amp;" "&amp;INDEX(Produtos!$C$2:$C$11,MATCH(F1459,Produtos!$A$2:$A$11,0))</f>
        <v>Carregador de Celular Tipo C</v>
      </c>
      <c r="H1459" s="2" t="n">
        <v>1</v>
      </c>
      <c r="I1459" s="5" t="n">
        <f aca="false">INDEX(Produtos!$D$2:$D$11,MATCH(F1459,Produtos!$A$2:$A$11,0))</f>
        <v>44.9</v>
      </c>
      <c r="J1459" s="5" t="n">
        <f aca="false">H1459*I1459</f>
        <v>44.9</v>
      </c>
      <c r="K1459" s="5" t="n">
        <f aca="false">INDEX(Produtos!$E$2:$E$11,MATCH(F1459,Produtos!$A$2:$A$11,0))</f>
        <v>18</v>
      </c>
      <c r="L1459" s="5" t="n">
        <f aca="false">H1459*K1459</f>
        <v>18</v>
      </c>
    </row>
    <row r="1460" customFormat="false" ht="15" hidden="false" customHeight="false" outlineLevel="0" collapsed="false">
      <c r="A1460" s="2" t="s">
        <v>1742</v>
      </c>
      <c r="B1460" s="8" t="n">
        <v>46146</v>
      </c>
      <c r="C1460" s="2" t="s">
        <v>146</v>
      </c>
      <c r="D1460" s="3" t="str">
        <f aca="false">INDEX(Vendedores!$C$2:$C$101,MATCH(C1460,Vendedores!$A$2:$A$101,0))</f>
        <v>L05</v>
      </c>
      <c r="E1460" s="3" t="str">
        <f aca="false">INDEX(Lojas!$E$2:$E$11,MATCH(D1460,Lojas!$A$2:$A$11,0))</f>
        <v>Sul</v>
      </c>
      <c r="F1460" s="2" t="s">
        <v>260</v>
      </c>
      <c r="G1460" s="3" t="str">
        <f aca="false">INDEX(Produtos!$B$2:$B$11,MATCH(F1460,Produtos!$A$2:$A$11,0))&amp;" "&amp;INDEX(Produtos!$C$2:$C$11,MATCH(F1460,Produtos!$A$2:$A$11,0))</f>
        <v>Celular Motorola</v>
      </c>
      <c r="H1460" s="2" t="n">
        <v>2</v>
      </c>
      <c r="I1460" s="5" t="n">
        <f aca="false">INDEX(Produtos!$D$2:$D$11,MATCH(F1460,Produtos!$A$2:$A$11,0))</f>
        <v>1799</v>
      </c>
      <c r="J1460" s="5" t="n">
        <f aca="false">H1460*I1460</f>
        <v>3598</v>
      </c>
      <c r="K1460" s="5" t="n">
        <f aca="false">INDEX(Produtos!$E$2:$E$11,MATCH(F1460,Produtos!$A$2:$A$11,0))</f>
        <v>1250</v>
      </c>
      <c r="L1460" s="5" t="n">
        <f aca="false">H1460*K1460</f>
        <v>2500</v>
      </c>
    </row>
    <row r="1461" customFormat="false" ht="15" hidden="false" customHeight="false" outlineLevel="0" collapsed="false">
      <c r="A1461" s="2" t="s">
        <v>1743</v>
      </c>
      <c r="B1461" s="8" t="n">
        <v>46146</v>
      </c>
      <c r="C1461" s="2" t="s">
        <v>170</v>
      </c>
      <c r="D1461" s="3" t="str">
        <f aca="false">INDEX(Vendedores!$C$2:$C$101,MATCH(C1461,Vendedores!$A$2:$A$101,0))</f>
        <v>L07</v>
      </c>
      <c r="E1461" s="3" t="str">
        <f aca="false">INDEX(Lojas!$E$2:$E$11,MATCH(D1461,Lojas!$A$2:$A$11,0))</f>
        <v>Sul</v>
      </c>
      <c r="F1461" s="2" t="s">
        <v>255</v>
      </c>
      <c r="G1461" s="3" t="str">
        <f aca="false">INDEX(Produtos!$B$2:$B$11,MATCH(F1461,Produtos!$A$2:$A$11,0))&amp;" "&amp;INDEX(Produtos!$C$2:$C$11,MATCH(F1461,Produtos!$A$2:$A$11,0))</f>
        <v>Notebook Positivo</v>
      </c>
      <c r="H1461" s="2" t="n">
        <v>1</v>
      </c>
      <c r="I1461" s="5" t="n">
        <f aca="false">INDEX(Produtos!$D$2:$D$11,MATCH(F1461,Produtos!$A$2:$A$11,0))</f>
        <v>2199</v>
      </c>
      <c r="J1461" s="5" t="n">
        <f aca="false">H1461*I1461</f>
        <v>2199</v>
      </c>
      <c r="K1461" s="5" t="n">
        <f aca="false">INDEX(Produtos!$E$2:$E$11,MATCH(F1461,Produtos!$A$2:$A$11,0))</f>
        <v>1550</v>
      </c>
      <c r="L1461" s="5" t="n">
        <f aca="false">H1461*K1461</f>
        <v>1550</v>
      </c>
    </row>
    <row r="1462" customFormat="false" ht="15" hidden="false" customHeight="false" outlineLevel="0" collapsed="false">
      <c r="A1462" s="2" t="s">
        <v>1744</v>
      </c>
      <c r="B1462" s="8" t="n">
        <v>46146</v>
      </c>
      <c r="C1462" s="2" t="s">
        <v>179</v>
      </c>
      <c r="D1462" s="3" t="str">
        <f aca="false">INDEX(Vendedores!$C$2:$C$101,MATCH(C1462,Vendedores!$A$2:$A$101,0))</f>
        <v>L07</v>
      </c>
      <c r="E1462" s="3" t="str">
        <f aca="false">INDEX(Lojas!$E$2:$E$11,MATCH(D1462,Lojas!$A$2:$A$11,0))</f>
        <v>Sul</v>
      </c>
      <c r="F1462" s="2" t="s">
        <v>255</v>
      </c>
      <c r="G1462" s="3" t="str">
        <f aca="false">INDEX(Produtos!$B$2:$B$11,MATCH(F1462,Produtos!$A$2:$A$11,0))&amp;" "&amp;INDEX(Produtos!$C$2:$C$11,MATCH(F1462,Produtos!$A$2:$A$11,0))</f>
        <v>Notebook Positivo</v>
      </c>
      <c r="H1462" s="2" t="n">
        <v>3</v>
      </c>
      <c r="I1462" s="5" t="n">
        <f aca="false">INDEX(Produtos!$D$2:$D$11,MATCH(F1462,Produtos!$A$2:$A$11,0))</f>
        <v>2199</v>
      </c>
      <c r="J1462" s="5" t="n">
        <f aca="false">H1462*I1462</f>
        <v>6597</v>
      </c>
      <c r="K1462" s="5" t="n">
        <f aca="false">INDEX(Produtos!$E$2:$E$11,MATCH(F1462,Produtos!$A$2:$A$11,0))</f>
        <v>1550</v>
      </c>
      <c r="L1462" s="5" t="n">
        <f aca="false">H1462*K1462</f>
        <v>4650</v>
      </c>
    </row>
    <row r="1463" customFormat="false" ht="15" hidden="false" customHeight="false" outlineLevel="0" collapsed="false">
      <c r="A1463" s="2" t="s">
        <v>1745</v>
      </c>
      <c r="B1463" s="8" t="n">
        <v>46146</v>
      </c>
      <c r="C1463" s="2" t="s">
        <v>129</v>
      </c>
      <c r="D1463" s="3" t="str">
        <f aca="false">INDEX(Vendedores!$C$2:$C$101,MATCH(C1463,Vendedores!$A$2:$A$101,0))</f>
        <v>L05</v>
      </c>
      <c r="E1463" s="3" t="str">
        <f aca="false">INDEX(Lojas!$E$2:$E$11,MATCH(D1463,Lojas!$A$2:$A$11,0))</f>
        <v>Sul</v>
      </c>
      <c r="F1463" s="2" t="s">
        <v>260</v>
      </c>
      <c r="G1463" s="3" t="str">
        <f aca="false">INDEX(Produtos!$B$2:$B$11,MATCH(F1463,Produtos!$A$2:$A$11,0))&amp;" "&amp;INDEX(Produtos!$C$2:$C$11,MATCH(F1463,Produtos!$A$2:$A$11,0))</f>
        <v>Celular Motorola</v>
      </c>
      <c r="H1463" s="2" t="n">
        <v>1</v>
      </c>
      <c r="I1463" s="5" t="n">
        <f aca="false">INDEX(Produtos!$D$2:$D$11,MATCH(F1463,Produtos!$A$2:$A$11,0))</f>
        <v>1799</v>
      </c>
      <c r="J1463" s="5" t="n">
        <f aca="false">H1463*I1463</f>
        <v>1799</v>
      </c>
      <c r="K1463" s="5" t="n">
        <f aca="false">INDEX(Produtos!$E$2:$E$11,MATCH(F1463,Produtos!$A$2:$A$11,0))</f>
        <v>1250</v>
      </c>
      <c r="L1463" s="5" t="n">
        <f aca="false">H1463*K1463</f>
        <v>1250</v>
      </c>
    </row>
    <row r="1464" customFormat="false" ht="15" hidden="false" customHeight="false" outlineLevel="0" collapsed="false">
      <c r="A1464" s="2" t="s">
        <v>1746</v>
      </c>
      <c r="B1464" s="8" t="n">
        <v>46146</v>
      </c>
      <c r="C1464" s="2" t="s">
        <v>217</v>
      </c>
      <c r="D1464" s="3" t="str">
        <f aca="false">INDEX(Vendedores!$C$2:$C$101,MATCH(C1464,Vendedores!$A$2:$A$101,0))</f>
        <v>L09</v>
      </c>
      <c r="E1464" s="3" t="str">
        <f aca="false">INDEX(Lojas!$E$2:$E$11,MATCH(D1464,Lojas!$A$2:$A$11,0))</f>
        <v>Nordeste</v>
      </c>
      <c r="F1464" s="2" t="s">
        <v>260</v>
      </c>
      <c r="G1464" s="3" t="str">
        <f aca="false">INDEX(Produtos!$B$2:$B$11,MATCH(F1464,Produtos!$A$2:$A$11,0))&amp;" "&amp;INDEX(Produtos!$C$2:$C$11,MATCH(F1464,Produtos!$A$2:$A$11,0))</f>
        <v>Celular Motorola</v>
      </c>
      <c r="H1464" s="2" t="n">
        <v>1</v>
      </c>
      <c r="I1464" s="5" t="n">
        <f aca="false">INDEX(Produtos!$D$2:$D$11,MATCH(F1464,Produtos!$A$2:$A$11,0))</f>
        <v>1799</v>
      </c>
      <c r="J1464" s="5" t="n">
        <f aca="false">H1464*I1464</f>
        <v>1799</v>
      </c>
      <c r="K1464" s="5" t="n">
        <f aca="false">INDEX(Produtos!$E$2:$E$11,MATCH(F1464,Produtos!$A$2:$A$11,0))</f>
        <v>1250</v>
      </c>
      <c r="L1464" s="5" t="n">
        <f aca="false">H1464*K1464</f>
        <v>1250</v>
      </c>
    </row>
    <row r="1465" customFormat="false" ht="15" hidden="false" customHeight="false" outlineLevel="0" collapsed="false">
      <c r="A1465" s="2" t="s">
        <v>1747</v>
      </c>
      <c r="B1465" s="8" t="n">
        <v>46146</v>
      </c>
      <c r="C1465" s="2" t="s">
        <v>164</v>
      </c>
      <c r="D1465" s="3" t="str">
        <f aca="false">INDEX(Vendedores!$C$2:$C$101,MATCH(C1465,Vendedores!$A$2:$A$101,0))</f>
        <v>L06</v>
      </c>
      <c r="E1465" s="3" t="str">
        <f aca="false">INDEX(Lojas!$E$2:$E$11,MATCH(D1465,Lojas!$A$2:$A$11,0))</f>
        <v>Sul</v>
      </c>
      <c r="F1465" s="2" t="s">
        <v>270</v>
      </c>
      <c r="G1465" s="3" t="str">
        <f aca="false">INDEX(Produtos!$B$2:$B$11,MATCH(F1465,Produtos!$A$2:$A$11,0))&amp;" "&amp;INDEX(Produtos!$C$2:$C$11,MATCH(F1465,Produtos!$A$2:$A$11,0))</f>
        <v>Controle de Videogame Xbox</v>
      </c>
      <c r="H1465" s="2" t="n">
        <v>3</v>
      </c>
      <c r="I1465" s="5" t="n">
        <f aca="false">INDEX(Produtos!$D$2:$D$11,MATCH(F1465,Produtos!$A$2:$A$11,0))</f>
        <v>349.9</v>
      </c>
      <c r="J1465" s="5" t="n">
        <f aca="false">H1465*I1465</f>
        <v>1049.7</v>
      </c>
      <c r="K1465" s="5" t="n">
        <f aca="false">INDEX(Produtos!$E$2:$E$11,MATCH(F1465,Produtos!$A$2:$A$11,0))</f>
        <v>215</v>
      </c>
      <c r="L1465" s="5" t="n">
        <f aca="false">H1465*K1465</f>
        <v>645</v>
      </c>
    </row>
    <row r="1466" customFormat="false" ht="15" hidden="false" customHeight="false" outlineLevel="0" collapsed="false">
      <c r="A1466" s="2" t="s">
        <v>1748</v>
      </c>
      <c r="B1466" s="8" t="n">
        <v>46146</v>
      </c>
      <c r="C1466" s="2" t="s">
        <v>166</v>
      </c>
      <c r="D1466" s="3" t="str">
        <f aca="false">INDEX(Vendedores!$C$2:$C$101,MATCH(C1466,Vendedores!$A$2:$A$101,0))</f>
        <v>L06</v>
      </c>
      <c r="E1466" s="3" t="str">
        <f aca="false">INDEX(Lojas!$E$2:$E$11,MATCH(D1466,Lojas!$A$2:$A$11,0))</f>
        <v>Sul</v>
      </c>
      <c r="F1466" s="2" t="s">
        <v>257</v>
      </c>
      <c r="G1466" s="3" t="str">
        <f aca="false">INDEX(Produtos!$B$2:$B$11,MATCH(F1466,Produtos!$A$2:$A$11,0))&amp;" "&amp;INDEX(Produtos!$C$2:$C$11,MATCH(F1466,Produtos!$A$2:$A$11,0))</f>
        <v>Celular Samsung</v>
      </c>
      <c r="H1466" s="2" t="n">
        <v>1</v>
      </c>
      <c r="I1466" s="5" t="n">
        <f aca="false">INDEX(Produtos!$D$2:$D$11,MATCH(F1466,Produtos!$A$2:$A$11,0))</f>
        <v>2499</v>
      </c>
      <c r="J1466" s="5" t="n">
        <f aca="false">H1466*I1466</f>
        <v>2499</v>
      </c>
      <c r="K1466" s="5" t="n">
        <f aca="false">INDEX(Produtos!$E$2:$E$11,MATCH(F1466,Produtos!$A$2:$A$11,0))</f>
        <v>1800</v>
      </c>
      <c r="L1466" s="5" t="n">
        <f aca="false">H1466*K1466</f>
        <v>1800</v>
      </c>
    </row>
    <row r="1467" customFormat="false" ht="15" hidden="false" customHeight="false" outlineLevel="0" collapsed="false">
      <c r="A1467" s="2" t="s">
        <v>1749</v>
      </c>
      <c r="B1467" s="8" t="n">
        <v>46146</v>
      </c>
      <c r="C1467" s="2" t="s">
        <v>219</v>
      </c>
      <c r="D1467" s="3" t="str">
        <f aca="false">INDEX(Vendedores!$C$2:$C$101,MATCH(C1467,Vendedores!$A$2:$A$101,0))</f>
        <v>L09</v>
      </c>
      <c r="E1467" s="3" t="str">
        <f aca="false">INDEX(Lojas!$E$2:$E$11,MATCH(D1467,Lojas!$A$2:$A$11,0))</f>
        <v>Nordeste</v>
      </c>
      <c r="F1467" s="2" t="s">
        <v>252</v>
      </c>
      <c r="G1467" s="3" t="str">
        <f aca="false">INDEX(Produtos!$B$2:$B$11,MATCH(F1467,Produtos!$A$2:$A$11,0))&amp;" "&amp;INDEX(Produtos!$C$2:$C$11,MATCH(F1467,Produtos!$A$2:$A$11,0))</f>
        <v>Notebook Lenovo</v>
      </c>
      <c r="H1467" s="2" t="n">
        <v>1</v>
      </c>
      <c r="I1467" s="5" t="n">
        <f aca="false">INDEX(Produtos!$D$2:$D$11,MATCH(F1467,Produtos!$A$2:$A$11,0))</f>
        <v>3199</v>
      </c>
      <c r="J1467" s="5" t="n">
        <f aca="false">H1467*I1467</f>
        <v>3199</v>
      </c>
      <c r="K1467" s="5" t="n">
        <f aca="false">INDEX(Produtos!$E$2:$E$11,MATCH(F1467,Produtos!$A$2:$A$11,0))</f>
        <v>2350</v>
      </c>
      <c r="L1467" s="5" t="n">
        <f aca="false">H1467*K1467</f>
        <v>2350</v>
      </c>
    </row>
    <row r="1468" customFormat="false" ht="15" hidden="false" customHeight="false" outlineLevel="0" collapsed="false">
      <c r="A1468" s="2" t="s">
        <v>1750</v>
      </c>
      <c r="B1468" s="8" t="n">
        <v>46147</v>
      </c>
      <c r="C1468" s="2" t="s">
        <v>146</v>
      </c>
      <c r="D1468" s="3" t="str">
        <f aca="false">INDEX(Vendedores!$C$2:$C$101,MATCH(C1468,Vendedores!$A$2:$A$101,0))</f>
        <v>L05</v>
      </c>
      <c r="E1468" s="3" t="str">
        <f aca="false">INDEX(Lojas!$E$2:$E$11,MATCH(D1468,Lojas!$A$2:$A$11,0))</f>
        <v>Sul</v>
      </c>
      <c r="F1468" s="2" t="s">
        <v>275</v>
      </c>
      <c r="G1468" s="3" t="str">
        <f aca="false">INDEX(Produtos!$B$2:$B$11,MATCH(F1468,Produtos!$A$2:$A$11,0))&amp;" "&amp;INDEX(Produtos!$C$2:$C$11,MATCH(F1468,Produtos!$A$2:$A$11,0))</f>
        <v>Controle de Videogame PS5</v>
      </c>
      <c r="H1468" s="2" t="n">
        <v>1</v>
      </c>
      <c r="I1468" s="5" t="n">
        <f aca="false">INDEX(Produtos!$D$2:$D$11,MATCH(F1468,Produtos!$A$2:$A$11,0))</f>
        <v>379.9</v>
      </c>
      <c r="J1468" s="5" t="n">
        <f aca="false">H1468*I1468</f>
        <v>379.9</v>
      </c>
      <c r="K1468" s="5" t="n">
        <f aca="false">INDEX(Produtos!$E$2:$E$11,MATCH(F1468,Produtos!$A$2:$A$11,0))</f>
        <v>235</v>
      </c>
      <c r="L1468" s="5" t="n">
        <f aca="false">H1468*K1468</f>
        <v>235</v>
      </c>
    </row>
    <row r="1469" customFormat="false" ht="15" hidden="false" customHeight="false" outlineLevel="0" collapsed="false">
      <c r="A1469" s="2" t="s">
        <v>1751</v>
      </c>
      <c r="B1469" s="8" t="n">
        <v>46147</v>
      </c>
      <c r="C1469" s="2" t="s">
        <v>195</v>
      </c>
      <c r="D1469" s="3" t="str">
        <f aca="false">INDEX(Vendedores!$C$2:$C$101,MATCH(C1469,Vendedores!$A$2:$A$101,0))</f>
        <v>L08</v>
      </c>
      <c r="E1469" s="3" t="str">
        <f aca="false">INDEX(Lojas!$E$2:$E$11,MATCH(D1469,Lojas!$A$2:$A$11,0))</f>
        <v>Nordeste</v>
      </c>
      <c r="F1469" s="2" t="s">
        <v>267</v>
      </c>
      <c r="G1469" s="3" t="str">
        <f aca="false">INDEX(Produtos!$B$2:$B$11,MATCH(F1469,Produtos!$A$2:$A$11,0))&amp;" "&amp;INDEX(Produtos!$C$2:$C$11,MATCH(F1469,Produtos!$A$2:$A$11,0))</f>
        <v>Carregador de Celular Tipo C</v>
      </c>
      <c r="H1469" s="2" t="n">
        <v>2</v>
      </c>
      <c r="I1469" s="5" t="n">
        <f aca="false">INDEX(Produtos!$D$2:$D$11,MATCH(F1469,Produtos!$A$2:$A$11,0))</f>
        <v>44.9</v>
      </c>
      <c r="J1469" s="5" t="n">
        <f aca="false">H1469*I1469</f>
        <v>89.8</v>
      </c>
      <c r="K1469" s="5" t="n">
        <f aca="false">INDEX(Produtos!$E$2:$E$11,MATCH(F1469,Produtos!$A$2:$A$11,0))</f>
        <v>18</v>
      </c>
      <c r="L1469" s="5" t="n">
        <f aca="false">H1469*K1469</f>
        <v>36</v>
      </c>
    </row>
    <row r="1470" customFormat="false" ht="15" hidden="false" customHeight="false" outlineLevel="0" collapsed="false">
      <c r="A1470" s="2" t="s">
        <v>1752</v>
      </c>
      <c r="B1470" s="8" t="n">
        <v>46147</v>
      </c>
      <c r="C1470" s="2" t="s">
        <v>129</v>
      </c>
      <c r="D1470" s="3" t="str">
        <f aca="false">INDEX(Vendedores!$C$2:$C$101,MATCH(C1470,Vendedores!$A$2:$A$101,0))</f>
        <v>L05</v>
      </c>
      <c r="E1470" s="3" t="str">
        <f aca="false">INDEX(Lojas!$E$2:$E$11,MATCH(D1470,Lojas!$A$2:$A$11,0))</f>
        <v>Sul</v>
      </c>
      <c r="F1470" s="2" t="s">
        <v>270</v>
      </c>
      <c r="G1470" s="3" t="str">
        <f aca="false">INDEX(Produtos!$B$2:$B$11,MATCH(F1470,Produtos!$A$2:$A$11,0))&amp;" "&amp;INDEX(Produtos!$C$2:$C$11,MATCH(F1470,Produtos!$A$2:$A$11,0))</f>
        <v>Controle de Videogame Xbox</v>
      </c>
      <c r="H1470" s="2" t="n">
        <v>1</v>
      </c>
      <c r="I1470" s="5" t="n">
        <f aca="false">INDEX(Produtos!$D$2:$D$11,MATCH(F1470,Produtos!$A$2:$A$11,0))</f>
        <v>349.9</v>
      </c>
      <c r="J1470" s="5" t="n">
        <f aca="false">H1470*I1470</f>
        <v>349.9</v>
      </c>
      <c r="K1470" s="5" t="n">
        <f aca="false">INDEX(Produtos!$E$2:$E$11,MATCH(F1470,Produtos!$A$2:$A$11,0))</f>
        <v>215</v>
      </c>
      <c r="L1470" s="5" t="n">
        <f aca="false">H1470*K1470</f>
        <v>215</v>
      </c>
    </row>
    <row r="1471" customFormat="false" ht="15" hidden="false" customHeight="false" outlineLevel="0" collapsed="false">
      <c r="A1471" s="2" t="s">
        <v>1753</v>
      </c>
      <c r="B1471" s="8" t="n">
        <v>46147</v>
      </c>
      <c r="C1471" s="2" t="s">
        <v>129</v>
      </c>
      <c r="D1471" s="3" t="str">
        <f aca="false">INDEX(Vendedores!$C$2:$C$101,MATCH(C1471,Vendedores!$A$2:$A$101,0))</f>
        <v>L05</v>
      </c>
      <c r="E1471" s="3" t="str">
        <f aca="false">INDEX(Lojas!$E$2:$E$11,MATCH(D1471,Lojas!$A$2:$A$11,0))</f>
        <v>Sul</v>
      </c>
      <c r="F1471" s="2" t="s">
        <v>260</v>
      </c>
      <c r="G1471" s="3" t="str">
        <f aca="false">INDEX(Produtos!$B$2:$B$11,MATCH(F1471,Produtos!$A$2:$A$11,0))&amp;" "&amp;INDEX(Produtos!$C$2:$C$11,MATCH(F1471,Produtos!$A$2:$A$11,0))</f>
        <v>Celular Motorola</v>
      </c>
      <c r="H1471" s="2" t="n">
        <v>1</v>
      </c>
      <c r="I1471" s="5" t="n">
        <f aca="false">INDEX(Produtos!$D$2:$D$11,MATCH(F1471,Produtos!$A$2:$A$11,0))</f>
        <v>1799</v>
      </c>
      <c r="J1471" s="5" t="n">
        <f aca="false">H1471*I1471</f>
        <v>1799</v>
      </c>
      <c r="K1471" s="5" t="n">
        <f aca="false">INDEX(Produtos!$E$2:$E$11,MATCH(F1471,Produtos!$A$2:$A$11,0))</f>
        <v>1250</v>
      </c>
      <c r="L1471" s="5" t="n">
        <f aca="false">H1471*K1471</f>
        <v>1250</v>
      </c>
    </row>
    <row r="1472" customFormat="false" ht="15" hidden="false" customHeight="false" outlineLevel="0" collapsed="false">
      <c r="A1472" s="2" t="s">
        <v>1754</v>
      </c>
      <c r="B1472" s="8" t="n">
        <v>46147</v>
      </c>
      <c r="C1472" s="2" t="s">
        <v>211</v>
      </c>
      <c r="D1472" s="3" t="str">
        <f aca="false">INDEX(Vendedores!$C$2:$C$101,MATCH(C1472,Vendedores!$A$2:$A$101,0))</f>
        <v>L09</v>
      </c>
      <c r="E1472" s="3" t="str">
        <f aca="false">INDEX(Lojas!$E$2:$E$11,MATCH(D1472,Lojas!$A$2:$A$11,0))</f>
        <v>Nordeste</v>
      </c>
      <c r="F1472" s="2" t="s">
        <v>255</v>
      </c>
      <c r="G1472" s="3" t="str">
        <f aca="false">INDEX(Produtos!$B$2:$B$11,MATCH(F1472,Produtos!$A$2:$A$11,0))&amp;" "&amp;INDEX(Produtos!$C$2:$C$11,MATCH(F1472,Produtos!$A$2:$A$11,0))</f>
        <v>Notebook Positivo</v>
      </c>
      <c r="H1472" s="2" t="n">
        <v>1</v>
      </c>
      <c r="I1472" s="5" t="n">
        <f aca="false">INDEX(Produtos!$D$2:$D$11,MATCH(F1472,Produtos!$A$2:$A$11,0))</f>
        <v>2199</v>
      </c>
      <c r="J1472" s="5" t="n">
        <f aca="false">H1472*I1472</f>
        <v>2199</v>
      </c>
      <c r="K1472" s="5" t="n">
        <f aca="false">INDEX(Produtos!$E$2:$E$11,MATCH(F1472,Produtos!$A$2:$A$11,0))</f>
        <v>1550</v>
      </c>
      <c r="L1472" s="5" t="n">
        <f aca="false">H1472*K1472</f>
        <v>1550</v>
      </c>
    </row>
    <row r="1473" customFormat="false" ht="15" hidden="false" customHeight="false" outlineLevel="0" collapsed="false">
      <c r="A1473" s="2" t="s">
        <v>1755</v>
      </c>
      <c r="B1473" s="8" t="n">
        <v>46147</v>
      </c>
      <c r="C1473" s="2" t="s">
        <v>213</v>
      </c>
      <c r="D1473" s="3" t="str">
        <f aca="false">INDEX(Vendedores!$C$2:$C$101,MATCH(C1473,Vendedores!$A$2:$A$101,0))</f>
        <v>L09</v>
      </c>
      <c r="E1473" s="3" t="str">
        <f aca="false">INDEX(Lojas!$E$2:$E$11,MATCH(D1473,Lojas!$A$2:$A$11,0))</f>
        <v>Nordeste</v>
      </c>
      <c r="F1473" s="2" t="s">
        <v>273</v>
      </c>
      <c r="G1473" s="3" t="str">
        <f aca="false">INDEX(Produtos!$B$2:$B$11,MATCH(F1473,Produtos!$A$2:$A$11,0))&amp;" "&amp;INDEX(Produtos!$C$2:$C$11,MATCH(F1473,Produtos!$A$2:$A$11,0))</f>
        <v>Controle de Videogame PS4</v>
      </c>
      <c r="H1473" s="2" t="n">
        <v>1</v>
      </c>
      <c r="I1473" s="5" t="n">
        <f aca="false">INDEX(Produtos!$D$2:$D$11,MATCH(F1473,Produtos!$A$2:$A$11,0))</f>
        <v>299.9</v>
      </c>
      <c r="J1473" s="5" t="n">
        <f aca="false">H1473*I1473</f>
        <v>299.9</v>
      </c>
      <c r="K1473" s="5" t="n">
        <f aca="false">INDEX(Produtos!$E$2:$E$11,MATCH(F1473,Produtos!$A$2:$A$11,0))</f>
        <v>175</v>
      </c>
      <c r="L1473" s="5" t="n">
        <f aca="false">H1473*K1473</f>
        <v>175</v>
      </c>
    </row>
    <row r="1474" customFormat="false" ht="15" hidden="false" customHeight="false" outlineLevel="0" collapsed="false">
      <c r="A1474" s="2" t="s">
        <v>1756</v>
      </c>
      <c r="B1474" s="8" t="n">
        <v>46147</v>
      </c>
      <c r="C1474" s="2" t="s">
        <v>54</v>
      </c>
      <c r="D1474" s="3" t="str">
        <f aca="false">INDEX(Vendedores!$C$2:$C$101,MATCH(C1474,Vendedores!$A$2:$A$101,0))</f>
        <v>L01</v>
      </c>
      <c r="E1474" s="3" t="str">
        <f aca="false">INDEX(Lojas!$E$2:$E$11,MATCH(D1474,Lojas!$A$2:$A$11,0))</f>
        <v>Sudeste</v>
      </c>
      <c r="F1474" s="2" t="s">
        <v>273</v>
      </c>
      <c r="G1474" s="3" t="str">
        <f aca="false">INDEX(Produtos!$B$2:$B$11,MATCH(F1474,Produtos!$A$2:$A$11,0))&amp;" "&amp;INDEX(Produtos!$C$2:$C$11,MATCH(F1474,Produtos!$A$2:$A$11,0))</f>
        <v>Controle de Videogame PS4</v>
      </c>
      <c r="H1474" s="2" t="n">
        <v>2</v>
      </c>
      <c r="I1474" s="5" t="n">
        <f aca="false">INDEX(Produtos!$D$2:$D$11,MATCH(F1474,Produtos!$A$2:$A$11,0))</f>
        <v>299.9</v>
      </c>
      <c r="J1474" s="5" t="n">
        <f aca="false">H1474*I1474</f>
        <v>599.8</v>
      </c>
      <c r="K1474" s="5" t="n">
        <f aca="false">INDEX(Produtos!$E$2:$E$11,MATCH(F1474,Produtos!$A$2:$A$11,0))</f>
        <v>175</v>
      </c>
      <c r="L1474" s="5" t="n">
        <f aca="false">H1474*K1474</f>
        <v>350</v>
      </c>
    </row>
    <row r="1475" customFormat="false" ht="15" hidden="false" customHeight="false" outlineLevel="0" collapsed="false">
      <c r="A1475" s="2" t="s">
        <v>1757</v>
      </c>
      <c r="B1475" s="8" t="n">
        <v>46147</v>
      </c>
      <c r="C1475" s="2" t="s">
        <v>98</v>
      </c>
      <c r="D1475" s="3" t="str">
        <f aca="false">INDEX(Vendedores!$C$2:$C$101,MATCH(C1475,Vendedores!$A$2:$A$101,0))</f>
        <v>L03</v>
      </c>
      <c r="E1475" s="3" t="str">
        <f aca="false">INDEX(Lojas!$E$2:$E$11,MATCH(D1475,Lojas!$A$2:$A$11,0))</f>
        <v>Sudeste</v>
      </c>
      <c r="F1475" s="2" t="s">
        <v>273</v>
      </c>
      <c r="G1475" s="3" t="str">
        <f aca="false">INDEX(Produtos!$B$2:$B$11,MATCH(F1475,Produtos!$A$2:$A$11,0))&amp;" "&amp;INDEX(Produtos!$C$2:$C$11,MATCH(F1475,Produtos!$A$2:$A$11,0))</f>
        <v>Controle de Videogame PS4</v>
      </c>
      <c r="H1475" s="2" t="n">
        <v>2</v>
      </c>
      <c r="I1475" s="5" t="n">
        <f aca="false">INDEX(Produtos!$D$2:$D$11,MATCH(F1475,Produtos!$A$2:$A$11,0))</f>
        <v>299.9</v>
      </c>
      <c r="J1475" s="5" t="n">
        <f aca="false">H1475*I1475</f>
        <v>599.8</v>
      </c>
      <c r="K1475" s="5" t="n">
        <f aca="false">INDEX(Produtos!$E$2:$E$11,MATCH(F1475,Produtos!$A$2:$A$11,0))</f>
        <v>175</v>
      </c>
      <c r="L1475" s="5" t="n">
        <f aca="false">H1475*K1475</f>
        <v>350</v>
      </c>
    </row>
    <row r="1476" customFormat="false" ht="15" hidden="false" customHeight="false" outlineLevel="0" collapsed="false">
      <c r="A1476" s="2" t="s">
        <v>1758</v>
      </c>
      <c r="B1476" s="8" t="n">
        <v>46147</v>
      </c>
      <c r="C1476" s="2" t="s">
        <v>221</v>
      </c>
      <c r="D1476" s="3" t="str">
        <f aca="false">INDEX(Vendedores!$C$2:$C$101,MATCH(C1476,Vendedores!$A$2:$A$101,0))</f>
        <v>L09</v>
      </c>
      <c r="E1476" s="3" t="str">
        <f aca="false">INDEX(Lojas!$E$2:$E$11,MATCH(D1476,Lojas!$A$2:$A$11,0))</f>
        <v>Nordeste</v>
      </c>
      <c r="F1476" s="2" t="s">
        <v>270</v>
      </c>
      <c r="G1476" s="3" t="str">
        <f aca="false">INDEX(Produtos!$B$2:$B$11,MATCH(F1476,Produtos!$A$2:$A$11,0))&amp;" "&amp;INDEX(Produtos!$C$2:$C$11,MATCH(F1476,Produtos!$A$2:$A$11,0))</f>
        <v>Controle de Videogame Xbox</v>
      </c>
      <c r="H1476" s="2" t="n">
        <v>1</v>
      </c>
      <c r="I1476" s="5" t="n">
        <f aca="false">INDEX(Produtos!$D$2:$D$11,MATCH(F1476,Produtos!$A$2:$A$11,0))</f>
        <v>349.9</v>
      </c>
      <c r="J1476" s="5" t="n">
        <f aca="false">H1476*I1476</f>
        <v>349.9</v>
      </c>
      <c r="K1476" s="5" t="n">
        <f aca="false">INDEX(Produtos!$E$2:$E$11,MATCH(F1476,Produtos!$A$2:$A$11,0))</f>
        <v>215</v>
      </c>
      <c r="L1476" s="5" t="n">
        <f aca="false">H1476*K1476</f>
        <v>215</v>
      </c>
    </row>
    <row r="1477" customFormat="false" ht="15" hidden="false" customHeight="false" outlineLevel="0" collapsed="false">
      <c r="A1477" s="2" t="s">
        <v>1759</v>
      </c>
      <c r="B1477" s="8" t="n">
        <v>46147</v>
      </c>
      <c r="C1477" s="2" t="s">
        <v>88</v>
      </c>
      <c r="D1477" s="3" t="str">
        <f aca="false">INDEX(Vendedores!$C$2:$C$101,MATCH(C1477,Vendedores!$A$2:$A$101,0))</f>
        <v>L02</v>
      </c>
      <c r="E1477" s="3" t="str">
        <f aca="false">INDEX(Lojas!$E$2:$E$11,MATCH(D1477,Lojas!$A$2:$A$11,0))</f>
        <v>Sudeste</v>
      </c>
      <c r="F1477" s="2" t="s">
        <v>265</v>
      </c>
      <c r="G1477" s="3" t="str">
        <f aca="false">INDEX(Produtos!$B$2:$B$11,MATCH(F1477,Produtos!$A$2:$A$11,0))&amp;" "&amp;INDEX(Produtos!$C$2:$C$11,MATCH(F1477,Produtos!$A$2:$A$11,0))</f>
        <v>Fone de Ouvido Headset</v>
      </c>
      <c r="H1477" s="2" t="n">
        <v>1</v>
      </c>
      <c r="I1477" s="5" t="n">
        <f aca="false">INDEX(Produtos!$D$2:$D$11,MATCH(F1477,Produtos!$A$2:$A$11,0))</f>
        <v>249.9</v>
      </c>
      <c r="J1477" s="5" t="n">
        <f aca="false">H1477*I1477</f>
        <v>249.9</v>
      </c>
      <c r="K1477" s="5" t="n">
        <f aca="false">INDEX(Produtos!$E$2:$E$11,MATCH(F1477,Produtos!$A$2:$A$11,0))</f>
        <v>145</v>
      </c>
      <c r="L1477" s="5" t="n">
        <f aca="false">H1477*K1477</f>
        <v>145</v>
      </c>
    </row>
    <row r="1478" customFormat="false" ht="15" hidden="false" customHeight="false" outlineLevel="0" collapsed="false">
      <c r="A1478" s="2" t="s">
        <v>1760</v>
      </c>
      <c r="B1478" s="8" t="n">
        <v>46147</v>
      </c>
      <c r="C1478" s="2" t="s">
        <v>137</v>
      </c>
      <c r="D1478" s="3" t="str">
        <f aca="false">INDEX(Vendedores!$C$2:$C$101,MATCH(C1478,Vendedores!$A$2:$A$101,0))</f>
        <v>L05</v>
      </c>
      <c r="E1478" s="3" t="str">
        <f aca="false">INDEX(Lojas!$E$2:$E$11,MATCH(D1478,Lojas!$A$2:$A$11,0))</f>
        <v>Sul</v>
      </c>
      <c r="F1478" s="2" t="s">
        <v>270</v>
      </c>
      <c r="G1478" s="3" t="str">
        <f aca="false">INDEX(Produtos!$B$2:$B$11,MATCH(F1478,Produtos!$A$2:$A$11,0))&amp;" "&amp;INDEX(Produtos!$C$2:$C$11,MATCH(F1478,Produtos!$A$2:$A$11,0))</f>
        <v>Controle de Videogame Xbox</v>
      </c>
      <c r="H1478" s="2" t="n">
        <v>1</v>
      </c>
      <c r="I1478" s="5" t="n">
        <f aca="false">INDEX(Produtos!$D$2:$D$11,MATCH(F1478,Produtos!$A$2:$A$11,0))</f>
        <v>349.9</v>
      </c>
      <c r="J1478" s="5" t="n">
        <f aca="false">H1478*I1478</f>
        <v>349.9</v>
      </c>
      <c r="K1478" s="5" t="n">
        <f aca="false">INDEX(Produtos!$E$2:$E$11,MATCH(F1478,Produtos!$A$2:$A$11,0))</f>
        <v>215</v>
      </c>
      <c r="L1478" s="5" t="n">
        <f aca="false">H1478*K1478</f>
        <v>215</v>
      </c>
    </row>
    <row r="1479" customFormat="false" ht="15" hidden="false" customHeight="false" outlineLevel="0" collapsed="false">
      <c r="A1479" s="2" t="s">
        <v>1761</v>
      </c>
      <c r="B1479" s="8" t="n">
        <v>46147</v>
      </c>
      <c r="C1479" s="2" t="s">
        <v>100</v>
      </c>
      <c r="D1479" s="3" t="str">
        <f aca="false">INDEX(Vendedores!$C$2:$C$101,MATCH(C1479,Vendedores!$A$2:$A$101,0))</f>
        <v>L03</v>
      </c>
      <c r="E1479" s="3" t="str">
        <f aca="false">INDEX(Lojas!$E$2:$E$11,MATCH(D1479,Lojas!$A$2:$A$11,0))</f>
        <v>Sudeste</v>
      </c>
      <c r="F1479" s="2" t="s">
        <v>275</v>
      </c>
      <c r="G1479" s="3" t="str">
        <f aca="false">INDEX(Produtos!$B$2:$B$11,MATCH(F1479,Produtos!$A$2:$A$11,0))&amp;" "&amp;INDEX(Produtos!$C$2:$C$11,MATCH(F1479,Produtos!$A$2:$A$11,0))</f>
        <v>Controle de Videogame PS5</v>
      </c>
      <c r="H1479" s="2" t="n">
        <v>1</v>
      </c>
      <c r="I1479" s="5" t="n">
        <f aca="false">INDEX(Produtos!$D$2:$D$11,MATCH(F1479,Produtos!$A$2:$A$11,0))</f>
        <v>379.9</v>
      </c>
      <c r="J1479" s="5" t="n">
        <f aca="false">H1479*I1479</f>
        <v>379.9</v>
      </c>
      <c r="K1479" s="5" t="n">
        <f aca="false">INDEX(Produtos!$E$2:$E$11,MATCH(F1479,Produtos!$A$2:$A$11,0))</f>
        <v>235</v>
      </c>
      <c r="L1479" s="5" t="n">
        <f aca="false">H1479*K1479</f>
        <v>235</v>
      </c>
    </row>
    <row r="1480" customFormat="false" ht="15" hidden="false" customHeight="false" outlineLevel="0" collapsed="false">
      <c r="A1480" s="2" t="s">
        <v>1762</v>
      </c>
      <c r="B1480" s="8" t="n">
        <v>46147</v>
      </c>
      <c r="C1480" s="2" t="s">
        <v>207</v>
      </c>
      <c r="D1480" s="3" t="str">
        <f aca="false">INDEX(Vendedores!$C$2:$C$101,MATCH(C1480,Vendedores!$A$2:$A$101,0))</f>
        <v>L09</v>
      </c>
      <c r="E1480" s="3" t="str">
        <f aca="false">INDEX(Lojas!$E$2:$E$11,MATCH(D1480,Lojas!$A$2:$A$11,0))</f>
        <v>Nordeste</v>
      </c>
      <c r="F1480" s="2" t="s">
        <v>265</v>
      </c>
      <c r="G1480" s="3" t="str">
        <f aca="false">INDEX(Produtos!$B$2:$B$11,MATCH(F1480,Produtos!$A$2:$A$11,0))&amp;" "&amp;INDEX(Produtos!$C$2:$C$11,MATCH(F1480,Produtos!$A$2:$A$11,0))</f>
        <v>Fone de Ouvido Headset</v>
      </c>
      <c r="H1480" s="2" t="n">
        <v>2</v>
      </c>
      <c r="I1480" s="5" t="n">
        <f aca="false">INDEX(Produtos!$D$2:$D$11,MATCH(F1480,Produtos!$A$2:$A$11,0))</f>
        <v>249.9</v>
      </c>
      <c r="J1480" s="5" t="n">
        <f aca="false">H1480*I1480</f>
        <v>499.8</v>
      </c>
      <c r="K1480" s="5" t="n">
        <f aca="false">INDEX(Produtos!$E$2:$E$11,MATCH(F1480,Produtos!$A$2:$A$11,0))</f>
        <v>145</v>
      </c>
      <c r="L1480" s="5" t="n">
        <f aca="false">H1480*K1480</f>
        <v>290</v>
      </c>
    </row>
    <row r="1481" customFormat="false" ht="15" hidden="false" customHeight="false" outlineLevel="0" collapsed="false">
      <c r="A1481" s="2" t="s">
        <v>1763</v>
      </c>
      <c r="B1481" s="8" t="n">
        <v>46148</v>
      </c>
      <c r="C1481" s="2" t="s">
        <v>176</v>
      </c>
      <c r="D1481" s="3" t="str">
        <f aca="false">INDEX(Vendedores!$C$2:$C$101,MATCH(C1481,Vendedores!$A$2:$A$101,0))</f>
        <v>L07</v>
      </c>
      <c r="E1481" s="3" t="str">
        <f aca="false">INDEX(Lojas!$E$2:$E$11,MATCH(D1481,Lojas!$A$2:$A$11,0))</f>
        <v>Sul</v>
      </c>
      <c r="F1481" s="2" t="s">
        <v>270</v>
      </c>
      <c r="G1481" s="3" t="str">
        <f aca="false">INDEX(Produtos!$B$2:$B$11,MATCH(F1481,Produtos!$A$2:$A$11,0))&amp;" "&amp;INDEX(Produtos!$C$2:$C$11,MATCH(F1481,Produtos!$A$2:$A$11,0))</f>
        <v>Controle de Videogame Xbox</v>
      </c>
      <c r="H1481" s="2" t="n">
        <v>1</v>
      </c>
      <c r="I1481" s="5" t="n">
        <f aca="false">INDEX(Produtos!$D$2:$D$11,MATCH(F1481,Produtos!$A$2:$A$11,0))</f>
        <v>349.9</v>
      </c>
      <c r="J1481" s="5" t="n">
        <f aca="false">H1481*I1481</f>
        <v>349.9</v>
      </c>
      <c r="K1481" s="5" t="n">
        <f aca="false">INDEX(Produtos!$E$2:$E$11,MATCH(F1481,Produtos!$A$2:$A$11,0))</f>
        <v>215</v>
      </c>
      <c r="L1481" s="5" t="n">
        <f aca="false">H1481*K1481</f>
        <v>215</v>
      </c>
    </row>
    <row r="1482" customFormat="false" ht="15" hidden="false" customHeight="false" outlineLevel="0" collapsed="false">
      <c r="A1482" s="2" t="s">
        <v>1764</v>
      </c>
      <c r="B1482" s="8" t="n">
        <v>46148</v>
      </c>
      <c r="C1482" s="2" t="s">
        <v>60</v>
      </c>
      <c r="D1482" s="3" t="str">
        <f aca="false">INDEX(Vendedores!$C$2:$C$101,MATCH(C1482,Vendedores!$A$2:$A$101,0))</f>
        <v>L01</v>
      </c>
      <c r="E1482" s="3" t="str">
        <f aca="false">INDEX(Lojas!$E$2:$E$11,MATCH(D1482,Lojas!$A$2:$A$11,0))</f>
        <v>Sudeste</v>
      </c>
      <c r="F1482" s="2" t="s">
        <v>273</v>
      </c>
      <c r="G1482" s="3" t="str">
        <f aca="false">INDEX(Produtos!$B$2:$B$11,MATCH(F1482,Produtos!$A$2:$A$11,0))&amp;" "&amp;INDEX(Produtos!$C$2:$C$11,MATCH(F1482,Produtos!$A$2:$A$11,0))</f>
        <v>Controle de Videogame PS4</v>
      </c>
      <c r="H1482" s="2" t="n">
        <v>1</v>
      </c>
      <c r="I1482" s="5" t="n">
        <f aca="false">INDEX(Produtos!$D$2:$D$11,MATCH(F1482,Produtos!$A$2:$A$11,0))</f>
        <v>299.9</v>
      </c>
      <c r="J1482" s="5" t="n">
        <f aca="false">H1482*I1482</f>
        <v>299.9</v>
      </c>
      <c r="K1482" s="5" t="n">
        <f aca="false">INDEX(Produtos!$E$2:$E$11,MATCH(F1482,Produtos!$A$2:$A$11,0))</f>
        <v>175</v>
      </c>
      <c r="L1482" s="5" t="n">
        <f aca="false">H1482*K1482</f>
        <v>175</v>
      </c>
    </row>
    <row r="1483" customFormat="false" ht="15" hidden="false" customHeight="false" outlineLevel="0" collapsed="false">
      <c r="A1483" s="2" t="s">
        <v>1765</v>
      </c>
      <c r="B1483" s="8" t="n">
        <v>46148</v>
      </c>
      <c r="C1483" s="2" t="s">
        <v>199</v>
      </c>
      <c r="D1483" s="3" t="str">
        <f aca="false">INDEX(Vendedores!$C$2:$C$101,MATCH(C1483,Vendedores!$A$2:$A$101,0))</f>
        <v>L08</v>
      </c>
      <c r="E1483" s="3" t="str">
        <f aca="false">INDEX(Lojas!$E$2:$E$11,MATCH(D1483,Lojas!$A$2:$A$11,0))</f>
        <v>Nordeste</v>
      </c>
      <c r="F1483" s="2" t="s">
        <v>270</v>
      </c>
      <c r="G1483" s="3" t="str">
        <f aca="false">INDEX(Produtos!$B$2:$B$11,MATCH(F1483,Produtos!$A$2:$A$11,0))&amp;" "&amp;INDEX(Produtos!$C$2:$C$11,MATCH(F1483,Produtos!$A$2:$A$11,0))</f>
        <v>Controle de Videogame Xbox</v>
      </c>
      <c r="H1483" s="2" t="n">
        <v>1</v>
      </c>
      <c r="I1483" s="5" t="n">
        <f aca="false">INDEX(Produtos!$D$2:$D$11,MATCH(F1483,Produtos!$A$2:$A$11,0))</f>
        <v>349.9</v>
      </c>
      <c r="J1483" s="5" t="n">
        <f aca="false">H1483*I1483</f>
        <v>349.9</v>
      </c>
      <c r="K1483" s="5" t="n">
        <f aca="false">INDEX(Produtos!$E$2:$E$11,MATCH(F1483,Produtos!$A$2:$A$11,0))</f>
        <v>215</v>
      </c>
      <c r="L1483" s="5" t="n">
        <f aca="false">H1483*K1483</f>
        <v>215</v>
      </c>
    </row>
    <row r="1484" customFormat="false" ht="15" hidden="false" customHeight="false" outlineLevel="0" collapsed="false">
      <c r="A1484" s="2" t="s">
        <v>1766</v>
      </c>
      <c r="B1484" s="8" t="n">
        <v>46148</v>
      </c>
      <c r="C1484" s="2" t="s">
        <v>70</v>
      </c>
      <c r="D1484" s="3" t="str">
        <f aca="false">INDEX(Vendedores!$C$2:$C$101,MATCH(C1484,Vendedores!$A$2:$A$101,0))</f>
        <v>L02</v>
      </c>
      <c r="E1484" s="3" t="str">
        <f aca="false">INDEX(Lojas!$E$2:$E$11,MATCH(D1484,Lojas!$A$2:$A$11,0))</f>
        <v>Sudeste</v>
      </c>
      <c r="F1484" s="2" t="s">
        <v>262</v>
      </c>
      <c r="G1484" s="3" t="str">
        <f aca="false">INDEX(Produtos!$B$2:$B$11,MATCH(F1484,Produtos!$A$2:$A$11,0))&amp;" "&amp;INDEX(Produtos!$C$2:$C$11,MATCH(F1484,Produtos!$A$2:$A$11,0))</f>
        <v>Fone de Ouvido De Celular</v>
      </c>
      <c r="H1484" s="2" t="n">
        <v>2</v>
      </c>
      <c r="I1484" s="5" t="n">
        <f aca="false">INDEX(Produtos!$D$2:$D$11,MATCH(F1484,Produtos!$A$2:$A$11,0))</f>
        <v>59.9</v>
      </c>
      <c r="J1484" s="5" t="n">
        <f aca="false">H1484*I1484</f>
        <v>119.8</v>
      </c>
      <c r="K1484" s="5" t="n">
        <f aca="false">INDEX(Produtos!$E$2:$E$11,MATCH(F1484,Produtos!$A$2:$A$11,0))</f>
        <v>28</v>
      </c>
      <c r="L1484" s="5" t="n">
        <f aca="false">H1484*K1484</f>
        <v>56</v>
      </c>
    </row>
    <row r="1485" customFormat="false" ht="15" hidden="false" customHeight="false" outlineLevel="0" collapsed="false">
      <c r="A1485" s="2" t="s">
        <v>1767</v>
      </c>
      <c r="B1485" s="8" t="n">
        <v>46148</v>
      </c>
      <c r="C1485" s="2" t="s">
        <v>237</v>
      </c>
      <c r="D1485" s="3" t="str">
        <f aca="false">INDEX(Vendedores!$C$2:$C$101,MATCH(C1485,Vendedores!$A$2:$A$101,0))</f>
        <v>L10</v>
      </c>
      <c r="E1485" s="3" t="str">
        <f aca="false">INDEX(Lojas!$E$2:$E$11,MATCH(D1485,Lojas!$A$2:$A$11,0))</f>
        <v>Nordeste</v>
      </c>
      <c r="F1485" s="2" t="s">
        <v>255</v>
      </c>
      <c r="G1485" s="3" t="str">
        <f aca="false">INDEX(Produtos!$B$2:$B$11,MATCH(F1485,Produtos!$A$2:$A$11,0))&amp;" "&amp;INDEX(Produtos!$C$2:$C$11,MATCH(F1485,Produtos!$A$2:$A$11,0))</f>
        <v>Notebook Positivo</v>
      </c>
      <c r="H1485" s="2" t="n">
        <v>1</v>
      </c>
      <c r="I1485" s="5" t="n">
        <f aca="false">INDEX(Produtos!$D$2:$D$11,MATCH(F1485,Produtos!$A$2:$A$11,0))</f>
        <v>2199</v>
      </c>
      <c r="J1485" s="5" t="n">
        <f aca="false">H1485*I1485</f>
        <v>2199</v>
      </c>
      <c r="K1485" s="5" t="n">
        <f aca="false">INDEX(Produtos!$E$2:$E$11,MATCH(F1485,Produtos!$A$2:$A$11,0))</f>
        <v>1550</v>
      </c>
      <c r="L1485" s="5" t="n">
        <f aca="false">H1485*K1485</f>
        <v>1550</v>
      </c>
    </row>
    <row r="1486" customFormat="false" ht="15" hidden="false" customHeight="false" outlineLevel="0" collapsed="false">
      <c r="A1486" s="2" t="s">
        <v>1768</v>
      </c>
      <c r="B1486" s="8" t="n">
        <v>46148</v>
      </c>
      <c r="C1486" s="2" t="s">
        <v>205</v>
      </c>
      <c r="D1486" s="3" t="str">
        <f aca="false">INDEX(Vendedores!$C$2:$C$101,MATCH(C1486,Vendedores!$A$2:$A$101,0))</f>
        <v>L09</v>
      </c>
      <c r="E1486" s="3" t="str">
        <f aca="false">INDEX(Lojas!$E$2:$E$11,MATCH(D1486,Lojas!$A$2:$A$11,0))</f>
        <v>Nordeste</v>
      </c>
      <c r="F1486" s="2" t="s">
        <v>262</v>
      </c>
      <c r="G1486" s="3" t="str">
        <f aca="false">INDEX(Produtos!$B$2:$B$11,MATCH(F1486,Produtos!$A$2:$A$11,0))&amp;" "&amp;INDEX(Produtos!$C$2:$C$11,MATCH(F1486,Produtos!$A$2:$A$11,0))</f>
        <v>Fone de Ouvido De Celular</v>
      </c>
      <c r="H1486" s="2" t="n">
        <v>1</v>
      </c>
      <c r="I1486" s="5" t="n">
        <f aca="false">INDEX(Produtos!$D$2:$D$11,MATCH(F1486,Produtos!$A$2:$A$11,0))</f>
        <v>59.9</v>
      </c>
      <c r="J1486" s="5" t="n">
        <f aca="false">H1486*I1486</f>
        <v>59.9</v>
      </c>
      <c r="K1486" s="5" t="n">
        <f aca="false">INDEX(Produtos!$E$2:$E$11,MATCH(F1486,Produtos!$A$2:$A$11,0))</f>
        <v>28</v>
      </c>
      <c r="L1486" s="5" t="n">
        <f aca="false">H1486*K1486</f>
        <v>28</v>
      </c>
    </row>
    <row r="1487" customFormat="false" ht="15" hidden="false" customHeight="false" outlineLevel="0" collapsed="false">
      <c r="A1487" s="2" t="s">
        <v>1769</v>
      </c>
      <c r="B1487" s="8" t="n">
        <v>46148</v>
      </c>
      <c r="C1487" s="2" t="s">
        <v>219</v>
      </c>
      <c r="D1487" s="3" t="str">
        <f aca="false">INDEX(Vendedores!$C$2:$C$101,MATCH(C1487,Vendedores!$A$2:$A$101,0))</f>
        <v>L09</v>
      </c>
      <c r="E1487" s="3" t="str">
        <f aca="false">INDEX(Lojas!$E$2:$E$11,MATCH(D1487,Lojas!$A$2:$A$11,0))</f>
        <v>Nordeste</v>
      </c>
      <c r="F1487" s="2" t="s">
        <v>257</v>
      </c>
      <c r="G1487" s="3" t="str">
        <f aca="false">INDEX(Produtos!$B$2:$B$11,MATCH(F1487,Produtos!$A$2:$A$11,0))&amp;" "&amp;INDEX(Produtos!$C$2:$C$11,MATCH(F1487,Produtos!$A$2:$A$11,0))</f>
        <v>Celular Samsung</v>
      </c>
      <c r="H1487" s="2" t="n">
        <v>1</v>
      </c>
      <c r="I1487" s="5" t="n">
        <f aca="false">INDEX(Produtos!$D$2:$D$11,MATCH(F1487,Produtos!$A$2:$A$11,0))</f>
        <v>2499</v>
      </c>
      <c r="J1487" s="5" t="n">
        <f aca="false">H1487*I1487</f>
        <v>2499</v>
      </c>
      <c r="K1487" s="5" t="n">
        <f aca="false">INDEX(Produtos!$E$2:$E$11,MATCH(F1487,Produtos!$A$2:$A$11,0))</f>
        <v>1800</v>
      </c>
      <c r="L1487" s="5" t="n">
        <f aca="false">H1487*K1487</f>
        <v>1800</v>
      </c>
    </row>
    <row r="1488" customFormat="false" ht="15" hidden="false" customHeight="false" outlineLevel="0" collapsed="false">
      <c r="A1488" s="2" t="s">
        <v>1770</v>
      </c>
      <c r="B1488" s="8" t="n">
        <v>46148</v>
      </c>
      <c r="C1488" s="2" t="s">
        <v>168</v>
      </c>
      <c r="D1488" s="3" t="str">
        <f aca="false">INDEX(Vendedores!$C$2:$C$101,MATCH(C1488,Vendedores!$A$2:$A$101,0))</f>
        <v>L07</v>
      </c>
      <c r="E1488" s="3" t="str">
        <f aca="false">INDEX(Lojas!$E$2:$E$11,MATCH(D1488,Lojas!$A$2:$A$11,0))</f>
        <v>Sul</v>
      </c>
      <c r="F1488" s="2" t="s">
        <v>252</v>
      </c>
      <c r="G1488" s="3" t="str">
        <f aca="false">INDEX(Produtos!$B$2:$B$11,MATCH(F1488,Produtos!$A$2:$A$11,0))&amp;" "&amp;INDEX(Produtos!$C$2:$C$11,MATCH(F1488,Produtos!$A$2:$A$11,0))</f>
        <v>Notebook Lenovo</v>
      </c>
      <c r="H1488" s="2" t="n">
        <v>1</v>
      </c>
      <c r="I1488" s="5" t="n">
        <f aca="false">INDEX(Produtos!$D$2:$D$11,MATCH(F1488,Produtos!$A$2:$A$11,0))</f>
        <v>3199</v>
      </c>
      <c r="J1488" s="5" t="n">
        <f aca="false">H1488*I1488</f>
        <v>3199</v>
      </c>
      <c r="K1488" s="5" t="n">
        <f aca="false">INDEX(Produtos!$E$2:$E$11,MATCH(F1488,Produtos!$A$2:$A$11,0))</f>
        <v>2350</v>
      </c>
      <c r="L1488" s="5" t="n">
        <f aca="false">H1488*K1488</f>
        <v>2350</v>
      </c>
    </row>
    <row r="1489" customFormat="false" ht="15" hidden="false" customHeight="false" outlineLevel="0" collapsed="false">
      <c r="A1489" s="2" t="s">
        <v>1771</v>
      </c>
      <c r="B1489" s="8" t="n">
        <v>46148</v>
      </c>
      <c r="C1489" s="2" t="s">
        <v>166</v>
      </c>
      <c r="D1489" s="3" t="str">
        <f aca="false">INDEX(Vendedores!$C$2:$C$101,MATCH(C1489,Vendedores!$A$2:$A$101,0))</f>
        <v>L06</v>
      </c>
      <c r="E1489" s="3" t="str">
        <f aca="false">INDEX(Lojas!$E$2:$E$11,MATCH(D1489,Lojas!$A$2:$A$11,0))</f>
        <v>Sul</v>
      </c>
      <c r="F1489" s="2" t="s">
        <v>267</v>
      </c>
      <c r="G1489" s="3" t="str">
        <f aca="false">INDEX(Produtos!$B$2:$B$11,MATCH(F1489,Produtos!$A$2:$A$11,0))&amp;" "&amp;INDEX(Produtos!$C$2:$C$11,MATCH(F1489,Produtos!$A$2:$A$11,0))</f>
        <v>Carregador de Celular Tipo C</v>
      </c>
      <c r="H1489" s="2" t="n">
        <v>1</v>
      </c>
      <c r="I1489" s="5" t="n">
        <f aca="false">INDEX(Produtos!$D$2:$D$11,MATCH(F1489,Produtos!$A$2:$A$11,0))</f>
        <v>44.9</v>
      </c>
      <c r="J1489" s="5" t="n">
        <f aca="false">H1489*I1489</f>
        <v>44.9</v>
      </c>
      <c r="K1489" s="5" t="n">
        <f aca="false">INDEX(Produtos!$E$2:$E$11,MATCH(F1489,Produtos!$A$2:$A$11,0))</f>
        <v>18</v>
      </c>
      <c r="L1489" s="5" t="n">
        <f aca="false">H1489*K1489</f>
        <v>18</v>
      </c>
    </row>
    <row r="1490" customFormat="false" ht="15" hidden="false" customHeight="false" outlineLevel="0" collapsed="false">
      <c r="A1490" s="2" t="s">
        <v>1772</v>
      </c>
      <c r="B1490" s="8" t="n">
        <v>46148</v>
      </c>
      <c r="C1490" s="2" t="s">
        <v>225</v>
      </c>
      <c r="D1490" s="3" t="str">
        <f aca="false">INDEX(Vendedores!$C$2:$C$101,MATCH(C1490,Vendedores!$A$2:$A$101,0))</f>
        <v>L10</v>
      </c>
      <c r="E1490" s="3" t="str">
        <f aca="false">INDEX(Lojas!$E$2:$E$11,MATCH(D1490,Lojas!$A$2:$A$11,0))</f>
        <v>Nordeste</v>
      </c>
      <c r="F1490" s="2" t="s">
        <v>255</v>
      </c>
      <c r="G1490" s="3" t="str">
        <f aca="false">INDEX(Produtos!$B$2:$B$11,MATCH(F1490,Produtos!$A$2:$A$11,0))&amp;" "&amp;INDEX(Produtos!$C$2:$C$11,MATCH(F1490,Produtos!$A$2:$A$11,0))</f>
        <v>Notebook Positivo</v>
      </c>
      <c r="H1490" s="2" t="n">
        <v>3</v>
      </c>
      <c r="I1490" s="5" t="n">
        <f aca="false">INDEX(Produtos!$D$2:$D$11,MATCH(F1490,Produtos!$A$2:$A$11,0))</f>
        <v>2199</v>
      </c>
      <c r="J1490" s="5" t="n">
        <f aca="false">H1490*I1490</f>
        <v>6597</v>
      </c>
      <c r="K1490" s="5" t="n">
        <f aca="false">INDEX(Produtos!$E$2:$E$11,MATCH(F1490,Produtos!$A$2:$A$11,0))</f>
        <v>1550</v>
      </c>
      <c r="L1490" s="5" t="n">
        <f aca="false">H1490*K1490</f>
        <v>4650</v>
      </c>
    </row>
    <row r="1491" customFormat="false" ht="15" hidden="false" customHeight="false" outlineLevel="0" collapsed="false">
      <c r="A1491" s="2" t="s">
        <v>1773</v>
      </c>
      <c r="B1491" s="8" t="n">
        <v>46148</v>
      </c>
      <c r="C1491" s="2" t="s">
        <v>217</v>
      </c>
      <c r="D1491" s="3" t="str">
        <f aca="false">INDEX(Vendedores!$C$2:$C$101,MATCH(C1491,Vendedores!$A$2:$A$101,0))</f>
        <v>L09</v>
      </c>
      <c r="E1491" s="3" t="str">
        <f aca="false">INDEX(Lojas!$E$2:$E$11,MATCH(D1491,Lojas!$A$2:$A$11,0))</f>
        <v>Nordeste</v>
      </c>
      <c r="F1491" s="2" t="s">
        <v>252</v>
      </c>
      <c r="G1491" s="3" t="str">
        <f aca="false">INDEX(Produtos!$B$2:$B$11,MATCH(F1491,Produtos!$A$2:$A$11,0))&amp;" "&amp;INDEX(Produtos!$C$2:$C$11,MATCH(F1491,Produtos!$A$2:$A$11,0))</f>
        <v>Notebook Lenovo</v>
      </c>
      <c r="H1491" s="2" t="n">
        <v>1</v>
      </c>
      <c r="I1491" s="5" t="n">
        <f aca="false">INDEX(Produtos!$D$2:$D$11,MATCH(F1491,Produtos!$A$2:$A$11,0))</f>
        <v>3199</v>
      </c>
      <c r="J1491" s="5" t="n">
        <f aca="false">H1491*I1491</f>
        <v>3199</v>
      </c>
      <c r="K1491" s="5" t="n">
        <f aca="false">INDEX(Produtos!$E$2:$E$11,MATCH(F1491,Produtos!$A$2:$A$11,0))</f>
        <v>2350</v>
      </c>
      <c r="L1491" s="5" t="n">
        <f aca="false">H1491*K1491</f>
        <v>2350</v>
      </c>
    </row>
    <row r="1492" customFormat="false" ht="15" hidden="false" customHeight="false" outlineLevel="0" collapsed="false">
      <c r="A1492" s="2" t="s">
        <v>1774</v>
      </c>
      <c r="B1492" s="8" t="n">
        <v>46148</v>
      </c>
      <c r="C1492" s="2" t="s">
        <v>179</v>
      </c>
      <c r="D1492" s="3" t="str">
        <f aca="false">INDEX(Vendedores!$C$2:$C$101,MATCH(C1492,Vendedores!$A$2:$A$101,0))</f>
        <v>L07</v>
      </c>
      <c r="E1492" s="3" t="str">
        <f aca="false">INDEX(Lojas!$E$2:$E$11,MATCH(D1492,Lojas!$A$2:$A$11,0))</f>
        <v>Sul</v>
      </c>
      <c r="F1492" s="2" t="s">
        <v>262</v>
      </c>
      <c r="G1492" s="3" t="str">
        <f aca="false">INDEX(Produtos!$B$2:$B$11,MATCH(F1492,Produtos!$A$2:$A$11,0))&amp;" "&amp;INDEX(Produtos!$C$2:$C$11,MATCH(F1492,Produtos!$A$2:$A$11,0))</f>
        <v>Fone de Ouvido De Celular</v>
      </c>
      <c r="H1492" s="2" t="n">
        <v>1</v>
      </c>
      <c r="I1492" s="5" t="n">
        <f aca="false">INDEX(Produtos!$D$2:$D$11,MATCH(F1492,Produtos!$A$2:$A$11,0))</f>
        <v>59.9</v>
      </c>
      <c r="J1492" s="5" t="n">
        <f aca="false">H1492*I1492</f>
        <v>59.9</v>
      </c>
      <c r="K1492" s="5" t="n">
        <f aca="false">INDEX(Produtos!$E$2:$E$11,MATCH(F1492,Produtos!$A$2:$A$11,0))</f>
        <v>28</v>
      </c>
      <c r="L1492" s="5" t="n">
        <f aca="false">H1492*K1492</f>
        <v>28</v>
      </c>
    </row>
    <row r="1493" customFormat="false" ht="15" hidden="false" customHeight="false" outlineLevel="0" collapsed="false">
      <c r="A1493" s="2" t="s">
        <v>1775</v>
      </c>
      <c r="B1493" s="8" t="n">
        <v>46148</v>
      </c>
      <c r="C1493" s="2" t="s">
        <v>116</v>
      </c>
      <c r="D1493" s="3" t="str">
        <f aca="false">INDEX(Vendedores!$C$2:$C$101,MATCH(C1493,Vendedores!$A$2:$A$101,0))</f>
        <v>L04</v>
      </c>
      <c r="E1493" s="3" t="str">
        <f aca="false">INDEX(Lojas!$E$2:$E$11,MATCH(D1493,Lojas!$A$2:$A$11,0))</f>
        <v>Sudeste</v>
      </c>
      <c r="F1493" s="2" t="s">
        <v>270</v>
      </c>
      <c r="G1493" s="3" t="str">
        <f aca="false">INDEX(Produtos!$B$2:$B$11,MATCH(F1493,Produtos!$A$2:$A$11,0))&amp;" "&amp;INDEX(Produtos!$C$2:$C$11,MATCH(F1493,Produtos!$A$2:$A$11,0))</f>
        <v>Controle de Videogame Xbox</v>
      </c>
      <c r="H1493" s="2" t="n">
        <v>2</v>
      </c>
      <c r="I1493" s="5" t="n">
        <f aca="false">INDEX(Produtos!$D$2:$D$11,MATCH(F1493,Produtos!$A$2:$A$11,0))</f>
        <v>349.9</v>
      </c>
      <c r="J1493" s="5" t="n">
        <f aca="false">H1493*I1493</f>
        <v>699.8</v>
      </c>
      <c r="K1493" s="5" t="n">
        <f aca="false">INDEX(Produtos!$E$2:$E$11,MATCH(F1493,Produtos!$A$2:$A$11,0))</f>
        <v>215</v>
      </c>
      <c r="L1493" s="5" t="n">
        <f aca="false">H1493*K1493</f>
        <v>430</v>
      </c>
    </row>
    <row r="1494" customFormat="false" ht="15" hidden="false" customHeight="false" outlineLevel="0" collapsed="false">
      <c r="A1494" s="2" t="s">
        <v>1776</v>
      </c>
      <c r="B1494" s="8" t="n">
        <v>46148</v>
      </c>
      <c r="C1494" s="2" t="s">
        <v>70</v>
      </c>
      <c r="D1494" s="3" t="str">
        <f aca="false">INDEX(Vendedores!$C$2:$C$101,MATCH(C1494,Vendedores!$A$2:$A$101,0))</f>
        <v>L02</v>
      </c>
      <c r="E1494" s="3" t="str">
        <f aca="false">INDEX(Lojas!$E$2:$E$11,MATCH(D1494,Lojas!$A$2:$A$11,0))</f>
        <v>Sudeste</v>
      </c>
      <c r="F1494" s="2" t="s">
        <v>273</v>
      </c>
      <c r="G1494" s="3" t="str">
        <f aca="false">INDEX(Produtos!$B$2:$B$11,MATCH(F1494,Produtos!$A$2:$A$11,0))&amp;" "&amp;INDEX(Produtos!$C$2:$C$11,MATCH(F1494,Produtos!$A$2:$A$11,0))</f>
        <v>Controle de Videogame PS4</v>
      </c>
      <c r="H1494" s="2" t="n">
        <v>1</v>
      </c>
      <c r="I1494" s="5" t="n">
        <f aca="false">INDEX(Produtos!$D$2:$D$11,MATCH(F1494,Produtos!$A$2:$A$11,0))</f>
        <v>299.9</v>
      </c>
      <c r="J1494" s="5" t="n">
        <f aca="false">H1494*I1494</f>
        <v>299.9</v>
      </c>
      <c r="K1494" s="5" t="n">
        <f aca="false">INDEX(Produtos!$E$2:$E$11,MATCH(F1494,Produtos!$A$2:$A$11,0))</f>
        <v>175</v>
      </c>
      <c r="L1494" s="5" t="n">
        <f aca="false">H1494*K1494</f>
        <v>175</v>
      </c>
    </row>
    <row r="1495" customFormat="false" ht="15" hidden="false" customHeight="false" outlineLevel="0" collapsed="false">
      <c r="A1495" s="2" t="s">
        <v>1777</v>
      </c>
      <c r="B1495" s="8" t="n">
        <v>46148</v>
      </c>
      <c r="C1495" s="2" t="s">
        <v>70</v>
      </c>
      <c r="D1495" s="3" t="str">
        <f aca="false">INDEX(Vendedores!$C$2:$C$101,MATCH(C1495,Vendedores!$A$2:$A$101,0))</f>
        <v>L02</v>
      </c>
      <c r="E1495" s="3" t="str">
        <f aca="false">INDEX(Lojas!$E$2:$E$11,MATCH(D1495,Lojas!$A$2:$A$11,0))</f>
        <v>Sudeste</v>
      </c>
      <c r="F1495" s="2" t="s">
        <v>260</v>
      </c>
      <c r="G1495" s="3" t="str">
        <f aca="false">INDEX(Produtos!$B$2:$B$11,MATCH(F1495,Produtos!$A$2:$A$11,0))&amp;" "&amp;INDEX(Produtos!$C$2:$C$11,MATCH(F1495,Produtos!$A$2:$A$11,0))</f>
        <v>Celular Motorola</v>
      </c>
      <c r="H1495" s="2" t="n">
        <v>1</v>
      </c>
      <c r="I1495" s="5" t="n">
        <f aca="false">INDEX(Produtos!$D$2:$D$11,MATCH(F1495,Produtos!$A$2:$A$11,0))</f>
        <v>1799</v>
      </c>
      <c r="J1495" s="5" t="n">
        <f aca="false">H1495*I1495</f>
        <v>1799</v>
      </c>
      <c r="K1495" s="5" t="n">
        <f aca="false">INDEX(Produtos!$E$2:$E$11,MATCH(F1495,Produtos!$A$2:$A$11,0))</f>
        <v>1250</v>
      </c>
      <c r="L1495" s="5" t="n">
        <f aca="false">H1495*K1495</f>
        <v>1250</v>
      </c>
    </row>
    <row r="1496" customFormat="false" ht="15" hidden="false" customHeight="false" outlineLevel="0" collapsed="false">
      <c r="A1496" s="2" t="s">
        <v>1778</v>
      </c>
      <c r="B1496" s="8" t="n">
        <v>46148</v>
      </c>
      <c r="C1496" s="2" t="s">
        <v>102</v>
      </c>
      <c r="D1496" s="3" t="str">
        <f aca="false">INDEX(Vendedores!$C$2:$C$101,MATCH(C1496,Vendedores!$A$2:$A$101,0))</f>
        <v>L03</v>
      </c>
      <c r="E1496" s="3" t="str">
        <f aca="false">INDEX(Lojas!$E$2:$E$11,MATCH(D1496,Lojas!$A$2:$A$11,0))</f>
        <v>Sudeste</v>
      </c>
      <c r="F1496" s="2" t="s">
        <v>252</v>
      </c>
      <c r="G1496" s="3" t="str">
        <f aca="false">INDEX(Produtos!$B$2:$B$11,MATCH(F1496,Produtos!$A$2:$A$11,0))&amp;" "&amp;INDEX(Produtos!$C$2:$C$11,MATCH(F1496,Produtos!$A$2:$A$11,0))</f>
        <v>Notebook Lenovo</v>
      </c>
      <c r="H1496" s="2" t="n">
        <v>1</v>
      </c>
      <c r="I1496" s="5" t="n">
        <f aca="false">INDEX(Produtos!$D$2:$D$11,MATCH(F1496,Produtos!$A$2:$A$11,0))</f>
        <v>3199</v>
      </c>
      <c r="J1496" s="5" t="n">
        <f aca="false">H1496*I1496</f>
        <v>3199</v>
      </c>
      <c r="K1496" s="5" t="n">
        <f aca="false">INDEX(Produtos!$E$2:$E$11,MATCH(F1496,Produtos!$A$2:$A$11,0))</f>
        <v>2350</v>
      </c>
      <c r="L1496" s="5" t="n">
        <f aca="false">H1496*K1496</f>
        <v>2350</v>
      </c>
    </row>
    <row r="1497" customFormat="false" ht="15" hidden="false" customHeight="false" outlineLevel="0" collapsed="false">
      <c r="A1497" s="2" t="s">
        <v>1779</v>
      </c>
      <c r="B1497" s="8" t="n">
        <v>46149</v>
      </c>
      <c r="C1497" s="2" t="s">
        <v>243</v>
      </c>
      <c r="D1497" s="3" t="str">
        <f aca="false">INDEX(Vendedores!$C$2:$C$101,MATCH(C1497,Vendedores!$A$2:$A$101,0))</f>
        <v>L10</v>
      </c>
      <c r="E1497" s="3" t="str">
        <f aca="false">INDEX(Lojas!$E$2:$E$11,MATCH(D1497,Lojas!$A$2:$A$11,0))</f>
        <v>Nordeste</v>
      </c>
      <c r="F1497" s="2" t="s">
        <v>275</v>
      </c>
      <c r="G1497" s="3" t="str">
        <f aca="false">INDEX(Produtos!$B$2:$B$11,MATCH(F1497,Produtos!$A$2:$A$11,0))&amp;" "&amp;INDEX(Produtos!$C$2:$C$11,MATCH(F1497,Produtos!$A$2:$A$11,0))</f>
        <v>Controle de Videogame PS5</v>
      </c>
      <c r="H1497" s="2" t="n">
        <v>1</v>
      </c>
      <c r="I1497" s="5" t="n">
        <f aca="false">INDEX(Produtos!$D$2:$D$11,MATCH(F1497,Produtos!$A$2:$A$11,0))</f>
        <v>379.9</v>
      </c>
      <c r="J1497" s="5" t="n">
        <f aca="false">H1497*I1497</f>
        <v>379.9</v>
      </c>
      <c r="K1497" s="5" t="n">
        <f aca="false">INDEX(Produtos!$E$2:$E$11,MATCH(F1497,Produtos!$A$2:$A$11,0))</f>
        <v>235</v>
      </c>
      <c r="L1497" s="5" t="n">
        <f aca="false">H1497*K1497</f>
        <v>235</v>
      </c>
    </row>
    <row r="1498" customFormat="false" ht="15" hidden="false" customHeight="false" outlineLevel="0" collapsed="false">
      <c r="A1498" s="2" t="s">
        <v>1780</v>
      </c>
      <c r="B1498" s="8" t="n">
        <v>46149</v>
      </c>
      <c r="C1498" s="2" t="s">
        <v>114</v>
      </c>
      <c r="D1498" s="3" t="str">
        <f aca="false">INDEX(Vendedores!$C$2:$C$101,MATCH(C1498,Vendedores!$A$2:$A$101,0))</f>
        <v>L04</v>
      </c>
      <c r="E1498" s="3" t="str">
        <f aca="false">INDEX(Lojas!$E$2:$E$11,MATCH(D1498,Lojas!$A$2:$A$11,0))</f>
        <v>Sudeste</v>
      </c>
      <c r="F1498" s="2" t="s">
        <v>273</v>
      </c>
      <c r="G1498" s="3" t="str">
        <f aca="false">INDEX(Produtos!$B$2:$B$11,MATCH(F1498,Produtos!$A$2:$A$11,0))&amp;" "&amp;INDEX(Produtos!$C$2:$C$11,MATCH(F1498,Produtos!$A$2:$A$11,0))</f>
        <v>Controle de Videogame PS4</v>
      </c>
      <c r="H1498" s="2" t="n">
        <v>2</v>
      </c>
      <c r="I1498" s="5" t="n">
        <f aca="false">INDEX(Produtos!$D$2:$D$11,MATCH(F1498,Produtos!$A$2:$A$11,0))</f>
        <v>299.9</v>
      </c>
      <c r="J1498" s="5" t="n">
        <f aca="false">H1498*I1498</f>
        <v>599.8</v>
      </c>
      <c r="K1498" s="5" t="n">
        <f aca="false">INDEX(Produtos!$E$2:$E$11,MATCH(F1498,Produtos!$A$2:$A$11,0))</f>
        <v>175</v>
      </c>
      <c r="L1498" s="5" t="n">
        <f aca="false">H1498*K1498</f>
        <v>350</v>
      </c>
    </row>
    <row r="1499" customFormat="false" ht="15" hidden="false" customHeight="false" outlineLevel="0" collapsed="false">
      <c r="A1499" s="2" t="s">
        <v>1781</v>
      </c>
      <c r="B1499" s="8" t="n">
        <v>46149</v>
      </c>
      <c r="C1499" s="2" t="s">
        <v>237</v>
      </c>
      <c r="D1499" s="3" t="str">
        <f aca="false">INDEX(Vendedores!$C$2:$C$101,MATCH(C1499,Vendedores!$A$2:$A$101,0))</f>
        <v>L10</v>
      </c>
      <c r="E1499" s="3" t="str">
        <f aca="false">INDEX(Lojas!$E$2:$E$11,MATCH(D1499,Lojas!$A$2:$A$11,0))</f>
        <v>Nordeste</v>
      </c>
      <c r="F1499" s="2" t="s">
        <v>270</v>
      </c>
      <c r="G1499" s="3" t="str">
        <f aca="false">INDEX(Produtos!$B$2:$B$11,MATCH(F1499,Produtos!$A$2:$A$11,0))&amp;" "&amp;INDEX(Produtos!$C$2:$C$11,MATCH(F1499,Produtos!$A$2:$A$11,0))</f>
        <v>Controle de Videogame Xbox</v>
      </c>
      <c r="H1499" s="2" t="n">
        <v>2</v>
      </c>
      <c r="I1499" s="5" t="n">
        <f aca="false">INDEX(Produtos!$D$2:$D$11,MATCH(F1499,Produtos!$A$2:$A$11,0))</f>
        <v>349.9</v>
      </c>
      <c r="J1499" s="5" t="n">
        <f aca="false">H1499*I1499</f>
        <v>699.8</v>
      </c>
      <c r="K1499" s="5" t="n">
        <f aca="false">INDEX(Produtos!$E$2:$E$11,MATCH(F1499,Produtos!$A$2:$A$11,0))</f>
        <v>215</v>
      </c>
      <c r="L1499" s="5" t="n">
        <f aca="false">H1499*K1499</f>
        <v>430</v>
      </c>
    </row>
    <row r="1500" customFormat="false" ht="15" hidden="false" customHeight="false" outlineLevel="0" collapsed="false">
      <c r="A1500" s="2" t="s">
        <v>1782</v>
      </c>
      <c r="B1500" s="8" t="n">
        <v>46149</v>
      </c>
      <c r="C1500" s="2" t="s">
        <v>102</v>
      </c>
      <c r="D1500" s="3" t="str">
        <f aca="false">INDEX(Vendedores!$C$2:$C$101,MATCH(C1500,Vendedores!$A$2:$A$101,0))</f>
        <v>L03</v>
      </c>
      <c r="E1500" s="3" t="str">
        <f aca="false">INDEX(Lojas!$E$2:$E$11,MATCH(D1500,Lojas!$A$2:$A$11,0))</f>
        <v>Sudeste</v>
      </c>
      <c r="F1500" s="2" t="s">
        <v>275</v>
      </c>
      <c r="G1500" s="3" t="str">
        <f aca="false">INDEX(Produtos!$B$2:$B$11,MATCH(F1500,Produtos!$A$2:$A$11,0))&amp;" "&amp;INDEX(Produtos!$C$2:$C$11,MATCH(F1500,Produtos!$A$2:$A$11,0))</f>
        <v>Controle de Videogame PS5</v>
      </c>
      <c r="H1500" s="2" t="n">
        <v>1</v>
      </c>
      <c r="I1500" s="5" t="n">
        <f aca="false">INDEX(Produtos!$D$2:$D$11,MATCH(F1500,Produtos!$A$2:$A$11,0))</f>
        <v>379.9</v>
      </c>
      <c r="J1500" s="5" t="n">
        <f aca="false">H1500*I1500</f>
        <v>379.9</v>
      </c>
      <c r="K1500" s="5" t="n">
        <f aca="false">INDEX(Produtos!$E$2:$E$11,MATCH(F1500,Produtos!$A$2:$A$11,0))</f>
        <v>235</v>
      </c>
      <c r="L1500" s="5" t="n">
        <f aca="false">H1500*K1500</f>
        <v>235</v>
      </c>
    </row>
    <row r="1501" customFormat="false" ht="15" hidden="false" customHeight="false" outlineLevel="0" collapsed="false">
      <c r="A1501" s="2" t="s">
        <v>1783</v>
      </c>
      <c r="B1501" s="8" t="n">
        <v>46149</v>
      </c>
      <c r="C1501" s="2" t="s">
        <v>193</v>
      </c>
      <c r="D1501" s="3" t="str">
        <f aca="false">INDEX(Vendedores!$C$2:$C$101,MATCH(C1501,Vendedores!$A$2:$A$101,0))</f>
        <v>L08</v>
      </c>
      <c r="E1501" s="3" t="str">
        <f aca="false">INDEX(Lojas!$E$2:$E$11,MATCH(D1501,Lojas!$A$2:$A$11,0))</f>
        <v>Nordeste</v>
      </c>
      <c r="F1501" s="2" t="s">
        <v>255</v>
      </c>
      <c r="G1501" s="3" t="str">
        <f aca="false">INDEX(Produtos!$B$2:$B$11,MATCH(F1501,Produtos!$A$2:$A$11,0))&amp;" "&amp;INDEX(Produtos!$C$2:$C$11,MATCH(F1501,Produtos!$A$2:$A$11,0))</f>
        <v>Notebook Positivo</v>
      </c>
      <c r="H1501" s="2" t="n">
        <v>3</v>
      </c>
      <c r="I1501" s="5" t="n">
        <f aca="false">INDEX(Produtos!$D$2:$D$11,MATCH(F1501,Produtos!$A$2:$A$11,0))</f>
        <v>2199</v>
      </c>
      <c r="J1501" s="5" t="n">
        <f aca="false">H1501*I1501</f>
        <v>6597</v>
      </c>
      <c r="K1501" s="5" t="n">
        <f aca="false">INDEX(Produtos!$E$2:$E$11,MATCH(F1501,Produtos!$A$2:$A$11,0))</f>
        <v>1550</v>
      </c>
      <c r="L1501" s="5" t="n">
        <f aca="false">H1501*K1501</f>
        <v>4650</v>
      </c>
    </row>
    <row r="1502" customFormat="false" ht="15" hidden="false" customHeight="false" outlineLevel="0" collapsed="false">
      <c r="A1502" s="2" t="s">
        <v>1784</v>
      </c>
      <c r="B1502" s="8" t="n">
        <v>46149</v>
      </c>
      <c r="C1502" s="2" t="s">
        <v>118</v>
      </c>
      <c r="D1502" s="3" t="str">
        <f aca="false">INDEX(Vendedores!$C$2:$C$101,MATCH(C1502,Vendedores!$A$2:$A$101,0))</f>
        <v>L04</v>
      </c>
      <c r="E1502" s="3" t="str">
        <f aca="false">INDEX(Lojas!$E$2:$E$11,MATCH(D1502,Lojas!$A$2:$A$11,0))</f>
        <v>Sudeste</v>
      </c>
      <c r="F1502" s="2" t="s">
        <v>252</v>
      </c>
      <c r="G1502" s="3" t="str">
        <f aca="false">INDEX(Produtos!$B$2:$B$11,MATCH(F1502,Produtos!$A$2:$A$11,0))&amp;" "&amp;INDEX(Produtos!$C$2:$C$11,MATCH(F1502,Produtos!$A$2:$A$11,0))</f>
        <v>Notebook Lenovo</v>
      </c>
      <c r="H1502" s="2" t="n">
        <v>1</v>
      </c>
      <c r="I1502" s="5" t="n">
        <f aca="false">INDEX(Produtos!$D$2:$D$11,MATCH(F1502,Produtos!$A$2:$A$11,0))</f>
        <v>3199</v>
      </c>
      <c r="J1502" s="5" t="n">
        <f aca="false">H1502*I1502</f>
        <v>3199</v>
      </c>
      <c r="K1502" s="5" t="n">
        <f aca="false">INDEX(Produtos!$E$2:$E$11,MATCH(F1502,Produtos!$A$2:$A$11,0))</f>
        <v>2350</v>
      </c>
      <c r="L1502" s="5" t="n">
        <f aca="false">H1502*K1502</f>
        <v>2350</v>
      </c>
    </row>
    <row r="1503" customFormat="false" ht="15" hidden="false" customHeight="false" outlineLevel="0" collapsed="false">
      <c r="A1503" s="2" t="s">
        <v>1785</v>
      </c>
      <c r="B1503" s="8" t="n">
        <v>46149</v>
      </c>
      <c r="C1503" s="2" t="s">
        <v>160</v>
      </c>
      <c r="D1503" s="3" t="str">
        <f aca="false">INDEX(Vendedores!$C$2:$C$101,MATCH(C1503,Vendedores!$A$2:$A$101,0))</f>
        <v>L06</v>
      </c>
      <c r="E1503" s="3" t="str">
        <f aca="false">INDEX(Lojas!$E$2:$E$11,MATCH(D1503,Lojas!$A$2:$A$11,0))</f>
        <v>Sul</v>
      </c>
      <c r="F1503" s="2" t="s">
        <v>275</v>
      </c>
      <c r="G1503" s="3" t="str">
        <f aca="false">INDEX(Produtos!$B$2:$B$11,MATCH(F1503,Produtos!$A$2:$A$11,0))&amp;" "&amp;INDEX(Produtos!$C$2:$C$11,MATCH(F1503,Produtos!$A$2:$A$11,0))</f>
        <v>Controle de Videogame PS5</v>
      </c>
      <c r="H1503" s="2" t="n">
        <v>1</v>
      </c>
      <c r="I1503" s="5" t="n">
        <f aca="false">INDEX(Produtos!$D$2:$D$11,MATCH(F1503,Produtos!$A$2:$A$11,0))</f>
        <v>379.9</v>
      </c>
      <c r="J1503" s="5" t="n">
        <f aca="false">H1503*I1503</f>
        <v>379.9</v>
      </c>
      <c r="K1503" s="5" t="n">
        <f aca="false">INDEX(Produtos!$E$2:$E$11,MATCH(F1503,Produtos!$A$2:$A$11,0))</f>
        <v>235</v>
      </c>
      <c r="L1503" s="5" t="n">
        <f aca="false">H1503*K1503</f>
        <v>235</v>
      </c>
    </row>
    <row r="1504" customFormat="false" ht="15" hidden="false" customHeight="false" outlineLevel="0" collapsed="false">
      <c r="A1504" s="2" t="s">
        <v>1786</v>
      </c>
      <c r="B1504" s="8" t="n">
        <v>46149</v>
      </c>
      <c r="C1504" s="2" t="s">
        <v>199</v>
      </c>
      <c r="D1504" s="3" t="str">
        <f aca="false">INDEX(Vendedores!$C$2:$C$101,MATCH(C1504,Vendedores!$A$2:$A$101,0))</f>
        <v>L08</v>
      </c>
      <c r="E1504" s="3" t="str">
        <f aca="false">INDEX(Lojas!$E$2:$E$11,MATCH(D1504,Lojas!$A$2:$A$11,0))</f>
        <v>Nordeste</v>
      </c>
      <c r="F1504" s="2" t="s">
        <v>260</v>
      </c>
      <c r="G1504" s="3" t="str">
        <f aca="false">INDEX(Produtos!$B$2:$B$11,MATCH(F1504,Produtos!$A$2:$A$11,0))&amp;" "&amp;INDEX(Produtos!$C$2:$C$11,MATCH(F1504,Produtos!$A$2:$A$11,0))</f>
        <v>Celular Motorola</v>
      </c>
      <c r="H1504" s="2" t="n">
        <v>1</v>
      </c>
      <c r="I1504" s="5" t="n">
        <f aca="false">INDEX(Produtos!$D$2:$D$11,MATCH(F1504,Produtos!$A$2:$A$11,0))</f>
        <v>1799</v>
      </c>
      <c r="J1504" s="5" t="n">
        <f aca="false">H1504*I1504</f>
        <v>1799</v>
      </c>
      <c r="K1504" s="5" t="n">
        <f aca="false">INDEX(Produtos!$E$2:$E$11,MATCH(F1504,Produtos!$A$2:$A$11,0))</f>
        <v>1250</v>
      </c>
      <c r="L1504" s="5" t="n">
        <f aca="false">H1504*K1504</f>
        <v>1250</v>
      </c>
    </row>
    <row r="1505" customFormat="false" ht="15" hidden="false" customHeight="false" outlineLevel="0" collapsed="false">
      <c r="A1505" s="2" t="s">
        <v>1787</v>
      </c>
      <c r="B1505" s="8" t="n">
        <v>46149</v>
      </c>
      <c r="C1505" s="2" t="s">
        <v>158</v>
      </c>
      <c r="D1505" s="3" t="str">
        <f aca="false">INDEX(Vendedores!$C$2:$C$101,MATCH(C1505,Vendedores!$A$2:$A$101,0))</f>
        <v>L06</v>
      </c>
      <c r="E1505" s="3" t="str">
        <f aca="false">INDEX(Lojas!$E$2:$E$11,MATCH(D1505,Lojas!$A$2:$A$11,0))</f>
        <v>Sul</v>
      </c>
      <c r="F1505" s="2" t="s">
        <v>262</v>
      </c>
      <c r="G1505" s="3" t="str">
        <f aca="false">INDEX(Produtos!$B$2:$B$11,MATCH(F1505,Produtos!$A$2:$A$11,0))&amp;" "&amp;INDEX(Produtos!$C$2:$C$11,MATCH(F1505,Produtos!$A$2:$A$11,0))</f>
        <v>Fone de Ouvido De Celular</v>
      </c>
      <c r="H1505" s="2" t="n">
        <v>2</v>
      </c>
      <c r="I1505" s="5" t="n">
        <f aca="false">INDEX(Produtos!$D$2:$D$11,MATCH(F1505,Produtos!$A$2:$A$11,0))</f>
        <v>59.9</v>
      </c>
      <c r="J1505" s="5" t="n">
        <f aca="false">H1505*I1505</f>
        <v>119.8</v>
      </c>
      <c r="K1505" s="5" t="n">
        <f aca="false">INDEX(Produtos!$E$2:$E$11,MATCH(F1505,Produtos!$A$2:$A$11,0))</f>
        <v>28</v>
      </c>
      <c r="L1505" s="5" t="n">
        <f aca="false">H1505*K1505</f>
        <v>56</v>
      </c>
    </row>
    <row r="1506" customFormat="false" ht="15" hidden="false" customHeight="false" outlineLevel="0" collapsed="false">
      <c r="A1506" s="2" t="s">
        <v>1788</v>
      </c>
      <c r="B1506" s="8" t="n">
        <v>46149</v>
      </c>
      <c r="C1506" s="2" t="s">
        <v>235</v>
      </c>
      <c r="D1506" s="3" t="str">
        <f aca="false">INDEX(Vendedores!$C$2:$C$101,MATCH(C1506,Vendedores!$A$2:$A$101,0))</f>
        <v>L10</v>
      </c>
      <c r="E1506" s="3" t="str">
        <f aca="false">INDEX(Lojas!$E$2:$E$11,MATCH(D1506,Lojas!$A$2:$A$11,0))</f>
        <v>Nordeste</v>
      </c>
      <c r="F1506" s="2" t="s">
        <v>262</v>
      </c>
      <c r="G1506" s="3" t="str">
        <f aca="false">INDEX(Produtos!$B$2:$B$11,MATCH(F1506,Produtos!$A$2:$A$11,0))&amp;" "&amp;INDEX(Produtos!$C$2:$C$11,MATCH(F1506,Produtos!$A$2:$A$11,0))</f>
        <v>Fone de Ouvido De Celular</v>
      </c>
      <c r="H1506" s="2" t="n">
        <v>1</v>
      </c>
      <c r="I1506" s="5" t="n">
        <f aca="false">INDEX(Produtos!$D$2:$D$11,MATCH(F1506,Produtos!$A$2:$A$11,0))</f>
        <v>59.9</v>
      </c>
      <c r="J1506" s="5" t="n">
        <f aca="false">H1506*I1506</f>
        <v>59.9</v>
      </c>
      <c r="K1506" s="5" t="n">
        <f aca="false">INDEX(Produtos!$E$2:$E$11,MATCH(F1506,Produtos!$A$2:$A$11,0))</f>
        <v>28</v>
      </c>
      <c r="L1506" s="5" t="n">
        <f aca="false">H1506*K1506</f>
        <v>28</v>
      </c>
    </row>
    <row r="1507" customFormat="false" ht="15" hidden="false" customHeight="false" outlineLevel="0" collapsed="false">
      <c r="A1507" s="2" t="s">
        <v>1789</v>
      </c>
      <c r="B1507" s="8" t="n">
        <v>46149</v>
      </c>
      <c r="C1507" s="2" t="s">
        <v>225</v>
      </c>
      <c r="D1507" s="3" t="str">
        <f aca="false">INDEX(Vendedores!$C$2:$C$101,MATCH(C1507,Vendedores!$A$2:$A$101,0))</f>
        <v>L10</v>
      </c>
      <c r="E1507" s="3" t="str">
        <f aca="false">INDEX(Lojas!$E$2:$E$11,MATCH(D1507,Lojas!$A$2:$A$11,0))</f>
        <v>Nordeste</v>
      </c>
      <c r="F1507" s="2" t="s">
        <v>265</v>
      </c>
      <c r="G1507" s="3" t="str">
        <f aca="false">INDEX(Produtos!$B$2:$B$11,MATCH(F1507,Produtos!$A$2:$A$11,0))&amp;" "&amp;INDEX(Produtos!$C$2:$C$11,MATCH(F1507,Produtos!$A$2:$A$11,0))</f>
        <v>Fone de Ouvido Headset</v>
      </c>
      <c r="H1507" s="2" t="n">
        <v>1</v>
      </c>
      <c r="I1507" s="5" t="n">
        <f aca="false">INDEX(Produtos!$D$2:$D$11,MATCH(F1507,Produtos!$A$2:$A$11,0))</f>
        <v>249.9</v>
      </c>
      <c r="J1507" s="5" t="n">
        <f aca="false">H1507*I1507</f>
        <v>249.9</v>
      </c>
      <c r="K1507" s="5" t="n">
        <f aca="false">INDEX(Produtos!$E$2:$E$11,MATCH(F1507,Produtos!$A$2:$A$11,0))</f>
        <v>145</v>
      </c>
      <c r="L1507" s="5" t="n">
        <f aca="false">H1507*K1507</f>
        <v>145</v>
      </c>
    </row>
    <row r="1508" customFormat="false" ht="15" hidden="false" customHeight="false" outlineLevel="0" collapsed="false">
      <c r="A1508" s="2" t="s">
        <v>1790</v>
      </c>
      <c r="B1508" s="8" t="n">
        <v>46149</v>
      </c>
      <c r="C1508" s="2" t="s">
        <v>70</v>
      </c>
      <c r="D1508" s="3" t="str">
        <f aca="false">INDEX(Vendedores!$C$2:$C$101,MATCH(C1508,Vendedores!$A$2:$A$101,0))</f>
        <v>L02</v>
      </c>
      <c r="E1508" s="3" t="str">
        <f aca="false">INDEX(Lojas!$E$2:$E$11,MATCH(D1508,Lojas!$A$2:$A$11,0))</f>
        <v>Sudeste</v>
      </c>
      <c r="F1508" s="2" t="s">
        <v>262</v>
      </c>
      <c r="G1508" s="3" t="str">
        <f aca="false">INDEX(Produtos!$B$2:$B$11,MATCH(F1508,Produtos!$A$2:$A$11,0))&amp;" "&amp;INDEX(Produtos!$C$2:$C$11,MATCH(F1508,Produtos!$A$2:$A$11,0))</f>
        <v>Fone de Ouvido De Celular</v>
      </c>
      <c r="H1508" s="2" t="n">
        <v>1</v>
      </c>
      <c r="I1508" s="5" t="n">
        <f aca="false">INDEX(Produtos!$D$2:$D$11,MATCH(F1508,Produtos!$A$2:$A$11,0))</f>
        <v>59.9</v>
      </c>
      <c r="J1508" s="5" t="n">
        <f aca="false">H1508*I1508</f>
        <v>59.9</v>
      </c>
      <c r="K1508" s="5" t="n">
        <f aca="false">INDEX(Produtos!$E$2:$E$11,MATCH(F1508,Produtos!$A$2:$A$11,0))</f>
        <v>28</v>
      </c>
      <c r="L1508" s="5" t="n">
        <f aca="false">H1508*K1508</f>
        <v>28</v>
      </c>
    </row>
    <row r="1509" customFormat="false" ht="15" hidden="false" customHeight="false" outlineLevel="0" collapsed="false">
      <c r="A1509" s="2" t="s">
        <v>1791</v>
      </c>
      <c r="B1509" s="8" t="n">
        <v>46149</v>
      </c>
      <c r="C1509" s="2" t="s">
        <v>233</v>
      </c>
      <c r="D1509" s="3" t="str">
        <f aca="false">INDEX(Vendedores!$C$2:$C$101,MATCH(C1509,Vendedores!$A$2:$A$101,0))</f>
        <v>L10</v>
      </c>
      <c r="E1509" s="3" t="str">
        <f aca="false">INDEX(Lojas!$E$2:$E$11,MATCH(D1509,Lojas!$A$2:$A$11,0))</f>
        <v>Nordeste</v>
      </c>
      <c r="F1509" s="2" t="s">
        <v>260</v>
      </c>
      <c r="G1509" s="3" t="str">
        <f aca="false">INDEX(Produtos!$B$2:$B$11,MATCH(F1509,Produtos!$A$2:$A$11,0))&amp;" "&amp;INDEX(Produtos!$C$2:$C$11,MATCH(F1509,Produtos!$A$2:$A$11,0))</f>
        <v>Celular Motorola</v>
      </c>
      <c r="H1509" s="2" t="n">
        <v>1</v>
      </c>
      <c r="I1509" s="5" t="n">
        <f aca="false">INDEX(Produtos!$D$2:$D$11,MATCH(F1509,Produtos!$A$2:$A$11,0))</f>
        <v>1799</v>
      </c>
      <c r="J1509" s="5" t="n">
        <f aca="false">H1509*I1509</f>
        <v>1799</v>
      </c>
      <c r="K1509" s="5" t="n">
        <f aca="false">INDEX(Produtos!$E$2:$E$11,MATCH(F1509,Produtos!$A$2:$A$11,0))</f>
        <v>1250</v>
      </c>
      <c r="L1509" s="5" t="n">
        <f aca="false">H1509*K1509</f>
        <v>1250</v>
      </c>
    </row>
    <row r="1510" customFormat="false" ht="15" hidden="false" customHeight="false" outlineLevel="0" collapsed="false">
      <c r="A1510" s="2" t="s">
        <v>1792</v>
      </c>
      <c r="B1510" s="8" t="n">
        <v>46149</v>
      </c>
      <c r="C1510" s="2" t="s">
        <v>52</v>
      </c>
      <c r="D1510" s="3" t="str">
        <f aca="false">INDEX(Vendedores!$C$2:$C$101,MATCH(C1510,Vendedores!$A$2:$A$101,0))</f>
        <v>L01</v>
      </c>
      <c r="E1510" s="3" t="str">
        <f aca="false">INDEX(Lojas!$E$2:$E$11,MATCH(D1510,Lojas!$A$2:$A$11,0))</f>
        <v>Sudeste</v>
      </c>
      <c r="F1510" s="2" t="s">
        <v>252</v>
      </c>
      <c r="G1510" s="3" t="str">
        <f aca="false">INDEX(Produtos!$B$2:$B$11,MATCH(F1510,Produtos!$A$2:$A$11,0))&amp;" "&amp;INDEX(Produtos!$C$2:$C$11,MATCH(F1510,Produtos!$A$2:$A$11,0))</f>
        <v>Notebook Lenovo</v>
      </c>
      <c r="H1510" s="2" t="n">
        <v>2</v>
      </c>
      <c r="I1510" s="5" t="n">
        <f aca="false">INDEX(Produtos!$D$2:$D$11,MATCH(F1510,Produtos!$A$2:$A$11,0))</f>
        <v>3199</v>
      </c>
      <c r="J1510" s="5" t="n">
        <f aca="false">H1510*I1510</f>
        <v>6398</v>
      </c>
      <c r="K1510" s="5" t="n">
        <f aca="false">INDEX(Produtos!$E$2:$E$11,MATCH(F1510,Produtos!$A$2:$A$11,0))</f>
        <v>2350</v>
      </c>
      <c r="L1510" s="5" t="n">
        <f aca="false">H1510*K1510</f>
        <v>4700</v>
      </c>
    </row>
    <row r="1511" customFormat="false" ht="15" hidden="false" customHeight="false" outlineLevel="0" collapsed="false">
      <c r="A1511" s="2" t="s">
        <v>1793</v>
      </c>
      <c r="B1511" s="8" t="n">
        <v>46149</v>
      </c>
      <c r="C1511" s="2" t="s">
        <v>156</v>
      </c>
      <c r="D1511" s="3" t="str">
        <f aca="false">INDEX(Vendedores!$C$2:$C$101,MATCH(C1511,Vendedores!$A$2:$A$101,0))</f>
        <v>L06</v>
      </c>
      <c r="E1511" s="3" t="str">
        <f aca="false">INDEX(Lojas!$E$2:$E$11,MATCH(D1511,Lojas!$A$2:$A$11,0))</f>
        <v>Sul</v>
      </c>
      <c r="F1511" s="2" t="s">
        <v>275</v>
      </c>
      <c r="G1511" s="3" t="str">
        <f aca="false">INDEX(Produtos!$B$2:$B$11,MATCH(F1511,Produtos!$A$2:$A$11,0))&amp;" "&amp;INDEX(Produtos!$C$2:$C$11,MATCH(F1511,Produtos!$A$2:$A$11,0))</f>
        <v>Controle de Videogame PS5</v>
      </c>
      <c r="H1511" s="2" t="n">
        <v>1</v>
      </c>
      <c r="I1511" s="5" t="n">
        <f aca="false">INDEX(Produtos!$D$2:$D$11,MATCH(F1511,Produtos!$A$2:$A$11,0))</f>
        <v>379.9</v>
      </c>
      <c r="J1511" s="5" t="n">
        <f aca="false">H1511*I1511</f>
        <v>379.9</v>
      </c>
      <c r="K1511" s="5" t="n">
        <f aca="false">INDEX(Produtos!$E$2:$E$11,MATCH(F1511,Produtos!$A$2:$A$11,0))</f>
        <v>235</v>
      </c>
      <c r="L1511" s="5" t="n">
        <f aca="false">H1511*K1511</f>
        <v>235</v>
      </c>
    </row>
    <row r="1512" customFormat="false" ht="15" hidden="false" customHeight="false" outlineLevel="0" collapsed="false">
      <c r="A1512" s="2" t="s">
        <v>1794</v>
      </c>
      <c r="B1512" s="8" t="n">
        <v>46150</v>
      </c>
      <c r="C1512" s="2" t="s">
        <v>68</v>
      </c>
      <c r="D1512" s="3" t="str">
        <f aca="false">INDEX(Vendedores!$C$2:$C$101,MATCH(C1512,Vendedores!$A$2:$A$101,0))</f>
        <v>L01</v>
      </c>
      <c r="E1512" s="3" t="str">
        <f aca="false">INDEX(Lojas!$E$2:$E$11,MATCH(D1512,Lojas!$A$2:$A$11,0))</f>
        <v>Sudeste</v>
      </c>
      <c r="F1512" s="2" t="s">
        <v>255</v>
      </c>
      <c r="G1512" s="3" t="str">
        <f aca="false">INDEX(Produtos!$B$2:$B$11,MATCH(F1512,Produtos!$A$2:$A$11,0))&amp;" "&amp;INDEX(Produtos!$C$2:$C$11,MATCH(F1512,Produtos!$A$2:$A$11,0))</f>
        <v>Notebook Positivo</v>
      </c>
      <c r="H1512" s="2" t="n">
        <v>2</v>
      </c>
      <c r="I1512" s="5" t="n">
        <f aca="false">INDEX(Produtos!$D$2:$D$11,MATCH(F1512,Produtos!$A$2:$A$11,0))</f>
        <v>2199</v>
      </c>
      <c r="J1512" s="5" t="n">
        <f aca="false">H1512*I1512</f>
        <v>4398</v>
      </c>
      <c r="K1512" s="5" t="n">
        <f aca="false">INDEX(Produtos!$E$2:$E$11,MATCH(F1512,Produtos!$A$2:$A$11,0))</f>
        <v>1550</v>
      </c>
      <c r="L1512" s="5" t="n">
        <f aca="false">H1512*K1512</f>
        <v>3100</v>
      </c>
    </row>
    <row r="1513" customFormat="false" ht="15" hidden="false" customHeight="false" outlineLevel="0" collapsed="false">
      <c r="A1513" s="2" t="s">
        <v>1795</v>
      </c>
      <c r="B1513" s="8" t="n">
        <v>46150</v>
      </c>
      <c r="C1513" s="2" t="s">
        <v>72</v>
      </c>
      <c r="D1513" s="3" t="str">
        <f aca="false">INDEX(Vendedores!$C$2:$C$101,MATCH(C1513,Vendedores!$A$2:$A$101,0))</f>
        <v>L02</v>
      </c>
      <c r="E1513" s="3" t="str">
        <f aca="false">INDEX(Lojas!$E$2:$E$11,MATCH(D1513,Lojas!$A$2:$A$11,0))</f>
        <v>Sudeste</v>
      </c>
      <c r="F1513" s="2" t="s">
        <v>257</v>
      </c>
      <c r="G1513" s="3" t="str">
        <f aca="false">INDEX(Produtos!$B$2:$B$11,MATCH(F1513,Produtos!$A$2:$A$11,0))&amp;" "&amp;INDEX(Produtos!$C$2:$C$11,MATCH(F1513,Produtos!$A$2:$A$11,0))</f>
        <v>Celular Samsung</v>
      </c>
      <c r="H1513" s="2" t="n">
        <v>1</v>
      </c>
      <c r="I1513" s="5" t="n">
        <f aca="false">INDEX(Produtos!$D$2:$D$11,MATCH(F1513,Produtos!$A$2:$A$11,0))</f>
        <v>2499</v>
      </c>
      <c r="J1513" s="5" t="n">
        <f aca="false">H1513*I1513</f>
        <v>2499</v>
      </c>
      <c r="K1513" s="5" t="n">
        <f aca="false">INDEX(Produtos!$E$2:$E$11,MATCH(F1513,Produtos!$A$2:$A$11,0))</f>
        <v>1800</v>
      </c>
      <c r="L1513" s="5" t="n">
        <f aca="false">H1513*K1513</f>
        <v>1800</v>
      </c>
    </row>
    <row r="1514" customFormat="false" ht="15" hidden="false" customHeight="false" outlineLevel="0" collapsed="false">
      <c r="A1514" s="2" t="s">
        <v>1796</v>
      </c>
      <c r="B1514" s="8" t="n">
        <v>46150</v>
      </c>
      <c r="C1514" s="2" t="s">
        <v>66</v>
      </c>
      <c r="D1514" s="3" t="str">
        <f aca="false">INDEX(Vendedores!$C$2:$C$101,MATCH(C1514,Vendedores!$A$2:$A$101,0))</f>
        <v>L01</v>
      </c>
      <c r="E1514" s="3" t="str">
        <f aca="false">INDEX(Lojas!$E$2:$E$11,MATCH(D1514,Lojas!$A$2:$A$11,0))</f>
        <v>Sudeste</v>
      </c>
      <c r="F1514" s="2" t="s">
        <v>273</v>
      </c>
      <c r="G1514" s="3" t="str">
        <f aca="false">INDEX(Produtos!$B$2:$B$11,MATCH(F1514,Produtos!$A$2:$A$11,0))&amp;" "&amp;INDEX(Produtos!$C$2:$C$11,MATCH(F1514,Produtos!$A$2:$A$11,0))</f>
        <v>Controle de Videogame PS4</v>
      </c>
      <c r="H1514" s="2" t="n">
        <v>2</v>
      </c>
      <c r="I1514" s="5" t="n">
        <f aca="false">INDEX(Produtos!$D$2:$D$11,MATCH(F1514,Produtos!$A$2:$A$11,0))</f>
        <v>299.9</v>
      </c>
      <c r="J1514" s="5" t="n">
        <f aca="false">H1514*I1514</f>
        <v>599.8</v>
      </c>
      <c r="K1514" s="5" t="n">
        <f aca="false">INDEX(Produtos!$E$2:$E$11,MATCH(F1514,Produtos!$A$2:$A$11,0))</f>
        <v>175</v>
      </c>
      <c r="L1514" s="5" t="n">
        <f aca="false">H1514*K1514</f>
        <v>350</v>
      </c>
    </row>
    <row r="1515" customFormat="false" ht="15" hidden="false" customHeight="false" outlineLevel="0" collapsed="false">
      <c r="A1515" s="2" t="s">
        <v>1797</v>
      </c>
      <c r="B1515" s="8" t="n">
        <v>46150</v>
      </c>
      <c r="C1515" s="2" t="s">
        <v>133</v>
      </c>
      <c r="D1515" s="3" t="str">
        <f aca="false">INDEX(Vendedores!$C$2:$C$101,MATCH(C1515,Vendedores!$A$2:$A$101,0))</f>
        <v>L05</v>
      </c>
      <c r="E1515" s="3" t="str">
        <f aca="false">INDEX(Lojas!$E$2:$E$11,MATCH(D1515,Lojas!$A$2:$A$11,0))</f>
        <v>Sul</v>
      </c>
      <c r="F1515" s="2" t="s">
        <v>267</v>
      </c>
      <c r="G1515" s="3" t="str">
        <f aca="false">INDEX(Produtos!$B$2:$B$11,MATCH(F1515,Produtos!$A$2:$A$11,0))&amp;" "&amp;INDEX(Produtos!$C$2:$C$11,MATCH(F1515,Produtos!$A$2:$A$11,0))</f>
        <v>Carregador de Celular Tipo C</v>
      </c>
      <c r="H1515" s="2" t="n">
        <v>2</v>
      </c>
      <c r="I1515" s="5" t="n">
        <f aca="false">INDEX(Produtos!$D$2:$D$11,MATCH(F1515,Produtos!$A$2:$A$11,0))</f>
        <v>44.9</v>
      </c>
      <c r="J1515" s="5" t="n">
        <f aca="false">H1515*I1515</f>
        <v>89.8</v>
      </c>
      <c r="K1515" s="5" t="n">
        <f aca="false">INDEX(Produtos!$E$2:$E$11,MATCH(F1515,Produtos!$A$2:$A$11,0))</f>
        <v>18</v>
      </c>
      <c r="L1515" s="5" t="n">
        <f aca="false">H1515*K1515</f>
        <v>36</v>
      </c>
    </row>
    <row r="1516" customFormat="false" ht="15" hidden="false" customHeight="false" outlineLevel="0" collapsed="false">
      <c r="A1516" s="2" t="s">
        <v>1798</v>
      </c>
      <c r="B1516" s="8" t="n">
        <v>46150</v>
      </c>
      <c r="C1516" s="2" t="s">
        <v>199</v>
      </c>
      <c r="D1516" s="3" t="str">
        <f aca="false">INDEX(Vendedores!$C$2:$C$101,MATCH(C1516,Vendedores!$A$2:$A$101,0))</f>
        <v>L08</v>
      </c>
      <c r="E1516" s="3" t="str">
        <f aca="false">INDEX(Lojas!$E$2:$E$11,MATCH(D1516,Lojas!$A$2:$A$11,0))</f>
        <v>Nordeste</v>
      </c>
      <c r="F1516" s="2" t="s">
        <v>260</v>
      </c>
      <c r="G1516" s="3" t="str">
        <f aca="false">INDEX(Produtos!$B$2:$B$11,MATCH(F1516,Produtos!$A$2:$A$11,0))&amp;" "&amp;INDEX(Produtos!$C$2:$C$11,MATCH(F1516,Produtos!$A$2:$A$11,0))</f>
        <v>Celular Motorola</v>
      </c>
      <c r="H1516" s="2" t="n">
        <v>1</v>
      </c>
      <c r="I1516" s="5" t="n">
        <f aca="false">INDEX(Produtos!$D$2:$D$11,MATCH(F1516,Produtos!$A$2:$A$11,0))</f>
        <v>1799</v>
      </c>
      <c r="J1516" s="5" t="n">
        <f aca="false">H1516*I1516</f>
        <v>1799</v>
      </c>
      <c r="K1516" s="5" t="n">
        <f aca="false">INDEX(Produtos!$E$2:$E$11,MATCH(F1516,Produtos!$A$2:$A$11,0))</f>
        <v>1250</v>
      </c>
      <c r="L1516" s="5" t="n">
        <f aca="false">H1516*K1516</f>
        <v>1250</v>
      </c>
    </row>
    <row r="1517" customFormat="false" ht="15" hidden="false" customHeight="false" outlineLevel="0" collapsed="false">
      <c r="A1517" s="2" t="s">
        <v>1799</v>
      </c>
      <c r="B1517" s="8" t="n">
        <v>46150</v>
      </c>
      <c r="C1517" s="2" t="s">
        <v>225</v>
      </c>
      <c r="D1517" s="3" t="str">
        <f aca="false">INDEX(Vendedores!$C$2:$C$101,MATCH(C1517,Vendedores!$A$2:$A$101,0))</f>
        <v>L10</v>
      </c>
      <c r="E1517" s="3" t="str">
        <f aca="false">INDEX(Lojas!$E$2:$E$11,MATCH(D1517,Lojas!$A$2:$A$11,0))</f>
        <v>Nordeste</v>
      </c>
      <c r="F1517" s="2" t="s">
        <v>267</v>
      </c>
      <c r="G1517" s="3" t="str">
        <f aca="false">INDEX(Produtos!$B$2:$B$11,MATCH(F1517,Produtos!$A$2:$A$11,0))&amp;" "&amp;INDEX(Produtos!$C$2:$C$11,MATCH(F1517,Produtos!$A$2:$A$11,0))</f>
        <v>Carregador de Celular Tipo C</v>
      </c>
      <c r="H1517" s="2" t="n">
        <v>1</v>
      </c>
      <c r="I1517" s="5" t="n">
        <f aca="false">INDEX(Produtos!$D$2:$D$11,MATCH(F1517,Produtos!$A$2:$A$11,0))</f>
        <v>44.9</v>
      </c>
      <c r="J1517" s="5" t="n">
        <f aca="false">H1517*I1517</f>
        <v>44.9</v>
      </c>
      <c r="K1517" s="5" t="n">
        <f aca="false">INDEX(Produtos!$E$2:$E$11,MATCH(F1517,Produtos!$A$2:$A$11,0))</f>
        <v>18</v>
      </c>
      <c r="L1517" s="5" t="n">
        <f aca="false">H1517*K1517</f>
        <v>18</v>
      </c>
    </row>
    <row r="1518" customFormat="false" ht="15" hidden="false" customHeight="false" outlineLevel="0" collapsed="false">
      <c r="A1518" s="2" t="s">
        <v>1800</v>
      </c>
      <c r="B1518" s="8" t="n">
        <v>46150</v>
      </c>
      <c r="C1518" s="2" t="s">
        <v>138</v>
      </c>
      <c r="D1518" s="3" t="str">
        <f aca="false">INDEX(Vendedores!$C$2:$C$101,MATCH(C1518,Vendedores!$A$2:$A$101,0))</f>
        <v>L05</v>
      </c>
      <c r="E1518" s="3" t="str">
        <f aca="false">INDEX(Lojas!$E$2:$E$11,MATCH(D1518,Lojas!$A$2:$A$11,0))</f>
        <v>Sul</v>
      </c>
      <c r="F1518" s="2" t="s">
        <v>262</v>
      </c>
      <c r="G1518" s="3" t="str">
        <f aca="false">INDEX(Produtos!$B$2:$B$11,MATCH(F1518,Produtos!$A$2:$A$11,0))&amp;" "&amp;INDEX(Produtos!$C$2:$C$11,MATCH(F1518,Produtos!$A$2:$A$11,0))</f>
        <v>Fone de Ouvido De Celular</v>
      </c>
      <c r="H1518" s="2" t="n">
        <v>3</v>
      </c>
      <c r="I1518" s="5" t="n">
        <f aca="false">INDEX(Produtos!$D$2:$D$11,MATCH(F1518,Produtos!$A$2:$A$11,0))</f>
        <v>59.9</v>
      </c>
      <c r="J1518" s="5" t="n">
        <f aca="false">H1518*I1518</f>
        <v>179.7</v>
      </c>
      <c r="K1518" s="5" t="n">
        <f aca="false">INDEX(Produtos!$E$2:$E$11,MATCH(F1518,Produtos!$A$2:$A$11,0))</f>
        <v>28</v>
      </c>
      <c r="L1518" s="5" t="n">
        <f aca="false">H1518*K1518</f>
        <v>84</v>
      </c>
    </row>
    <row r="1519" customFormat="false" ht="15" hidden="false" customHeight="false" outlineLevel="0" collapsed="false">
      <c r="A1519" s="2" t="s">
        <v>1801</v>
      </c>
      <c r="B1519" s="8" t="n">
        <v>46150</v>
      </c>
      <c r="C1519" s="2" t="s">
        <v>68</v>
      </c>
      <c r="D1519" s="3" t="str">
        <f aca="false">INDEX(Vendedores!$C$2:$C$101,MATCH(C1519,Vendedores!$A$2:$A$101,0))</f>
        <v>L01</v>
      </c>
      <c r="E1519" s="3" t="str">
        <f aca="false">INDEX(Lojas!$E$2:$E$11,MATCH(D1519,Lojas!$A$2:$A$11,0))</f>
        <v>Sudeste</v>
      </c>
      <c r="F1519" s="2" t="s">
        <v>270</v>
      </c>
      <c r="G1519" s="3" t="str">
        <f aca="false">INDEX(Produtos!$B$2:$B$11,MATCH(F1519,Produtos!$A$2:$A$11,0))&amp;" "&amp;INDEX(Produtos!$C$2:$C$11,MATCH(F1519,Produtos!$A$2:$A$11,0))</f>
        <v>Controle de Videogame Xbox</v>
      </c>
      <c r="H1519" s="2" t="n">
        <v>1</v>
      </c>
      <c r="I1519" s="5" t="n">
        <f aca="false">INDEX(Produtos!$D$2:$D$11,MATCH(F1519,Produtos!$A$2:$A$11,0))</f>
        <v>349.9</v>
      </c>
      <c r="J1519" s="5" t="n">
        <f aca="false">H1519*I1519</f>
        <v>349.9</v>
      </c>
      <c r="K1519" s="5" t="n">
        <f aca="false">INDEX(Produtos!$E$2:$E$11,MATCH(F1519,Produtos!$A$2:$A$11,0))</f>
        <v>215</v>
      </c>
      <c r="L1519" s="5" t="n">
        <f aca="false">H1519*K1519</f>
        <v>215</v>
      </c>
    </row>
    <row r="1520" customFormat="false" ht="15" hidden="false" customHeight="false" outlineLevel="0" collapsed="false">
      <c r="A1520" s="2" t="s">
        <v>1802</v>
      </c>
      <c r="B1520" s="8" t="n">
        <v>46150</v>
      </c>
      <c r="C1520" s="2" t="s">
        <v>102</v>
      </c>
      <c r="D1520" s="3" t="str">
        <f aca="false">INDEX(Vendedores!$C$2:$C$101,MATCH(C1520,Vendedores!$A$2:$A$101,0))</f>
        <v>L03</v>
      </c>
      <c r="E1520" s="3" t="str">
        <f aca="false">INDEX(Lojas!$E$2:$E$11,MATCH(D1520,Lojas!$A$2:$A$11,0))</f>
        <v>Sudeste</v>
      </c>
      <c r="F1520" s="2" t="s">
        <v>267</v>
      </c>
      <c r="G1520" s="3" t="str">
        <f aca="false">INDEX(Produtos!$B$2:$B$11,MATCH(F1520,Produtos!$A$2:$A$11,0))&amp;" "&amp;INDEX(Produtos!$C$2:$C$11,MATCH(F1520,Produtos!$A$2:$A$11,0))</f>
        <v>Carregador de Celular Tipo C</v>
      </c>
      <c r="H1520" s="2" t="n">
        <v>1</v>
      </c>
      <c r="I1520" s="5" t="n">
        <f aca="false">INDEX(Produtos!$D$2:$D$11,MATCH(F1520,Produtos!$A$2:$A$11,0))</f>
        <v>44.9</v>
      </c>
      <c r="J1520" s="5" t="n">
        <f aca="false">H1520*I1520</f>
        <v>44.9</v>
      </c>
      <c r="K1520" s="5" t="n">
        <f aca="false">INDEX(Produtos!$E$2:$E$11,MATCH(F1520,Produtos!$A$2:$A$11,0))</f>
        <v>18</v>
      </c>
      <c r="L1520" s="5" t="n">
        <f aca="false">H1520*K1520</f>
        <v>18</v>
      </c>
    </row>
    <row r="1521" customFormat="false" ht="15" hidden="false" customHeight="false" outlineLevel="0" collapsed="false">
      <c r="A1521" s="2" t="s">
        <v>1803</v>
      </c>
      <c r="B1521" s="8" t="n">
        <v>46150</v>
      </c>
      <c r="C1521" s="2" t="s">
        <v>189</v>
      </c>
      <c r="D1521" s="3" t="str">
        <f aca="false">INDEX(Vendedores!$C$2:$C$101,MATCH(C1521,Vendedores!$A$2:$A$101,0))</f>
        <v>L08</v>
      </c>
      <c r="E1521" s="3" t="str">
        <f aca="false">INDEX(Lojas!$E$2:$E$11,MATCH(D1521,Lojas!$A$2:$A$11,0))</f>
        <v>Nordeste</v>
      </c>
      <c r="F1521" s="2" t="s">
        <v>260</v>
      </c>
      <c r="G1521" s="3" t="str">
        <f aca="false">INDEX(Produtos!$B$2:$B$11,MATCH(F1521,Produtos!$A$2:$A$11,0))&amp;" "&amp;INDEX(Produtos!$C$2:$C$11,MATCH(F1521,Produtos!$A$2:$A$11,0))</f>
        <v>Celular Motorola</v>
      </c>
      <c r="H1521" s="2" t="n">
        <v>2</v>
      </c>
      <c r="I1521" s="5" t="n">
        <f aca="false">INDEX(Produtos!$D$2:$D$11,MATCH(F1521,Produtos!$A$2:$A$11,0))</f>
        <v>1799</v>
      </c>
      <c r="J1521" s="5" t="n">
        <f aca="false">H1521*I1521</f>
        <v>3598</v>
      </c>
      <c r="K1521" s="5" t="n">
        <f aca="false">INDEX(Produtos!$E$2:$E$11,MATCH(F1521,Produtos!$A$2:$A$11,0))</f>
        <v>1250</v>
      </c>
      <c r="L1521" s="5" t="n">
        <f aca="false">H1521*K1521</f>
        <v>2500</v>
      </c>
    </row>
    <row r="1522" customFormat="false" ht="15" hidden="false" customHeight="false" outlineLevel="0" collapsed="false">
      <c r="A1522" s="2" t="s">
        <v>1804</v>
      </c>
      <c r="B1522" s="8" t="n">
        <v>46150</v>
      </c>
      <c r="C1522" s="2" t="s">
        <v>183</v>
      </c>
      <c r="D1522" s="3" t="str">
        <f aca="false">INDEX(Vendedores!$C$2:$C$101,MATCH(C1522,Vendedores!$A$2:$A$101,0))</f>
        <v>L07</v>
      </c>
      <c r="E1522" s="3" t="str">
        <f aca="false">INDEX(Lojas!$E$2:$E$11,MATCH(D1522,Lojas!$A$2:$A$11,0))</f>
        <v>Sul</v>
      </c>
      <c r="F1522" s="2" t="s">
        <v>262</v>
      </c>
      <c r="G1522" s="3" t="str">
        <f aca="false">INDEX(Produtos!$B$2:$B$11,MATCH(F1522,Produtos!$A$2:$A$11,0))&amp;" "&amp;INDEX(Produtos!$C$2:$C$11,MATCH(F1522,Produtos!$A$2:$A$11,0))</f>
        <v>Fone de Ouvido De Celular</v>
      </c>
      <c r="H1522" s="2" t="n">
        <v>1</v>
      </c>
      <c r="I1522" s="5" t="n">
        <f aca="false">INDEX(Produtos!$D$2:$D$11,MATCH(F1522,Produtos!$A$2:$A$11,0))</f>
        <v>59.9</v>
      </c>
      <c r="J1522" s="5" t="n">
        <f aca="false">H1522*I1522</f>
        <v>59.9</v>
      </c>
      <c r="K1522" s="5" t="n">
        <f aca="false">INDEX(Produtos!$E$2:$E$11,MATCH(F1522,Produtos!$A$2:$A$11,0))</f>
        <v>28</v>
      </c>
      <c r="L1522" s="5" t="n">
        <f aca="false">H1522*K1522</f>
        <v>28</v>
      </c>
    </row>
    <row r="1523" customFormat="false" ht="15" hidden="false" customHeight="false" outlineLevel="0" collapsed="false">
      <c r="A1523" s="2" t="s">
        <v>1805</v>
      </c>
      <c r="B1523" s="8" t="n">
        <v>46150</v>
      </c>
      <c r="C1523" s="2" t="s">
        <v>62</v>
      </c>
      <c r="D1523" s="3" t="str">
        <f aca="false">INDEX(Vendedores!$C$2:$C$101,MATCH(C1523,Vendedores!$A$2:$A$101,0))</f>
        <v>L01</v>
      </c>
      <c r="E1523" s="3" t="str">
        <f aca="false">INDEX(Lojas!$E$2:$E$11,MATCH(D1523,Lojas!$A$2:$A$11,0))</f>
        <v>Sudeste</v>
      </c>
      <c r="F1523" s="2" t="s">
        <v>262</v>
      </c>
      <c r="G1523" s="3" t="str">
        <f aca="false">INDEX(Produtos!$B$2:$B$11,MATCH(F1523,Produtos!$A$2:$A$11,0))&amp;" "&amp;INDEX(Produtos!$C$2:$C$11,MATCH(F1523,Produtos!$A$2:$A$11,0))</f>
        <v>Fone de Ouvido De Celular</v>
      </c>
      <c r="H1523" s="2" t="n">
        <v>1</v>
      </c>
      <c r="I1523" s="5" t="n">
        <f aca="false">INDEX(Produtos!$D$2:$D$11,MATCH(F1523,Produtos!$A$2:$A$11,0))</f>
        <v>59.9</v>
      </c>
      <c r="J1523" s="5" t="n">
        <f aca="false">H1523*I1523</f>
        <v>59.9</v>
      </c>
      <c r="K1523" s="5" t="n">
        <f aca="false">INDEX(Produtos!$E$2:$E$11,MATCH(F1523,Produtos!$A$2:$A$11,0))</f>
        <v>28</v>
      </c>
      <c r="L1523" s="5" t="n">
        <f aca="false">H1523*K1523</f>
        <v>28</v>
      </c>
    </row>
    <row r="1524" customFormat="false" ht="15" hidden="false" customHeight="false" outlineLevel="0" collapsed="false">
      <c r="A1524" s="2" t="s">
        <v>1806</v>
      </c>
      <c r="B1524" s="8" t="n">
        <v>46151</v>
      </c>
      <c r="C1524" s="2" t="s">
        <v>176</v>
      </c>
      <c r="D1524" s="3" t="str">
        <f aca="false">INDEX(Vendedores!$C$2:$C$101,MATCH(C1524,Vendedores!$A$2:$A$101,0))</f>
        <v>L07</v>
      </c>
      <c r="E1524" s="3" t="str">
        <f aca="false">INDEX(Lojas!$E$2:$E$11,MATCH(D1524,Lojas!$A$2:$A$11,0))</f>
        <v>Sul</v>
      </c>
      <c r="F1524" s="2" t="s">
        <v>275</v>
      </c>
      <c r="G1524" s="3" t="str">
        <f aca="false">INDEX(Produtos!$B$2:$B$11,MATCH(F1524,Produtos!$A$2:$A$11,0))&amp;" "&amp;INDEX(Produtos!$C$2:$C$11,MATCH(F1524,Produtos!$A$2:$A$11,0))</f>
        <v>Controle de Videogame PS5</v>
      </c>
      <c r="H1524" s="2" t="n">
        <v>1</v>
      </c>
      <c r="I1524" s="5" t="n">
        <f aca="false">INDEX(Produtos!$D$2:$D$11,MATCH(F1524,Produtos!$A$2:$A$11,0))</f>
        <v>379.9</v>
      </c>
      <c r="J1524" s="5" t="n">
        <f aca="false">H1524*I1524</f>
        <v>379.9</v>
      </c>
      <c r="K1524" s="5" t="n">
        <f aca="false">INDEX(Produtos!$E$2:$E$11,MATCH(F1524,Produtos!$A$2:$A$11,0))</f>
        <v>235</v>
      </c>
      <c r="L1524" s="5" t="n">
        <f aca="false">H1524*K1524</f>
        <v>235</v>
      </c>
    </row>
    <row r="1525" customFormat="false" ht="15" hidden="false" customHeight="false" outlineLevel="0" collapsed="false">
      <c r="A1525" s="2" t="s">
        <v>1807</v>
      </c>
      <c r="B1525" s="8" t="n">
        <v>46151</v>
      </c>
      <c r="C1525" s="2" t="s">
        <v>152</v>
      </c>
      <c r="D1525" s="3" t="str">
        <f aca="false">INDEX(Vendedores!$C$2:$C$101,MATCH(C1525,Vendedores!$A$2:$A$101,0))</f>
        <v>L06</v>
      </c>
      <c r="E1525" s="3" t="str">
        <f aca="false">INDEX(Lojas!$E$2:$E$11,MATCH(D1525,Lojas!$A$2:$A$11,0))</f>
        <v>Sul</v>
      </c>
      <c r="F1525" s="2" t="s">
        <v>255</v>
      </c>
      <c r="G1525" s="3" t="str">
        <f aca="false">INDEX(Produtos!$B$2:$B$11,MATCH(F1525,Produtos!$A$2:$A$11,0))&amp;" "&amp;INDEX(Produtos!$C$2:$C$11,MATCH(F1525,Produtos!$A$2:$A$11,0))</f>
        <v>Notebook Positivo</v>
      </c>
      <c r="H1525" s="2" t="n">
        <v>1</v>
      </c>
      <c r="I1525" s="5" t="n">
        <f aca="false">INDEX(Produtos!$D$2:$D$11,MATCH(F1525,Produtos!$A$2:$A$11,0))</f>
        <v>2199</v>
      </c>
      <c r="J1525" s="5" t="n">
        <f aca="false">H1525*I1525</f>
        <v>2199</v>
      </c>
      <c r="K1525" s="5" t="n">
        <f aca="false">INDEX(Produtos!$E$2:$E$11,MATCH(F1525,Produtos!$A$2:$A$11,0))</f>
        <v>1550</v>
      </c>
      <c r="L1525" s="5" t="n">
        <f aca="false">H1525*K1525</f>
        <v>1550</v>
      </c>
    </row>
    <row r="1526" customFormat="false" ht="15" hidden="false" customHeight="false" outlineLevel="0" collapsed="false">
      <c r="A1526" s="2" t="s">
        <v>1808</v>
      </c>
      <c r="B1526" s="8" t="n">
        <v>46151</v>
      </c>
      <c r="C1526" s="2" t="s">
        <v>187</v>
      </c>
      <c r="D1526" s="3" t="str">
        <f aca="false">INDEX(Vendedores!$C$2:$C$101,MATCH(C1526,Vendedores!$A$2:$A$101,0))</f>
        <v>L08</v>
      </c>
      <c r="E1526" s="3" t="str">
        <f aca="false">INDEX(Lojas!$E$2:$E$11,MATCH(D1526,Lojas!$A$2:$A$11,0))</f>
        <v>Nordeste</v>
      </c>
      <c r="F1526" s="2" t="s">
        <v>262</v>
      </c>
      <c r="G1526" s="3" t="str">
        <f aca="false">INDEX(Produtos!$B$2:$B$11,MATCH(F1526,Produtos!$A$2:$A$11,0))&amp;" "&amp;INDEX(Produtos!$C$2:$C$11,MATCH(F1526,Produtos!$A$2:$A$11,0))</f>
        <v>Fone de Ouvido De Celular</v>
      </c>
      <c r="H1526" s="2" t="n">
        <v>1</v>
      </c>
      <c r="I1526" s="5" t="n">
        <f aca="false">INDEX(Produtos!$D$2:$D$11,MATCH(F1526,Produtos!$A$2:$A$11,0))</f>
        <v>59.9</v>
      </c>
      <c r="J1526" s="5" t="n">
        <f aca="false">H1526*I1526</f>
        <v>59.9</v>
      </c>
      <c r="K1526" s="5" t="n">
        <f aca="false">INDEX(Produtos!$E$2:$E$11,MATCH(F1526,Produtos!$A$2:$A$11,0))</f>
        <v>28</v>
      </c>
      <c r="L1526" s="5" t="n">
        <f aca="false">H1526*K1526</f>
        <v>28</v>
      </c>
    </row>
    <row r="1527" customFormat="false" ht="15" hidden="false" customHeight="false" outlineLevel="0" collapsed="false">
      <c r="A1527" s="2" t="s">
        <v>1809</v>
      </c>
      <c r="B1527" s="8" t="n">
        <v>46151</v>
      </c>
      <c r="C1527" s="2" t="s">
        <v>152</v>
      </c>
      <c r="D1527" s="3" t="str">
        <f aca="false">INDEX(Vendedores!$C$2:$C$101,MATCH(C1527,Vendedores!$A$2:$A$101,0))</f>
        <v>L06</v>
      </c>
      <c r="E1527" s="3" t="str">
        <f aca="false">INDEX(Lojas!$E$2:$E$11,MATCH(D1527,Lojas!$A$2:$A$11,0))</f>
        <v>Sul</v>
      </c>
      <c r="F1527" s="2" t="s">
        <v>267</v>
      </c>
      <c r="G1527" s="3" t="str">
        <f aca="false">INDEX(Produtos!$B$2:$B$11,MATCH(F1527,Produtos!$A$2:$A$11,0))&amp;" "&amp;INDEX(Produtos!$C$2:$C$11,MATCH(F1527,Produtos!$A$2:$A$11,0))</f>
        <v>Carregador de Celular Tipo C</v>
      </c>
      <c r="H1527" s="2" t="n">
        <v>1</v>
      </c>
      <c r="I1527" s="5" t="n">
        <f aca="false">INDEX(Produtos!$D$2:$D$11,MATCH(F1527,Produtos!$A$2:$A$11,0))</f>
        <v>44.9</v>
      </c>
      <c r="J1527" s="5" t="n">
        <f aca="false">H1527*I1527</f>
        <v>44.9</v>
      </c>
      <c r="K1527" s="5" t="n">
        <f aca="false">INDEX(Produtos!$E$2:$E$11,MATCH(F1527,Produtos!$A$2:$A$11,0))</f>
        <v>18</v>
      </c>
      <c r="L1527" s="5" t="n">
        <f aca="false">H1527*K1527</f>
        <v>18</v>
      </c>
    </row>
    <row r="1528" customFormat="false" ht="15" hidden="false" customHeight="false" outlineLevel="0" collapsed="false">
      <c r="A1528" s="2" t="s">
        <v>1810</v>
      </c>
      <c r="B1528" s="8" t="n">
        <v>46151</v>
      </c>
      <c r="C1528" s="2" t="s">
        <v>185</v>
      </c>
      <c r="D1528" s="3" t="str">
        <f aca="false">INDEX(Vendedores!$C$2:$C$101,MATCH(C1528,Vendedores!$A$2:$A$101,0))</f>
        <v>L08</v>
      </c>
      <c r="E1528" s="3" t="str">
        <f aca="false">INDEX(Lojas!$E$2:$E$11,MATCH(D1528,Lojas!$A$2:$A$11,0))</f>
        <v>Nordeste</v>
      </c>
      <c r="F1528" s="2" t="s">
        <v>265</v>
      </c>
      <c r="G1528" s="3" t="str">
        <f aca="false">INDEX(Produtos!$B$2:$B$11,MATCH(F1528,Produtos!$A$2:$A$11,0))&amp;" "&amp;INDEX(Produtos!$C$2:$C$11,MATCH(F1528,Produtos!$A$2:$A$11,0))</f>
        <v>Fone de Ouvido Headset</v>
      </c>
      <c r="H1528" s="2" t="n">
        <v>2</v>
      </c>
      <c r="I1528" s="5" t="n">
        <f aca="false">INDEX(Produtos!$D$2:$D$11,MATCH(F1528,Produtos!$A$2:$A$11,0))</f>
        <v>249.9</v>
      </c>
      <c r="J1528" s="5" t="n">
        <f aca="false">H1528*I1528</f>
        <v>499.8</v>
      </c>
      <c r="K1528" s="5" t="n">
        <f aca="false">INDEX(Produtos!$E$2:$E$11,MATCH(F1528,Produtos!$A$2:$A$11,0))</f>
        <v>145</v>
      </c>
      <c r="L1528" s="5" t="n">
        <f aca="false">H1528*K1528</f>
        <v>290</v>
      </c>
    </row>
    <row r="1529" customFormat="false" ht="15" hidden="false" customHeight="false" outlineLevel="0" collapsed="false">
      <c r="A1529" s="2" t="s">
        <v>1811</v>
      </c>
      <c r="B1529" s="8" t="n">
        <v>46151</v>
      </c>
      <c r="C1529" s="2" t="s">
        <v>110</v>
      </c>
      <c r="D1529" s="3" t="str">
        <f aca="false">INDEX(Vendedores!$C$2:$C$101,MATCH(C1529,Vendedores!$A$2:$A$101,0))</f>
        <v>L04</v>
      </c>
      <c r="E1529" s="3" t="str">
        <f aca="false">INDEX(Lojas!$E$2:$E$11,MATCH(D1529,Lojas!$A$2:$A$11,0))</f>
        <v>Sudeste</v>
      </c>
      <c r="F1529" s="2" t="s">
        <v>267</v>
      </c>
      <c r="G1529" s="3" t="str">
        <f aca="false">INDEX(Produtos!$B$2:$B$11,MATCH(F1529,Produtos!$A$2:$A$11,0))&amp;" "&amp;INDEX(Produtos!$C$2:$C$11,MATCH(F1529,Produtos!$A$2:$A$11,0))</f>
        <v>Carregador de Celular Tipo C</v>
      </c>
      <c r="H1529" s="2" t="n">
        <v>1</v>
      </c>
      <c r="I1529" s="5" t="n">
        <f aca="false">INDEX(Produtos!$D$2:$D$11,MATCH(F1529,Produtos!$A$2:$A$11,0))</f>
        <v>44.9</v>
      </c>
      <c r="J1529" s="5" t="n">
        <f aca="false">H1529*I1529</f>
        <v>44.9</v>
      </c>
      <c r="K1529" s="5" t="n">
        <f aca="false">INDEX(Produtos!$E$2:$E$11,MATCH(F1529,Produtos!$A$2:$A$11,0))</f>
        <v>18</v>
      </c>
      <c r="L1529" s="5" t="n">
        <f aca="false">H1529*K1529</f>
        <v>18</v>
      </c>
    </row>
    <row r="1530" customFormat="false" ht="15" hidden="false" customHeight="false" outlineLevel="0" collapsed="false">
      <c r="A1530" s="2" t="s">
        <v>1812</v>
      </c>
      <c r="B1530" s="8" t="n">
        <v>46151</v>
      </c>
      <c r="C1530" s="2" t="s">
        <v>207</v>
      </c>
      <c r="D1530" s="3" t="str">
        <f aca="false">INDEX(Vendedores!$C$2:$C$101,MATCH(C1530,Vendedores!$A$2:$A$101,0))</f>
        <v>L09</v>
      </c>
      <c r="E1530" s="3" t="str">
        <f aca="false">INDEX(Lojas!$E$2:$E$11,MATCH(D1530,Lojas!$A$2:$A$11,0))</f>
        <v>Nordeste</v>
      </c>
      <c r="F1530" s="2" t="s">
        <v>265</v>
      </c>
      <c r="G1530" s="3" t="str">
        <f aca="false">INDEX(Produtos!$B$2:$B$11,MATCH(F1530,Produtos!$A$2:$A$11,0))&amp;" "&amp;INDEX(Produtos!$C$2:$C$11,MATCH(F1530,Produtos!$A$2:$A$11,0))</f>
        <v>Fone de Ouvido Headset</v>
      </c>
      <c r="H1530" s="2" t="n">
        <v>1</v>
      </c>
      <c r="I1530" s="5" t="n">
        <f aca="false">INDEX(Produtos!$D$2:$D$11,MATCH(F1530,Produtos!$A$2:$A$11,0))</f>
        <v>249.9</v>
      </c>
      <c r="J1530" s="5" t="n">
        <f aca="false">H1530*I1530</f>
        <v>249.9</v>
      </c>
      <c r="K1530" s="5" t="n">
        <f aca="false">INDEX(Produtos!$E$2:$E$11,MATCH(F1530,Produtos!$A$2:$A$11,0))</f>
        <v>145</v>
      </c>
      <c r="L1530" s="5" t="n">
        <f aca="false">H1530*K1530</f>
        <v>145</v>
      </c>
    </row>
    <row r="1531" customFormat="false" ht="15" hidden="false" customHeight="false" outlineLevel="0" collapsed="false">
      <c r="A1531" s="2" t="s">
        <v>1813</v>
      </c>
      <c r="B1531" s="8" t="n">
        <v>46152</v>
      </c>
      <c r="C1531" s="2" t="s">
        <v>219</v>
      </c>
      <c r="D1531" s="3" t="str">
        <f aca="false">INDEX(Vendedores!$C$2:$C$101,MATCH(C1531,Vendedores!$A$2:$A$101,0))</f>
        <v>L09</v>
      </c>
      <c r="E1531" s="3" t="str">
        <f aca="false">INDEX(Lojas!$E$2:$E$11,MATCH(D1531,Lojas!$A$2:$A$11,0))</f>
        <v>Nordeste</v>
      </c>
      <c r="F1531" s="2" t="s">
        <v>260</v>
      </c>
      <c r="G1531" s="3" t="str">
        <f aca="false">INDEX(Produtos!$B$2:$B$11,MATCH(F1531,Produtos!$A$2:$A$11,0))&amp;" "&amp;INDEX(Produtos!$C$2:$C$11,MATCH(F1531,Produtos!$A$2:$A$11,0))</f>
        <v>Celular Motorola</v>
      </c>
      <c r="H1531" s="2" t="n">
        <v>1</v>
      </c>
      <c r="I1531" s="5" t="n">
        <f aca="false">INDEX(Produtos!$D$2:$D$11,MATCH(F1531,Produtos!$A$2:$A$11,0))</f>
        <v>1799</v>
      </c>
      <c r="J1531" s="5" t="n">
        <f aca="false">H1531*I1531</f>
        <v>1799</v>
      </c>
      <c r="K1531" s="5" t="n">
        <f aca="false">INDEX(Produtos!$E$2:$E$11,MATCH(F1531,Produtos!$A$2:$A$11,0))</f>
        <v>1250</v>
      </c>
      <c r="L1531" s="5" t="n">
        <f aca="false">H1531*K1531</f>
        <v>1250</v>
      </c>
    </row>
    <row r="1532" customFormat="false" ht="15" hidden="false" customHeight="false" outlineLevel="0" collapsed="false">
      <c r="A1532" s="2" t="s">
        <v>1814</v>
      </c>
      <c r="B1532" s="8" t="n">
        <v>46152</v>
      </c>
      <c r="C1532" s="2" t="s">
        <v>100</v>
      </c>
      <c r="D1532" s="3" t="str">
        <f aca="false">INDEX(Vendedores!$C$2:$C$101,MATCH(C1532,Vendedores!$A$2:$A$101,0))</f>
        <v>L03</v>
      </c>
      <c r="E1532" s="3" t="str">
        <f aca="false">INDEX(Lojas!$E$2:$E$11,MATCH(D1532,Lojas!$A$2:$A$11,0))</f>
        <v>Sudeste</v>
      </c>
      <c r="F1532" s="2" t="s">
        <v>257</v>
      </c>
      <c r="G1532" s="3" t="str">
        <f aca="false">INDEX(Produtos!$B$2:$B$11,MATCH(F1532,Produtos!$A$2:$A$11,0))&amp;" "&amp;INDEX(Produtos!$C$2:$C$11,MATCH(F1532,Produtos!$A$2:$A$11,0))</f>
        <v>Celular Samsung</v>
      </c>
      <c r="H1532" s="2" t="n">
        <v>1</v>
      </c>
      <c r="I1532" s="5" t="n">
        <f aca="false">INDEX(Produtos!$D$2:$D$11,MATCH(F1532,Produtos!$A$2:$A$11,0))</f>
        <v>2499</v>
      </c>
      <c r="J1532" s="5" t="n">
        <f aca="false">H1532*I1532</f>
        <v>2499</v>
      </c>
      <c r="K1532" s="5" t="n">
        <f aca="false">INDEX(Produtos!$E$2:$E$11,MATCH(F1532,Produtos!$A$2:$A$11,0))</f>
        <v>1800</v>
      </c>
      <c r="L1532" s="5" t="n">
        <f aca="false">H1532*K1532</f>
        <v>1800</v>
      </c>
    </row>
    <row r="1533" customFormat="false" ht="15" hidden="false" customHeight="false" outlineLevel="0" collapsed="false">
      <c r="A1533" s="2" t="s">
        <v>1815</v>
      </c>
      <c r="B1533" s="8" t="n">
        <v>46152</v>
      </c>
      <c r="C1533" s="2" t="s">
        <v>110</v>
      </c>
      <c r="D1533" s="3" t="str">
        <f aca="false">INDEX(Vendedores!$C$2:$C$101,MATCH(C1533,Vendedores!$A$2:$A$101,0))</f>
        <v>L04</v>
      </c>
      <c r="E1533" s="3" t="str">
        <f aca="false">INDEX(Lojas!$E$2:$E$11,MATCH(D1533,Lojas!$A$2:$A$11,0))</f>
        <v>Sudeste</v>
      </c>
      <c r="F1533" s="2" t="s">
        <v>270</v>
      </c>
      <c r="G1533" s="3" t="str">
        <f aca="false">INDEX(Produtos!$B$2:$B$11,MATCH(F1533,Produtos!$A$2:$A$11,0))&amp;" "&amp;INDEX(Produtos!$C$2:$C$11,MATCH(F1533,Produtos!$A$2:$A$11,0))</f>
        <v>Controle de Videogame Xbox</v>
      </c>
      <c r="H1533" s="2" t="n">
        <v>1</v>
      </c>
      <c r="I1533" s="5" t="n">
        <f aca="false">INDEX(Produtos!$D$2:$D$11,MATCH(F1533,Produtos!$A$2:$A$11,0))</f>
        <v>349.9</v>
      </c>
      <c r="J1533" s="5" t="n">
        <f aca="false">H1533*I1533</f>
        <v>349.9</v>
      </c>
      <c r="K1533" s="5" t="n">
        <f aca="false">INDEX(Produtos!$E$2:$E$11,MATCH(F1533,Produtos!$A$2:$A$11,0))</f>
        <v>215</v>
      </c>
      <c r="L1533" s="5" t="n">
        <f aca="false">H1533*K1533</f>
        <v>215</v>
      </c>
    </row>
    <row r="1534" customFormat="false" ht="15" hidden="false" customHeight="false" outlineLevel="0" collapsed="false">
      <c r="A1534" s="2" t="s">
        <v>1816</v>
      </c>
      <c r="B1534" s="8" t="n">
        <v>46152</v>
      </c>
      <c r="C1534" s="2" t="s">
        <v>241</v>
      </c>
      <c r="D1534" s="3" t="str">
        <f aca="false">INDEX(Vendedores!$C$2:$C$101,MATCH(C1534,Vendedores!$A$2:$A$101,0))</f>
        <v>L10</v>
      </c>
      <c r="E1534" s="3" t="str">
        <f aca="false">INDEX(Lojas!$E$2:$E$11,MATCH(D1534,Lojas!$A$2:$A$11,0))</f>
        <v>Nordeste</v>
      </c>
      <c r="F1534" s="2" t="s">
        <v>257</v>
      </c>
      <c r="G1534" s="3" t="str">
        <f aca="false">INDEX(Produtos!$B$2:$B$11,MATCH(F1534,Produtos!$A$2:$A$11,0))&amp;" "&amp;INDEX(Produtos!$C$2:$C$11,MATCH(F1534,Produtos!$A$2:$A$11,0))</f>
        <v>Celular Samsung</v>
      </c>
      <c r="H1534" s="2" t="n">
        <v>1</v>
      </c>
      <c r="I1534" s="5" t="n">
        <f aca="false">INDEX(Produtos!$D$2:$D$11,MATCH(F1534,Produtos!$A$2:$A$11,0))</f>
        <v>2499</v>
      </c>
      <c r="J1534" s="5" t="n">
        <f aca="false">H1534*I1534</f>
        <v>2499</v>
      </c>
      <c r="K1534" s="5" t="n">
        <f aca="false">INDEX(Produtos!$E$2:$E$11,MATCH(F1534,Produtos!$A$2:$A$11,0))</f>
        <v>1800</v>
      </c>
      <c r="L1534" s="5" t="n">
        <f aca="false">H1534*K1534</f>
        <v>1800</v>
      </c>
    </row>
    <row r="1535" customFormat="false" ht="15" hidden="false" customHeight="false" outlineLevel="0" collapsed="false">
      <c r="A1535" s="2" t="s">
        <v>1817</v>
      </c>
      <c r="B1535" s="8" t="n">
        <v>46152</v>
      </c>
      <c r="C1535" s="2" t="s">
        <v>158</v>
      </c>
      <c r="D1535" s="3" t="str">
        <f aca="false">INDEX(Vendedores!$C$2:$C$101,MATCH(C1535,Vendedores!$A$2:$A$101,0))</f>
        <v>L06</v>
      </c>
      <c r="E1535" s="3" t="str">
        <f aca="false">INDEX(Lojas!$E$2:$E$11,MATCH(D1535,Lojas!$A$2:$A$11,0))</f>
        <v>Sul</v>
      </c>
      <c r="F1535" s="2" t="s">
        <v>273</v>
      </c>
      <c r="G1535" s="3" t="str">
        <f aca="false">INDEX(Produtos!$B$2:$B$11,MATCH(F1535,Produtos!$A$2:$A$11,0))&amp;" "&amp;INDEX(Produtos!$C$2:$C$11,MATCH(F1535,Produtos!$A$2:$A$11,0))</f>
        <v>Controle de Videogame PS4</v>
      </c>
      <c r="H1535" s="2" t="n">
        <v>1</v>
      </c>
      <c r="I1535" s="5" t="n">
        <f aca="false">INDEX(Produtos!$D$2:$D$11,MATCH(F1535,Produtos!$A$2:$A$11,0))</f>
        <v>299.9</v>
      </c>
      <c r="J1535" s="5" t="n">
        <f aca="false">H1535*I1535</f>
        <v>299.9</v>
      </c>
      <c r="K1535" s="5" t="n">
        <f aca="false">INDEX(Produtos!$E$2:$E$11,MATCH(F1535,Produtos!$A$2:$A$11,0))</f>
        <v>175</v>
      </c>
      <c r="L1535" s="5" t="n">
        <f aca="false">H1535*K1535</f>
        <v>175</v>
      </c>
    </row>
    <row r="1536" customFormat="false" ht="15" hidden="false" customHeight="false" outlineLevel="0" collapsed="false">
      <c r="A1536" s="2" t="s">
        <v>1818</v>
      </c>
      <c r="B1536" s="8" t="n">
        <v>46152</v>
      </c>
      <c r="C1536" s="2" t="s">
        <v>100</v>
      </c>
      <c r="D1536" s="3" t="str">
        <f aca="false">INDEX(Vendedores!$C$2:$C$101,MATCH(C1536,Vendedores!$A$2:$A$101,0))</f>
        <v>L03</v>
      </c>
      <c r="E1536" s="3" t="str">
        <f aca="false">INDEX(Lojas!$E$2:$E$11,MATCH(D1536,Lojas!$A$2:$A$11,0))</f>
        <v>Sudeste</v>
      </c>
      <c r="F1536" s="2" t="s">
        <v>267</v>
      </c>
      <c r="G1536" s="3" t="str">
        <f aca="false">INDEX(Produtos!$B$2:$B$11,MATCH(F1536,Produtos!$A$2:$A$11,0))&amp;" "&amp;INDEX(Produtos!$C$2:$C$11,MATCH(F1536,Produtos!$A$2:$A$11,0))</f>
        <v>Carregador de Celular Tipo C</v>
      </c>
      <c r="H1536" s="2" t="n">
        <v>1</v>
      </c>
      <c r="I1536" s="5" t="n">
        <f aca="false">INDEX(Produtos!$D$2:$D$11,MATCH(F1536,Produtos!$A$2:$A$11,0))</f>
        <v>44.9</v>
      </c>
      <c r="J1536" s="5" t="n">
        <f aca="false">H1536*I1536</f>
        <v>44.9</v>
      </c>
      <c r="K1536" s="5" t="n">
        <f aca="false">INDEX(Produtos!$E$2:$E$11,MATCH(F1536,Produtos!$A$2:$A$11,0))</f>
        <v>18</v>
      </c>
      <c r="L1536" s="5" t="n">
        <f aca="false">H1536*K1536</f>
        <v>18</v>
      </c>
    </row>
    <row r="1537" customFormat="false" ht="15" hidden="false" customHeight="false" outlineLevel="0" collapsed="false">
      <c r="A1537" s="2" t="s">
        <v>1819</v>
      </c>
      <c r="B1537" s="8" t="n">
        <v>46152</v>
      </c>
      <c r="C1537" s="2" t="s">
        <v>162</v>
      </c>
      <c r="D1537" s="3" t="str">
        <f aca="false">INDEX(Vendedores!$C$2:$C$101,MATCH(C1537,Vendedores!$A$2:$A$101,0))</f>
        <v>L06</v>
      </c>
      <c r="E1537" s="3" t="str">
        <f aca="false">INDEX(Lojas!$E$2:$E$11,MATCH(D1537,Lojas!$A$2:$A$11,0))</f>
        <v>Sul</v>
      </c>
      <c r="F1537" s="2" t="s">
        <v>270</v>
      </c>
      <c r="G1537" s="3" t="str">
        <f aca="false">INDEX(Produtos!$B$2:$B$11,MATCH(F1537,Produtos!$A$2:$A$11,0))&amp;" "&amp;INDEX(Produtos!$C$2:$C$11,MATCH(F1537,Produtos!$A$2:$A$11,0))</f>
        <v>Controle de Videogame Xbox</v>
      </c>
      <c r="H1537" s="2" t="n">
        <v>1</v>
      </c>
      <c r="I1537" s="5" t="n">
        <f aca="false">INDEX(Produtos!$D$2:$D$11,MATCH(F1537,Produtos!$A$2:$A$11,0))</f>
        <v>349.9</v>
      </c>
      <c r="J1537" s="5" t="n">
        <f aca="false">H1537*I1537</f>
        <v>349.9</v>
      </c>
      <c r="K1537" s="5" t="n">
        <f aca="false">INDEX(Produtos!$E$2:$E$11,MATCH(F1537,Produtos!$A$2:$A$11,0))</f>
        <v>215</v>
      </c>
      <c r="L1537" s="5" t="n">
        <f aca="false">H1537*K1537</f>
        <v>215</v>
      </c>
    </row>
    <row r="1538" customFormat="false" ht="15" hidden="false" customHeight="false" outlineLevel="0" collapsed="false">
      <c r="A1538" s="2" t="s">
        <v>1820</v>
      </c>
      <c r="B1538" s="8" t="n">
        <v>46152</v>
      </c>
      <c r="C1538" s="2" t="s">
        <v>207</v>
      </c>
      <c r="D1538" s="3" t="str">
        <f aca="false">INDEX(Vendedores!$C$2:$C$101,MATCH(C1538,Vendedores!$A$2:$A$101,0))</f>
        <v>L09</v>
      </c>
      <c r="E1538" s="3" t="str">
        <f aca="false">INDEX(Lojas!$E$2:$E$11,MATCH(D1538,Lojas!$A$2:$A$11,0))</f>
        <v>Nordeste</v>
      </c>
      <c r="F1538" s="2" t="s">
        <v>255</v>
      </c>
      <c r="G1538" s="3" t="str">
        <f aca="false">INDEX(Produtos!$B$2:$B$11,MATCH(F1538,Produtos!$A$2:$A$11,0))&amp;" "&amp;INDEX(Produtos!$C$2:$C$11,MATCH(F1538,Produtos!$A$2:$A$11,0))</f>
        <v>Notebook Positivo</v>
      </c>
      <c r="H1538" s="2" t="n">
        <v>1</v>
      </c>
      <c r="I1538" s="5" t="n">
        <f aca="false">INDEX(Produtos!$D$2:$D$11,MATCH(F1538,Produtos!$A$2:$A$11,0))</f>
        <v>2199</v>
      </c>
      <c r="J1538" s="5" t="n">
        <f aca="false">H1538*I1538</f>
        <v>2199</v>
      </c>
      <c r="K1538" s="5" t="n">
        <f aca="false">INDEX(Produtos!$E$2:$E$11,MATCH(F1538,Produtos!$A$2:$A$11,0))</f>
        <v>1550</v>
      </c>
      <c r="L1538" s="5" t="n">
        <f aca="false">H1538*K1538</f>
        <v>1550</v>
      </c>
    </row>
    <row r="1539" customFormat="false" ht="15" hidden="false" customHeight="false" outlineLevel="0" collapsed="false">
      <c r="A1539" s="2" t="s">
        <v>1821</v>
      </c>
      <c r="B1539" s="8" t="n">
        <v>46152</v>
      </c>
      <c r="C1539" s="2" t="s">
        <v>116</v>
      </c>
      <c r="D1539" s="3" t="str">
        <f aca="false">INDEX(Vendedores!$C$2:$C$101,MATCH(C1539,Vendedores!$A$2:$A$101,0))</f>
        <v>L04</v>
      </c>
      <c r="E1539" s="3" t="str">
        <f aca="false">INDEX(Lojas!$E$2:$E$11,MATCH(D1539,Lojas!$A$2:$A$11,0))</f>
        <v>Sudeste</v>
      </c>
      <c r="F1539" s="2" t="s">
        <v>265</v>
      </c>
      <c r="G1539" s="3" t="str">
        <f aca="false">INDEX(Produtos!$B$2:$B$11,MATCH(F1539,Produtos!$A$2:$A$11,0))&amp;" "&amp;INDEX(Produtos!$C$2:$C$11,MATCH(F1539,Produtos!$A$2:$A$11,0))</f>
        <v>Fone de Ouvido Headset</v>
      </c>
      <c r="H1539" s="2" t="n">
        <v>1</v>
      </c>
      <c r="I1539" s="5" t="n">
        <f aca="false">INDEX(Produtos!$D$2:$D$11,MATCH(F1539,Produtos!$A$2:$A$11,0))</f>
        <v>249.9</v>
      </c>
      <c r="J1539" s="5" t="n">
        <f aca="false">H1539*I1539</f>
        <v>249.9</v>
      </c>
      <c r="K1539" s="5" t="n">
        <f aca="false">INDEX(Produtos!$E$2:$E$11,MATCH(F1539,Produtos!$A$2:$A$11,0))</f>
        <v>145</v>
      </c>
      <c r="L1539" s="5" t="n">
        <f aca="false">H1539*K1539</f>
        <v>145</v>
      </c>
    </row>
    <row r="1540" customFormat="false" ht="15" hidden="false" customHeight="false" outlineLevel="0" collapsed="false">
      <c r="A1540" s="2" t="s">
        <v>1822</v>
      </c>
      <c r="B1540" s="8" t="n">
        <v>46152</v>
      </c>
      <c r="C1540" s="2" t="s">
        <v>239</v>
      </c>
      <c r="D1540" s="3" t="str">
        <f aca="false">INDEX(Vendedores!$C$2:$C$101,MATCH(C1540,Vendedores!$A$2:$A$101,0))</f>
        <v>L10</v>
      </c>
      <c r="E1540" s="3" t="str">
        <f aca="false">INDEX(Lojas!$E$2:$E$11,MATCH(D1540,Lojas!$A$2:$A$11,0))</f>
        <v>Nordeste</v>
      </c>
      <c r="F1540" s="2" t="s">
        <v>265</v>
      </c>
      <c r="G1540" s="3" t="str">
        <f aca="false">INDEX(Produtos!$B$2:$B$11,MATCH(F1540,Produtos!$A$2:$A$11,0))&amp;" "&amp;INDEX(Produtos!$C$2:$C$11,MATCH(F1540,Produtos!$A$2:$A$11,0))</f>
        <v>Fone de Ouvido Headset</v>
      </c>
      <c r="H1540" s="2" t="n">
        <v>1</v>
      </c>
      <c r="I1540" s="5" t="n">
        <f aca="false">INDEX(Produtos!$D$2:$D$11,MATCH(F1540,Produtos!$A$2:$A$11,0))</f>
        <v>249.9</v>
      </c>
      <c r="J1540" s="5" t="n">
        <f aca="false">H1540*I1540</f>
        <v>249.9</v>
      </c>
      <c r="K1540" s="5" t="n">
        <f aca="false">INDEX(Produtos!$E$2:$E$11,MATCH(F1540,Produtos!$A$2:$A$11,0))</f>
        <v>145</v>
      </c>
      <c r="L1540" s="5" t="n">
        <f aca="false">H1540*K1540</f>
        <v>145</v>
      </c>
    </row>
    <row r="1541" customFormat="false" ht="15" hidden="false" customHeight="false" outlineLevel="0" collapsed="false">
      <c r="A1541" s="2" t="s">
        <v>1823</v>
      </c>
      <c r="B1541" s="8" t="n">
        <v>46152</v>
      </c>
      <c r="C1541" s="2" t="s">
        <v>100</v>
      </c>
      <c r="D1541" s="3" t="str">
        <f aca="false">INDEX(Vendedores!$C$2:$C$101,MATCH(C1541,Vendedores!$A$2:$A$101,0))</f>
        <v>L03</v>
      </c>
      <c r="E1541" s="3" t="str">
        <f aca="false">INDEX(Lojas!$E$2:$E$11,MATCH(D1541,Lojas!$A$2:$A$11,0))</f>
        <v>Sudeste</v>
      </c>
      <c r="F1541" s="2" t="s">
        <v>262</v>
      </c>
      <c r="G1541" s="3" t="str">
        <f aca="false">INDEX(Produtos!$B$2:$B$11,MATCH(F1541,Produtos!$A$2:$A$11,0))&amp;" "&amp;INDEX(Produtos!$C$2:$C$11,MATCH(F1541,Produtos!$A$2:$A$11,0))</f>
        <v>Fone de Ouvido De Celular</v>
      </c>
      <c r="H1541" s="2" t="n">
        <v>1</v>
      </c>
      <c r="I1541" s="5" t="n">
        <f aca="false">INDEX(Produtos!$D$2:$D$11,MATCH(F1541,Produtos!$A$2:$A$11,0))</f>
        <v>59.9</v>
      </c>
      <c r="J1541" s="5" t="n">
        <f aca="false">H1541*I1541</f>
        <v>59.9</v>
      </c>
      <c r="K1541" s="5" t="n">
        <f aca="false">INDEX(Produtos!$E$2:$E$11,MATCH(F1541,Produtos!$A$2:$A$11,0))</f>
        <v>28</v>
      </c>
      <c r="L1541" s="5" t="n">
        <f aca="false">H1541*K1541</f>
        <v>28</v>
      </c>
    </row>
    <row r="1542" customFormat="false" ht="15" hidden="false" customHeight="false" outlineLevel="0" collapsed="false">
      <c r="A1542" s="2" t="s">
        <v>1824</v>
      </c>
      <c r="B1542" s="8" t="n">
        <v>46152</v>
      </c>
      <c r="C1542" s="2" t="s">
        <v>187</v>
      </c>
      <c r="D1542" s="3" t="str">
        <f aca="false">INDEX(Vendedores!$C$2:$C$101,MATCH(C1542,Vendedores!$A$2:$A$101,0))</f>
        <v>L08</v>
      </c>
      <c r="E1542" s="3" t="str">
        <f aca="false">INDEX(Lojas!$E$2:$E$11,MATCH(D1542,Lojas!$A$2:$A$11,0))</f>
        <v>Nordeste</v>
      </c>
      <c r="F1542" s="2" t="s">
        <v>262</v>
      </c>
      <c r="G1542" s="3" t="str">
        <f aca="false">INDEX(Produtos!$B$2:$B$11,MATCH(F1542,Produtos!$A$2:$A$11,0))&amp;" "&amp;INDEX(Produtos!$C$2:$C$11,MATCH(F1542,Produtos!$A$2:$A$11,0))</f>
        <v>Fone de Ouvido De Celular</v>
      </c>
      <c r="H1542" s="2" t="n">
        <v>1</v>
      </c>
      <c r="I1542" s="5" t="n">
        <f aca="false">INDEX(Produtos!$D$2:$D$11,MATCH(F1542,Produtos!$A$2:$A$11,0))</f>
        <v>59.9</v>
      </c>
      <c r="J1542" s="5" t="n">
        <f aca="false">H1542*I1542</f>
        <v>59.9</v>
      </c>
      <c r="K1542" s="5" t="n">
        <f aca="false">INDEX(Produtos!$E$2:$E$11,MATCH(F1542,Produtos!$A$2:$A$11,0))</f>
        <v>28</v>
      </c>
      <c r="L1542" s="5" t="n">
        <f aca="false">H1542*K1542</f>
        <v>28</v>
      </c>
    </row>
    <row r="1543" customFormat="false" ht="15" hidden="false" customHeight="false" outlineLevel="0" collapsed="false">
      <c r="A1543" s="2" t="s">
        <v>1825</v>
      </c>
      <c r="B1543" s="8" t="n">
        <v>46152</v>
      </c>
      <c r="C1543" s="2" t="s">
        <v>133</v>
      </c>
      <c r="D1543" s="3" t="str">
        <f aca="false">INDEX(Vendedores!$C$2:$C$101,MATCH(C1543,Vendedores!$A$2:$A$101,0))</f>
        <v>L05</v>
      </c>
      <c r="E1543" s="3" t="str">
        <f aca="false">INDEX(Lojas!$E$2:$E$11,MATCH(D1543,Lojas!$A$2:$A$11,0))</f>
        <v>Sul</v>
      </c>
      <c r="F1543" s="2" t="s">
        <v>252</v>
      </c>
      <c r="G1543" s="3" t="str">
        <f aca="false">INDEX(Produtos!$B$2:$B$11,MATCH(F1543,Produtos!$A$2:$A$11,0))&amp;" "&amp;INDEX(Produtos!$C$2:$C$11,MATCH(F1543,Produtos!$A$2:$A$11,0))</f>
        <v>Notebook Lenovo</v>
      </c>
      <c r="H1543" s="2" t="n">
        <v>1</v>
      </c>
      <c r="I1543" s="5" t="n">
        <f aca="false">INDEX(Produtos!$D$2:$D$11,MATCH(F1543,Produtos!$A$2:$A$11,0))</f>
        <v>3199</v>
      </c>
      <c r="J1543" s="5" t="n">
        <f aca="false">H1543*I1543</f>
        <v>3199</v>
      </c>
      <c r="K1543" s="5" t="n">
        <f aca="false">INDEX(Produtos!$E$2:$E$11,MATCH(F1543,Produtos!$A$2:$A$11,0))</f>
        <v>2350</v>
      </c>
      <c r="L1543" s="5" t="n">
        <f aca="false">H1543*K1543</f>
        <v>2350</v>
      </c>
    </row>
    <row r="1544" customFormat="false" ht="15" hidden="false" customHeight="false" outlineLevel="0" collapsed="false">
      <c r="A1544" s="2" t="s">
        <v>1826</v>
      </c>
      <c r="B1544" s="8" t="n">
        <v>46152</v>
      </c>
      <c r="C1544" s="2" t="s">
        <v>146</v>
      </c>
      <c r="D1544" s="3" t="str">
        <f aca="false">INDEX(Vendedores!$C$2:$C$101,MATCH(C1544,Vendedores!$A$2:$A$101,0))</f>
        <v>L05</v>
      </c>
      <c r="E1544" s="3" t="str">
        <f aca="false">INDEX(Lojas!$E$2:$E$11,MATCH(D1544,Lojas!$A$2:$A$11,0))</f>
        <v>Sul</v>
      </c>
      <c r="F1544" s="2" t="s">
        <v>273</v>
      </c>
      <c r="G1544" s="3" t="str">
        <f aca="false">INDEX(Produtos!$B$2:$B$11,MATCH(F1544,Produtos!$A$2:$A$11,0))&amp;" "&amp;INDEX(Produtos!$C$2:$C$11,MATCH(F1544,Produtos!$A$2:$A$11,0))</f>
        <v>Controle de Videogame PS4</v>
      </c>
      <c r="H1544" s="2" t="n">
        <v>2</v>
      </c>
      <c r="I1544" s="5" t="n">
        <f aca="false">INDEX(Produtos!$D$2:$D$11,MATCH(F1544,Produtos!$A$2:$A$11,0))</f>
        <v>299.9</v>
      </c>
      <c r="J1544" s="5" t="n">
        <f aca="false">H1544*I1544</f>
        <v>599.8</v>
      </c>
      <c r="K1544" s="5" t="n">
        <f aca="false">INDEX(Produtos!$E$2:$E$11,MATCH(F1544,Produtos!$A$2:$A$11,0))</f>
        <v>175</v>
      </c>
      <c r="L1544" s="5" t="n">
        <f aca="false">H1544*K1544</f>
        <v>350</v>
      </c>
    </row>
    <row r="1545" customFormat="false" ht="15" hidden="false" customHeight="false" outlineLevel="0" collapsed="false">
      <c r="A1545" s="2" t="s">
        <v>1827</v>
      </c>
      <c r="B1545" s="8" t="n">
        <v>46153</v>
      </c>
      <c r="C1545" s="2" t="s">
        <v>104</v>
      </c>
      <c r="D1545" s="3" t="str">
        <f aca="false">INDEX(Vendedores!$C$2:$C$101,MATCH(C1545,Vendedores!$A$2:$A$101,0))</f>
        <v>L03</v>
      </c>
      <c r="E1545" s="3" t="str">
        <f aca="false">INDEX(Lojas!$E$2:$E$11,MATCH(D1545,Lojas!$A$2:$A$11,0))</f>
        <v>Sudeste</v>
      </c>
      <c r="F1545" s="2" t="s">
        <v>255</v>
      </c>
      <c r="G1545" s="3" t="str">
        <f aca="false">INDEX(Produtos!$B$2:$B$11,MATCH(F1545,Produtos!$A$2:$A$11,0))&amp;" "&amp;INDEX(Produtos!$C$2:$C$11,MATCH(F1545,Produtos!$A$2:$A$11,0))</f>
        <v>Notebook Positivo</v>
      </c>
      <c r="H1545" s="2" t="n">
        <v>1</v>
      </c>
      <c r="I1545" s="5" t="n">
        <f aca="false">INDEX(Produtos!$D$2:$D$11,MATCH(F1545,Produtos!$A$2:$A$11,0))</f>
        <v>2199</v>
      </c>
      <c r="J1545" s="5" t="n">
        <f aca="false">H1545*I1545</f>
        <v>2199</v>
      </c>
      <c r="K1545" s="5" t="n">
        <f aca="false">INDEX(Produtos!$E$2:$E$11,MATCH(F1545,Produtos!$A$2:$A$11,0))</f>
        <v>1550</v>
      </c>
      <c r="L1545" s="5" t="n">
        <f aca="false">H1545*K1545</f>
        <v>1550</v>
      </c>
    </row>
    <row r="1546" customFormat="false" ht="15" hidden="false" customHeight="false" outlineLevel="0" collapsed="false">
      <c r="A1546" s="2" t="s">
        <v>1828</v>
      </c>
      <c r="B1546" s="8" t="n">
        <v>46153</v>
      </c>
      <c r="C1546" s="2" t="s">
        <v>126</v>
      </c>
      <c r="D1546" s="3" t="str">
        <f aca="false">INDEX(Vendedores!$C$2:$C$101,MATCH(C1546,Vendedores!$A$2:$A$101,0))</f>
        <v>L04</v>
      </c>
      <c r="E1546" s="3" t="str">
        <f aca="false">INDEX(Lojas!$E$2:$E$11,MATCH(D1546,Lojas!$A$2:$A$11,0))</f>
        <v>Sudeste</v>
      </c>
      <c r="F1546" s="2" t="s">
        <v>273</v>
      </c>
      <c r="G1546" s="3" t="str">
        <f aca="false">INDEX(Produtos!$B$2:$B$11,MATCH(F1546,Produtos!$A$2:$A$11,0))&amp;" "&amp;INDEX(Produtos!$C$2:$C$11,MATCH(F1546,Produtos!$A$2:$A$11,0))</f>
        <v>Controle de Videogame PS4</v>
      </c>
      <c r="H1546" s="2" t="n">
        <v>3</v>
      </c>
      <c r="I1546" s="5" t="n">
        <f aca="false">INDEX(Produtos!$D$2:$D$11,MATCH(F1546,Produtos!$A$2:$A$11,0))</f>
        <v>299.9</v>
      </c>
      <c r="J1546" s="5" t="n">
        <f aca="false">H1546*I1546</f>
        <v>899.7</v>
      </c>
      <c r="K1546" s="5" t="n">
        <f aca="false">INDEX(Produtos!$E$2:$E$11,MATCH(F1546,Produtos!$A$2:$A$11,0))</f>
        <v>175</v>
      </c>
      <c r="L1546" s="5" t="n">
        <f aca="false">H1546*K1546</f>
        <v>525</v>
      </c>
    </row>
    <row r="1547" customFormat="false" ht="15" hidden="false" customHeight="false" outlineLevel="0" collapsed="false">
      <c r="A1547" s="2" t="s">
        <v>1829</v>
      </c>
      <c r="B1547" s="8" t="n">
        <v>46153</v>
      </c>
      <c r="C1547" s="2" t="s">
        <v>166</v>
      </c>
      <c r="D1547" s="3" t="str">
        <f aca="false">INDEX(Vendedores!$C$2:$C$101,MATCH(C1547,Vendedores!$A$2:$A$101,0))</f>
        <v>L06</v>
      </c>
      <c r="E1547" s="3" t="str">
        <f aca="false">INDEX(Lojas!$E$2:$E$11,MATCH(D1547,Lojas!$A$2:$A$11,0))</f>
        <v>Sul</v>
      </c>
      <c r="F1547" s="2" t="s">
        <v>270</v>
      </c>
      <c r="G1547" s="3" t="str">
        <f aca="false">INDEX(Produtos!$B$2:$B$11,MATCH(F1547,Produtos!$A$2:$A$11,0))&amp;" "&amp;INDEX(Produtos!$C$2:$C$11,MATCH(F1547,Produtos!$A$2:$A$11,0))</f>
        <v>Controle de Videogame Xbox</v>
      </c>
      <c r="H1547" s="2" t="n">
        <v>1</v>
      </c>
      <c r="I1547" s="5" t="n">
        <f aca="false">INDEX(Produtos!$D$2:$D$11,MATCH(F1547,Produtos!$A$2:$A$11,0))</f>
        <v>349.9</v>
      </c>
      <c r="J1547" s="5" t="n">
        <f aca="false">H1547*I1547</f>
        <v>349.9</v>
      </c>
      <c r="K1547" s="5" t="n">
        <f aca="false">INDEX(Produtos!$E$2:$E$11,MATCH(F1547,Produtos!$A$2:$A$11,0))</f>
        <v>215</v>
      </c>
      <c r="L1547" s="5" t="n">
        <f aca="false">H1547*K1547</f>
        <v>215</v>
      </c>
    </row>
    <row r="1548" customFormat="false" ht="15" hidden="false" customHeight="false" outlineLevel="0" collapsed="false">
      <c r="A1548" s="2" t="s">
        <v>1830</v>
      </c>
      <c r="B1548" s="8" t="n">
        <v>46153</v>
      </c>
      <c r="C1548" s="2" t="s">
        <v>60</v>
      </c>
      <c r="D1548" s="3" t="str">
        <f aca="false">INDEX(Vendedores!$C$2:$C$101,MATCH(C1548,Vendedores!$A$2:$A$101,0))</f>
        <v>L01</v>
      </c>
      <c r="E1548" s="3" t="str">
        <f aca="false">INDEX(Lojas!$E$2:$E$11,MATCH(D1548,Lojas!$A$2:$A$11,0))</f>
        <v>Sudeste</v>
      </c>
      <c r="F1548" s="2" t="s">
        <v>262</v>
      </c>
      <c r="G1548" s="3" t="str">
        <f aca="false">INDEX(Produtos!$B$2:$B$11,MATCH(F1548,Produtos!$A$2:$A$11,0))&amp;" "&amp;INDEX(Produtos!$C$2:$C$11,MATCH(F1548,Produtos!$A$2:$A$11,0))</f>
        <v>Fone de Ouvido De Celular</v>
      </c>
      <c r="H1548" s="2" t="n">
        <v>1</v>
      </c>
      <c r="I1548" s="5" t="n">
        <f aca="false">INDEX(Produtos!$D$2:$D$11,MATCH(F1548,Produtos!$A$2:$A$11,0))</f>
        <v>59.9</v>
      </c>
      <c r="J1548" s="5" t="n">
        <f aca="false">H1548*I1548</f>
        <v>59.9</v>
      </c>
      <c r="K1548" s="5" t="n">
        <f aca="false">INDEX(Produtos!$E$2:$E$11,MATCH(F1548,Produtos!$A$2:$A$11,0))</f>
        <v>28</v>
      </c>
      <c r="L1548" s="5" t="n">
        <f aca="false">H1548*K1548</f>
        <v>28</v>
      </c>
    </row>
    <row r="1549" customFormat="false" ht="15" hidden="false" customHeight="false" outlineLevel="0" collapsed="false">
      <c r="A1549" s="2" t="s">
        <v>1831</v>
      </c>
      <c r="B1549" s="8" t="n">
        <v>46153</v>
      </c>
      <c r="C1549" s="2" t="s">
        <v>62</v>
      </c>
      <c r="D1549" s="3" t="str">
        <f aca="false">INDEX(Vendedores!$C$2:$C$101,MATCH(C1549,Vendedores!$A$2:$A$101,0))</f>
        <v>L01</v>
      </c>
      <c r="E1549" s="3" t="str">
        <f aca="false">INDEX(Lojas!$E$2:$E$11,MATCH(D1549,Lojas!$A$2:$A$11,0))</f>
        <v>Sudeste</v>
      </c>
      <c r="F1549" s="2" t="s">
        <v>275</v>
      </c>
      <c r="G1549" s="3" t="str">
        <f aca="false">INDEX(Produtos!$B$2:$B$11,MATCH(F1549,Produtos!$A$2:$A$11,0))&amp;" "&amp;INDEX(Produtos!$C$2:$C$11,MATCH(F1549,Produtos!$A$2:$A$11,0))</f>
        <v>Controle de Videogame PS5</v>
      </c>
      <c r="H1549" s="2" t="n">
        <v>1</v>
      </c>
      <c r="I1549" s="5" t="n">
        <f aca="false">INDEX(Produtos!$D$2:$D$11,MATCH(F1549,Produtos!$A$2:$A$11,0))</f>
        <v>379.9</v>
      </c>
      <c r="J1549" s="5" t="n">
        <f aca="false">H1549*I1549</f>
        <v>379.9</v>
      </c>
      <c r="K1549" s="5" t="n">
        <f aca="false">INDEX(Produtos!$E$2:$E$11,MATCH(F1549,Produtos!$A$2:$A$11,0))</f>
        <v>235</v>
      </c>
      <c r="L1549" s="5" t="n">
        <f aca="false">H1549*K1549</f>
        <v>235</v>
      </c>
    </row>
    <row r="1550" customFormat="false" ht="15" hidden="false" customHeight="false" outlineLevel="0" collapsed="false">
      <c r="A1550" s="2" t="s">
        <v>1832</v>
      </c>
      <c r="B1550" s="8" t="n">
        <v>46153</v>
      </c>
      <c r="C1550" s="2" t="s">
        <v>231</v>
      </c>
      <c r="D1550" s="3" t="str">
        <f aca="false">INDEX(Vendedores!$C$2:$C$101,MATCH(C1550,Vendedores!$A$2:$A$101,0))</f>
        <v>L10</v>
      </c>
      <c r="E1550" s="3" t="str">
        <f aca="false">INDEX(Lojas!$E$2:$E$11,MATCH(D1550,Lojas!$A$2:$A$11,0))</f>
        <v>Nordeste</v>
      </c>
      <c r="F1550" s="2" t="s">
        <v>267</v>
      </c>
      <c r="G1550" s="3" t="str">
        <f aca="false">INDEX(Produtos!$B$2:$B$11,MATCH(F1550,Produtos!$A$2:$A$11,0))&amp;" "&amp;INDEX(Produtos!$C$2:$C$11,MATCH(F1550,Produtos!$A$2:$A$11,0))</f>
        <v>Carregador de Celular Tipo C</v>
      </c>
      <c r="H1550" s="2" t="n">
        <v>1</v>
      </c>
      <c r="I1550" s="5" t="n">
        <f aca="false">INDEX(Produtos!$D$2:$D$11,MATCH(F1550,Produtos!$A$2:$A$11,0))</f>
        <v>44.9</v>
      </c>
      <c r="J1550" s="5" t="n">
        <f aca="false">H1550*I1550</f>
        <v>44.9</v>
      </c>
      <c r="K1550" s="5" t="n">
        <f aca="false">INDEX(Produtos!$E$2:$E$11,MATCH(F1550,Produtos!$A$2:$A$11,0))</f>
        <v>18</v>
      </c>
      <c r="L1550" s="5" t="n">
        <f aca="false">H1550*K1550</f>
        <v>18</v>
      </c>
    </row>
    <row r="1551" customFormat="false" ht="15" hidden="false" customHeight="false" outlineLevel="0" collapsed="false">
      <c r="A1551" s="2" t="s">
        <v>1833</v>
      </c>
      <c r="B1551" s="8" t="n">
        <v>46153</v>
      </c>
      <c r="C1551" s="2" t="s">
        <v>166</v>
      </c>
      <c r="D1551" s="3" t="str">
        <f aca="false">INDEX(Vendedores!$C$2:$C$101,MATCH(C1551,Vendedores!$A$2:$A$101,0))</f>
        <v>L06</v>
      </c>
      <c r="E1551" s="3" t="str">
        <f aca="false">INDEX(Lojas!$E$2:$E$11,MATCH(D1551,Lojas!$A$2:$A$11,0))</f>
        <v>Sul</v>
      </c>
      <c r="F1551" s="2" t="s">
        <v>260</v>
      </c>
      <c r="G1551" s="3" t="str">
        <f aca="false">INDEX(Produtos!$B$2:$B$11,MATCH(F1551,Produtos!$A$2:$A$11,0))&amp;" "&amp;INDEX(Produtos!$C$2:$C$11,MATCH(F1551,Produtos!$A$2:$A$11,0))</f>
        <v>Celular Motorola</v>
      </c>
      <c r="H1551" s="2" t="n">
        <v>1</v>
      </c>
      <c r="I1551" s="5" t="n">
        <f aca="false">INDEX(Produtos!$D$2:$D$11,MATCH(F1551,Produtos!$A$2:$A$11,0))</f>
        <v>1799</v>
      </c>
      <c r="J1551" s="5" t="n">
        <f aca="false">H1551*I1551</f>
        <v>1799</v>
      </c>
      <c r="K1551" s="5" t="n">
        <f aca="false">INDEX(Produtos!$E$2:$E$11,MATCH(F1551,Produtos!$A$2:$A$11,0))</f>
        <v>1250</v>
      </c>
      <c r="L1551" s="5" t="n">
        <f aca="false">H1551*K1551</f>
        <v>1250</v>
      </c>
    </row>
    <row r="1552" customFormat="false" ht="15" hidden="false" customHeight="false" outlineLevel="0" collapsed="false">
      <c r="A1552" s="2" t="s">
        <v>1834</v>
      </c>
      <c r="B1552" s="8" t="n">
        <v>46153</v>
      </c>
      <c r="C1552" s="2" t="s">
        <v>233</v>
      </c>
      <c r="D1552" s="3" t="str">
        <f aca="false">INDEX(Vendedores!$C$2:$C$101,MATCH(C1552,Vendedores!$A$2:$A$101,0))</f>
        <v>L10</v>
      </c>
      <c r="E1552" s="3" t="str">
        <f aca="false">INDEX(Lojas!$E$2:$E$11,MATCH(D1552,Lojas!$A$2:$A$11,0))</f>
        <v>Nordeste</v>
      </c>
      <c r="F1552" s="2" t="s">
        <v>267</v>
      </c>
      <c r="G1552" s="3" t="str">
        <f aca="false">INDEX(Produtos!$B$2:$B$11,MATCH(F1552,Produtos!$A$2:$A$11,0))&amp;" "&amp;INDEX(Produtos!$C$2:$C$11,MATCH(F1552,Produtos!$A$2:$A$11,0))</f>
        <v>Carregador de Celular Tipo C</v>
      </c>
      <c r="H1552" s="2" t="n">
        <v>1</v>
      </c>
      <c r="I1552" s="5" t="n">
        <f aca="false">INDEX(Produtos!$D$2:$D$11,MATCH(F1552,Produtos!$A$2:$A$11,0))</f>
        <v>44.9</v>
      </c>
      <c r="J1552" s="5" t="n">
        <f aca="false">H1552*I1552</f>
        <v>44.9</v>
      </c>
      <c r="K1552" s="5" t="n">
        <f aca="false">INDEX(Produtos!$E$2:$E$11,MATCH(F1552,Produtos!$A$2:$A$11,0))</f>
        <v>18</v>
      </c>
      <c r="L1552" s="5" t="n">
        <f aca="false">H1552*K1552</f>
        <v>18</v>
      </c>
    </row>
    <row r="1553" customFormat="false" ht="15" hidden="false" customHeight="false" outlineLevel="0" collapsed="false">
      <c r="A1553" s="2" t="s">
        <v>1835</v>
      </c>
      <c r="B1553" s="8" t="n">
        <v>46153</v>
      </c>
      <c r="C1553" s="2" t="s">
        <v>193</v>
      </c>
      <c r="D1553" s="3" t="str">
        <f aca="false">INDEX(Vendedores!$C$2:$C$101,MATCH(C1553,Vendedores!$A$2:$A$101,0))</f>
        <v>L08</v>
      </c>
      <c r="E1553" s="3" t="str">
        <f aca="false">INDEX(Lojas!$E$2:$E$11,MATCH(D1553,Lojas!$A$2:$A$11,0))</f>
        <v>Nordeste</v>
      </c>
      <c r="F1553" s="2" t="s">
        <v>267</v>
      </c>
      <c r="G1553" s="3" t="str">
        <f aca="false">INDEX(Produtos!$B$2:$B$11,MATCH(F1553,Produtos!$A$2:$A$11,0))&amp;" "&amp;INDEX(Produtos!$C$2:$C$11,MATCH(F1553,Produtos!$A$2:$A$11,0))</f>
        <v>Carregador de Celular Tipo C</v>
      </c>
      <c r="H1553" s="2" t="n">
        <v>1</v>
      </c>
      <c r="I1553" s="5" t="n">
        <f aca="false">INDEX(Produtos!$D$2:$D$11,MATCH(F1553,Produtos!$A$2:$A$11,0))</f>
        <v>44.9</v>
      </c>
      <c r="J1553" s="5" t="n">
        <f aca="false">H1553*I1553</f>
        <v>44.9</v>
      </c>
      <c r="K1553" s="5" t="n">
        <f aca="false">INDEX(Produtos!$E$2:$E$11,MATCH(F1553,Produtos!$A$2:$A$11,0))</f>
        <v>18</v>
      </c>
      <c r="L1553" s="5" t="n">
        <f aca="false">H1553*K1553</f>
        <v>18</v>
      </c>
    </row>
    <row r="1554" customFormat="false" ht="15" hidden="false" customHeight="false" outlineLevel="0" collapsed="false">
      <c r="A1554" s="2" t="s">
        <v>1836</v>
      </c>
      <c r="B1554" s="8" t="n">
        <v>46154</v>
      </c>
      <c r="C1554" s="2" t="s">
        <v>135</v>
      </c>
      <c r="D1554" s="3" t="str">
        <f aca="false">INDEX(Vendedores!$C$2:$C$101,MATCH(C1554,Vendedores!$A$2:$A$101,0))</f>
        <v>L05</v>
      </c>
      <c r="E1554" s="3" t="str">
        <f aca="false">INDEX(Lojas!$E$2:$E$11,MATCH(D1554,Lojas!$A$2:$A$11,0))</f>
        <v>Sul</v>
      </c>
      <c r="F1554" s="2" t="s">
        <v>267</v>
      </c>
      <c r="G1554" s="3" t="str">
        <f aca="false">INDEX(Produtos!$B$2:$B$11,MATCH(F1554,Produtos!$A$2:$A$11,0))&amp;" "&amp;INDEX(Produtos!$C$2:$C$11,MATCH(F1554,Produtos!$A$2:$A$11,0))</f>
        <v>Carregador de Celular Tipo C</v>
      </c>
      <c r="H1554" s="2" t="n">
        <v>3</v>
      </c>
      <c r="I1554" s="5" t="n">
        <f aca="false">INDEX(Produtos!$D$2:$D$11,MATCH(F1554,Produtos!$A$2:$A$11,0))</f>
        <v>44.9</v>
      </c>
      <c r="J1554" s="5" t="n">
        <f aca="false">H1554*I1554</f>
        <v>134.7</v>
      </c>
      <c r="K1554" s="5" t="n">
        <f aca="false">INDEX(Produtos!$E$2:$E$11,MATCH(F1554,Produtos!$A$2:$A$11,0))</f>
        <v>18</v>
      </c>
      <c r="L1554" s="5" t="n">
        <f aca="false">H1554*K1554</f>
        <v>54</v>
      </c>
    </row>
    <row r="1555" customFormat="false" ht="15" hidden="false" customHeight="false" outlineLevel="0" collapsed="false">
      <c r="A1555" s="2" t="s">
        <v>1837</v>
      </c>
      <c r="B1555" s="8" t="n">
        <v>46154</v>
      </c>
      <c r="C1555" s="2" t="s">
        <v>239</v>
      </c>
      <c r="D1555" s="3" t="str">
        <f aca="false">INDEX(Vendedores!$C$2:$C$101,MATCH(C1555,Vendedores!$A$2:$A$101,0))</f>
        <v>L10</v>
      </c>
      <c r="E1555" s="3" t="str">
        <f aca="false">INDEX(Lojas!$E$2:$E$11,MATCH(D1555,Lojas!$A$2:$A$11,0))</f>
        <v>Nordeste</v>
      </c>
      <c r="F1555" s="2" t="s">
        <v>265</v>
      </c>
      <c r="G1555" s="3" t="str">
        <f aca="false">INDEX(Produtos!$B$2:$B$11,MATCH(F1555,Produtos!$A$2:$A$11,0))&amp;" "&amp;INDEX(Produtos!$C$2:$C$11,MATCH(F1555,Produtos!$A$2:$A$11,0))</f>
        <v>Fone de Ouvido Headset</v>
      </c>
      <c r="H1555" s="2" t="n">
        <v>1</v>
      </c>
      <c r="I1555" s="5" t="n">
        <f aca="false">INDEX(Produtos!$D$2:$D$11,MATCH(F1555,Produtos!$A$2:$A$11,0))</f>
        <v>249.9</v>
      </c>
      <c r="J1555" s="5" t="n">
        <f aca="false">H1555*I1555</f>
        <v>249.9</v>
      </c>
      <c r="K1555" s="5" t="n">
        <f aca="false">INDEX(Produtos!$E$2:$E$11,MATCH(F1555,Produtos!$A$2:$A$11,0))</f>
        <v>145</v>
      </c>
      <c r="L1555" s="5" t="n">
        <f aca="false">H1555*K1555</f>
        <v>145</v>
      </c>
    </row>
    <row r="1556" customFormat="false" ht="15" hidden="false" customHeight="false" outlineLevel="0" collapsed="false">
      <c r="A1556" s="2" t="s">
        <v>1838</v>
      </c>
      <c r="B1556" s="8" t="n">
        <v>46154</v>
      </c>
      <c r="C1556" s="2" t="s">
        <v>128</v>
      </c>
      <c r="D1556" s="3" t="str">
        <f aca="false">INDEX(Vendedores!$C$2:$C$101,MATCH(C1556,Vendedores!$A$2:$A$101,0))</f>
        <v>L04</v>
      </c>
      <c r="E1556" s="3" t="str">
        <f aca="false">INDEX(Lojas!$E$2:$E$11,MATCH(D1556,Lojas!$A$2:$A$11,0))</f>
        <v>Sudeste</v>
      </c>
      <c r="F1556" s="2" t="s">
        <v>273</v>
      </c>
      <c r="G1556" s="3" t="str">
        <f aca="false">INDEX(Produtos!$B$2:$B$11,MATCH(F1556,Produtos!$A$2:$A$11,0))&amp;" "&amp;INDEX(Produtos!$C$2:$C$11,MATCH(F1556,Produtos!$A$2:$A$11,0))</f>
        <v>Controle de Videogame PS4</v>
      </c>
      <c r="H1556" s="2" t="n">
        <v>1</v>
      </c>
      <c r="I1556" s="5" t="n">
        <f aca="false">INDEX(Produtos!$D$2:$D$11,MATCH(F1556,Produtos!$A$2:$A$11,0))</f>
        <v>299.9</v>
      </c>
      <c r="J1556" s="5" t="n">
        <f aca="false">H1556*I1556</f>
        <v>299.9</v>
      </c>
      <c r="K1556" s="5" t="n">
        <f aca="false">INDEX(Produtos!$E$2:$E$11,MATCH(F1556,Produtos!$A$2:$A$11,0))</f>
        <v>175</v>
      </c>
      <c r="L1556" s="5" t="n">
        <f aca="false">H1556*K1556</f>
        <v>175</v>
      </c>
    </row>
    <row r="1557" customFormat="false" ht="15" hidden="false" customHeight="false" outlineLevel="0" collapsed="false">
      <c r="A1557" s="2" t="s">
        <v>1839</v>
      </c>
      <c r="B1557" s="8" t="n">
        <v>46154</v>
      </c>
      <c r="C1557" s="2" t="s">
        <v>96</v>
      </c>
      <c r="D1557" s="3" t="str">
        <f aca="false">INDEX(Vendedores!$C$2:$C$101,MATCH(C1557,Vendedores!$A$2:$A$101,0))</f>
        <v>L03</v>
      </c>
      <c r="E1557" s="3" t="str">
        <f aca="false">INDEX(Lojas!$E$2:$E$11,MATCH(D1557,Lojas!$A$2:$A$11,0))</f>
        <v>Sudeste</v>
      </c>
      <c r="F1557" s="2" t="s">
        <v>257</v>
      </c>
      <c r="G1557" s="3" t="str">
        <f aca="false">INDEX(Produtos!$B$2:$B$11,MATCH(F1557,Produtos!$A$2:$A$11,0))&amp;" "&amp;INDEX(Produtos!$C$2:$C$11,MATCH(F1557,Produtos!$A$2:$A$11,0))</f>
        <v>Celular Samsung</v>
      </c>
      <c r="H1557" s="2" t="n">
        <v>1</v>
      </c>
      <c r="I1557" s="5" t="n">
        <f aca="false">INDEX(Produtos!$D$2:$D$11,MATCH(F1557,Produtos!$A$2:$A$11,0))</f>
        <v>2499</v>
      </c>
      <c r="J1557" s="5" t="n">
        <f aca="false">H1557*I1557</f>
        <v>2499</v>
      </c>
      <c r="K1557" s="5" t="n">
        <f aca="false">INDEX(Produtos!$E$2:$E$11,MATCH(F1557,Produtos!$A$2:$A$11,0))</f>
        <v>1800</v>
      </c>
      <c r="L1557" s="5" t="n">
        <f aca="false">H1557*K1557</f>
        <v>1800</v>
      </c>
    </row>
    <row r="1558" customFormat="false" ht="15" hidden="false" customHeight="false" outlineLevel="0" collapsed="false">
      <c r="A1558" s="2" t="s">
        <v>1840</v>
      </c>
      <c r="B1558" s="8" t="n">
        <v>46154</v>
      </c>
      <c r="C1558" s="2" t="s">
        <v>131</v>
      </c>
      <c r="D1558" s="3" t="str">
        <f aca="false">INDEX(Vendedores!$C$2:$C$101,MATCH(C1558,Vendedores!$A$2:$A$101,0))</f>
        <v>L05</v>
      </c>
      <c r="E1558" s="3" t="str">
        <f aca="false">INDEX(Lojas!$E$2:$E$11,MATCH(D1558,Lojas!$A$2:$A$11,0))</f>
        <v>Sul</v>
      </c>
      <c r="F1558" s="2" t="s">
        <v>275</v>
      </c>
      <c r="G1558" s="3" t="str">
        <f aca="false">INDEX(Produtos!$B$2:$B$11,MATCH(F1558,Produtos!$A$2:$A$11,0))&amp;" "&amp;INDEX(Produtos!$C$2:$C$11,MATCH(F1558,Produtos!$A$2:$A$11,0))</f>
        <v>Controle de Videogame PS5</v>
      </c>
      <c r="H1558" s="2" t="n">
        <v>1</v>
      </c>
      <c r="I1558" s="5" t="n">
        <f aca="false">INDEX(Produtos!$D$2:$D$11,MATCH(F1558,Produtos!$A$2:$A$11,0))</f>
        <v>379.9</v>
      </c>
      <c r="J1558" s="5" t="n">
        <f aca="false">H1558*I1558</f>
        <v>379.9</v>
      </c>
      <c r="K1558" s="5" t="n">
        <f aca="false">INDEX(Produtos!$E$2:$E$11,MATCH(F1558,Produtos!$A$2:$A$11,0))</f>
        <v>235</v>
      </c>
      <c r="L1558" s="5" t="n">
        <f aca="false">H1558*K1558</f>
        <v>235</v>
      </c>
    </row>
    <row r="1559" customFormat="false" ht="15" hidden="false" customHeight="false" outlineLevel="0" collapsed="false">
      <c r="A1559" s="2" t="s">
        <v>1841</v>
      </c>
      <c r="B1559" s="8" t="n">
        <v>46154</v>
      </c>
      <c r="C1559" s="2" t="s">
        <v>197</v>
      </c>
      <c r="D1559" s="3" t="str">
        <f aca="false">INDEX(Vendedores!$C$2:$C$101,MATCH(C1559,Vendedores!$A$2:$A$101,0))</f>
        <v>L08</v>
      </c>
      <c r="E1559" s="3" t="str">
        <f aca="false">INDEX(Lojas!$E$2:$E$11,MATCH(D1559,Lojas!$A$2:$A$11,0))</f>
        <v>Nordeste</v>
      </c>
      <c r="F1559" s="2" t="s">
        <v>255</v>
      </c>
      <c r="G1559" s="3" t="str">
        <f aca="false">INDEX(Produtos!$B$2:$B$11,MATCH(F1559,Produtos!$A$2:$A$11,0))&amp;" "&amp;INDEX(Produtos!$C$2:$C$11,MATCH(F1559,Produtos!$A$2:$A$11,0))</f>
        <v>Notebook Positivo</v>
      </c>
      <c r="H1559" s="2" t="n">
        <v>1</v>
      </c>
      <c r="I1559" s="5" t="n">
        <f aca="false">INDEX(Produtos!$D$2:$D$11,MATCH(F1559,Produtos!$A$2:$A$11,0))</f>
        <v>2199</v>
      </c>
      <c r="J1559" s="5" t="n">
        <f aca="false">H1559*I1559</f>
        <v>2199</v>
      </c>
      <c r="K1559" s="5" t="n">
        <f aca="false">INDEX(Produtos!$E$2:$E$11,MATCH(F1559,Produtos!$A$2:$A$11,0))</f>
        <v>1550</v>
      </c>
      <c r="L1559" s="5" t="n">
        <f aca="false">H1559*K1559</f>
        <v>1550</v>
      </c>
    </row>
    <row r="1560" customFormat="false" ht="15" hidden="false" customHeight="false" outlineLevel="0" collapsed="false">
      <c r="A1560" s="2" t="s">
        <v>1842</v>
      </c>
      <c r="B1560" s="8" t="n">
        <v>46154</v>
      </c>
      <c r="C1560" s="2" t="s">
        <v>148</v>
      </c>
      <c r="D1560" s="3" t="str">
        <f aca="false">INDEX(Vendedores!$C$2:$C$101,MATCH(C1560,Vendedores!$A$2:$A$101,0))</f>
        <v>L06</v>
      </c>
      <c r="E1560" s="3" t="str">
        <f aca="false">INDEX(Lojas!$E$2:$E$11,MATCH(D1560,Lojas!$A$2:$A$11,0))</f>
        <v>Sul</v>
      </c>
      <c r="F1560" s="2" t="s">
        <v>265</v>
      </c>
      <c r="G1560" s="3" t="str">
        <f aca="false">INDEX(Produtos!$B$2:$B$11,MATCH(F1560,Produtos!$A$2:$A$11,0))&amp;" "&amp;INDEX(Produtos!$C$2:$C$11,MATCH(F1560,Produtos!$A$2:$A$11,0))</f>
        <v>Fone de Ouvido Headset</v>
      </c>
      <c r="H1560" s="2" t="n">
        <v>1</v>
      </c>
      <c r="I1560" s="5" t="n">
        <f aca="false">INDEX(Produtos!$D$2:$D$11,MATCH(F1560,Produtos!$A$2:$A$11,0))</f>
        <v>249.9</v>
      </c>
      <c r="J1560" s="5" t="n">
        <f aca="false">H1560*I1560</f>
        <v>249.9</v>
      </c>
      <c r="K1560" s="5" t="n">
        <f aca="false">INDEX(Produtos!$E$2:$E$11,MATCH(F1560,Produtos!$A$2:$A$11,0))</f>
        <v>145</v>
      </c>
      <c r="L1560" s="5" t="n">
        <f aca="false">H1560*K1560</f>
        <v>145</v>
      </c>
    </row>
    <row r="1561" customFormat="false" ht="15" hidden="false" customHeight="false" outlineLevel="0" collapsed="false">
      <c r="A1561" s="2" t="s">
        <v>1843</v>
      </c>
      <c r="B1561" s="8" t="n">
        <v>46155</v>
      </c>
      <c r="C1561" s="2" t="s">
        <v>207</v>
      </c>
      <c r="D1561" s="3" t="str">
        <f aca="false">INDEX(Vendedores!$C$2:$C$101,MATCH(C1561,Vendedores!$A$2:$A$101,0))</f>
        <v>L09</v>
      </c>
      <c r="E1561" s="3" t="str">
        <f aca="false">INDEX(Lojas!$E$2:$E$11,MATCH(D1561,Lojas!$A$2:$A$11,0))</f>
        <v>Nordeste</v>
      </c>
      <c r="F1561" s="2" t="s">
        <v>267</v>
      </c>
      <c r="G1561" s="3" t="str">
        <f aca="false">INDEX(Produtos!$B$2:$B$11,MATCH(F1561,Produtos!$A$2:$A$11,0))&amp;" "&amp;INDEX(Produtos!$C$2:$C$11,MATCH(F1561,Produtos!$A$2:$A$11,0))</f>
        <v>Carregador de Celular Tipo C</v>
      </c>
      <c r="H1561" s="2" t="n">
        <v>1</v>
      </c>
      <c r="I1561" s="5" t="n">
        <f aca="false">INDEX(Produtos!$D$2:$D$11,MATCH(F1561,Produtos!$A$2:$A$11,0))</f>
        <v>44.9</v>
      </c>
      <c r="J1561" s="5" t="n">
        <f aca="false">H1561*I1561</f>
        <v>44.9</v>
      </c>
      <c r="K1561" s="5" t="n">
        <f aca="false">INDEX(Produtos!$E$2:$E$11,MATCH(F1561,Produtos!$A$2:$A$11,0))</f>
        <v>18</v>
      </c>
      <c r="L1561" s="5" t="n">
        <f aca="false">H1561*K1561</f>
        <v>18</v>
      </c>
    </row>
    <row r="1562" customFormat="false" ht="15" hidden="false" customHeight="false" outlineLevel="0" collapsed="false">
      <c r="A1562" s="2" t="s">
        <v>1844</v>
      </c>
      <c r="B1562" s="8" t="n">
        <v>46155</v>
      </c>
      <c r="C1562" s="2" t="s">
        <v>72</v>
      </c>
      <c r="D1562" s="3" t="str">
        <f aca="false">INDEX(Vendedores!$C$2:$C$101,MATCH(C1562,Vendedores!$A$2:$A$101,0))</f>
        <v>L02</v>
      </c>
      <c r="E1562" s="3" t="str">
        <f aca="false">INDEX(Lojas!$E$2:$E$11,MATCH(D1562,Lojas!$A$2:$A$11,0))</f>
        <v>Sudeste</v>
      </c>
      <c r="F1562" s="2" t="s">
        <v>265</v>
      </c>
      <c r="G1562" s="3" t="str">
        <f aca="false">INDEX(Produtos!$B$2:$B$11,MATCH(F1562,Produtos!$A$2:$A$11,0))&amp;" "&amp;INDEX(Produtos!$C$2:$C$11,MATCH(F1562,Produtos!$A$2:$A$11,0))</f>
        <v>Fone de Ouvido Headset</v>
      </c>
      <c r="H1562" s="2" t="n">
        <v>3</v>
      </c>
      <c r="I1562" s="5" t="n">
        <f aca="false">INDEX(Produtos!$D$2:$D$11,MATCH(F1562,Produtos!$A$2:$A$11,0))</f>
        <v>249.9</v>
      </c>
      <c r="J1562" s="5" t="n">
        <f aca="false">H1562*I1562</f>
        <v>749.7</v>
      </c>
      <c r="K1562" s="5" t="n">
        <f aca="false">INDEX(Produtos!$E$2:$E$11,MATCH(F1562,Produtos!$A$2:$A$11,0))</f>
        <v>145</v>
      </c>
      <c r="L1562" s="5" t="n">
        <f aca="false">H1562*K1562</f>
        <v>435</v>
      </c>
    </row>
    <row r="1563" customFormat="false" ht="15" hidden="false" customHeight="false" outlineLevel="0" collapsed="false">
      <c r="A1563" s="2" t="s">
        <v>1845</v>
      </c>
      <c r="B1563" s="8" t="n">
        <v>46155</v>
      </c>
      <c r="C1563" s="2" t="s">
        <v>225</v>
      </c>
      <c r="D1563" s="3" t="str">
        <f aca="false">INDEX(Vendedores!$C$2:$C$101,MATCH(C1563,Vendedores!$A$2:$A$101,0))</f>
        <v>L10</v>
      </c>
      <c r="E1563" s="3" t="str">
        <f aca="false">INDEX(Lojas!$E$2:$E$11,MATCH(D1563,Lojas!$A$2:$A$11,0))</f>
        <v>Nordeste</v>
      </c>
      <c r="F1563" s="2" t="s">
        <v>267</v>
      </c>
      <c r="G1563" s="3" t="str">
        <f aca="false">INDEX(Produtos!$B$2:$B$11,MATCH(F1563,Produtos!$A$2:$A$11,0))&amp;" "&amp;INDEX(Produtos!$C$2:$C$11,MATCH(F1563,Produtos!$A$2:$A$11,0))</f>
        <v>Carregador de Celular Tipo C</v>
      </c>
      <c r="H1563" s="2" t="n">
        <v>1</v>
      </c>
      <c r="I1563" s="5" t="n">
        <f aca="false">INDEX(Produtos!$D$2:$D$11,MATCH(F1563,Produtos!$A$2:$A$11,0))</f>
        <v>44.9</v>
      </c>
      <c r="J1563" s="5" t="n">
        <f aca="false">H1563*I1563</f>
        <v>44.9</v>
      </c>
      <c r="K1563" s="5" t="n">
        <f aca="false">INDEX(Produtos!$E$2:$E$11,MATCH(F1563,Produtos!$A$2:$A$11,0))</f>
        <v>18</v>
      </c>
      <c r="L1563" s="5" t="n">
        <f aca="false">H1563*K1563</f>
        <v>18</v>
      </c>
    </row>
    <row r="1564" customFormat="false" ht="15" hidden="false" customHeight="false" outlineLevel="0" collapsed="false">
      <c r="A1564" s="2" t="s">
        <v>1846</v>
      </c>
      <c r="B1564" s="8" t="n">
        <v>46155</v>
      </c>
      <c r="C1564" s="2" t="s">
        <v>199</v>
      </c>
      <c r="D1564" s="3" t="str">
        <f aca="false">INDEX(Vendedores!$C$2:$C$101,MATCH(C1564,Vendedores!$A$2:$A$101,0))</f>
        <v>L08</v>
      </c>
      <c r="E1564" s="3" t="str">
        <f aca="false">INDEX(Lojas!$E$2:$E$11,MATCH(D1564,Lojas!$A$2:$A$11,0))</f>
        <v>Nordeste</v>
      </c>
      <c r="F1564" s="2" t="s">
        <v>265</v>
      </c>
      <c r="G1564" s="3" t="str">
        <f aca="false">INDEX(Produtos!$B$2:$B$11,MATCH(F1564,Produtos!$A$2:$A$11,0))&amp;" "&amp;INDEX(Produtos!$C$2:$C$11,MATCH(F1564,Produtos!$A$2:$A$11,0))</f>
        <v>Fone de Ouvido Headset</v>
      </c>
      <c r="H1564" s="2" t="n">
        <v>1</v>
      </c>
      <c r="I1564" s="5" t="n">
        <f aca="false">INDEX(Produtos!$D$2:$D$11,MATCH(F1564,Produtos!$A$2:$A$11,0))</f>
        <v>249.9</v>
      </c>
      <c r="J1564" s="5" t="n">
        <f aca="false">H1564*I1564</f>
        <v>249.9</v>
      </c>
      <c r="K1564" s="5" t="n">
        <f aca="false">INDEX(Produtos!$E$2:$E$11,MATCH(F1564,Produtos!$A$2:$A$11,0))</f>
        <v>145</v>
      </c>
      <c r="L1564" s="5" t="n">
        <f aca="false">H1564*K1564</f>
        <v>145</v>
      </c>
    </row>
    <row r="1565" customFormat="false" ht="15" hidden="false" customHeight="false" outlineLevel="0" collapsed="false">
      <c r="A1565" s="2" t="s">
        <v>1847</v>
      </c>
      <c r="B1565" s="8" t="n">
        <v>46155</v>
      </c>
      <c r="C1565" s="2" t="s">
        <v>80</v>
      </c>
      <c r="D1565" s="3" t="str">
        <f aca="false">INDEX(Vendedores!$C$2:$C$101,MATCH(C1565,Vendedores!$A$2:$A$101,0))</f>
        <v>L02</v>
      </c>
      <c r="E1565" s="3" t="str">
        <f aca="false">INDEX(Lojas!$E$2:$E$11,MATCH(D1565,Lojas!$A$2:$A$11,0))</f>
        <v>Sudeste</v>
      </c>
      <c r="F1565" s="2" t="s">
        <v>267</v>
      </c>
      <c r="G1565" s="3" t="str">
        <f aca="false">INDEX(Produtos!$B$2:$B$11,MATCH(F1565,Produtos!$A$2:$A$11,0))&amp;" "&amp;INDEX(Produtos!$C$2:$C$11,MATCH(F1565,Produtos!$A$2:$A$11,0))</f>
        <v>Carregador de Celular Tipo C</v>
      </c>
      <c r="H1565" s="2" t="n">
        <v>2</v>
      </c>
      <c r="I1565" s="5" t="n">
        <f aca="false">INDEX(Produtos!$D$2:$D$11,MATCH(F1565,Produtos!$A$2:$A$11,0))</f>
        <v>44.9</v>
      </c>
      <c r="J1565" s="5" t="n">
        <f aca="false">H1565*I1565</f>
        <v>89.8</v>
      </c>
      <c r="K1565" s="5" t="n">
        <f aca="false">INDEX(Produtos!$E$2:$E$11,MATCH(F1565,Produtos!$A$2:$A$11,0))</f>
        <v>18</v>
      </c>
      <c r="L1565" s="5" t="n">
        <f aca="false">H1565*K1565</f>
        <v>36</v>
      </c>
    </row>
    <row r="1566" customFormat="false" ht="15" hidden="false" customHeight="false" outlineLevel="0" collapsed="false">
      <c r="A1566" s="2" t="s">
        <v>1848</v>
      </c>
      <c r="B1566" s="8" t="n">
        <v>46155</v>
      </c>
      <c r="C1566" s="2" t="s">
        <v>58</v>
      </c>
      <c r="D1566" s="3" t="str">
        <f aca="false">INDEX(Vendedores!$C$2:$C$101,MATCH(C1566,Vendedores!$A$2:$A$101,0))</f>
        <v>L01</v>
      </c>
      <c r="E1566" s="3" t="str">
        <f aca="false">INDEX(Lojas!$E$2:$E$11,MATCH(D1566,Lojas!$A$2:$A$11,0))</f>
        <v>Sudeste</v>
      </c>
      <c r="F1566" s="2" t="s">
        <v>265</v>
      </c>
      <c r="G1566" s="3" t="str">
        <f aca="false">INDEX(Produtos!$B$2:$B$11,MATCH(F1566,Produtos!$A$2:$A$11,0))&amp;" "&amp;INDEX(Produtos!$C$2:$C$11,MATCH(F1566,Produtos!$A$2:$A$11,0))</f>
        <v>Fone de Ouvido Headset</v>
      </c>
      <c r="H1566" s="2" t="n">
        <v>1</v>
      </c>
      <c r="I1566" s="5" t="n">
        <f aca="false">INDEX(Produtos!$D$2:$D$11,MATCH(F1566,Produtos!$A$2:$A$11,0))</f>
        <v>249.9</v>
      </c>
      <c r="J1566" s="5" t="n">
        <f aca="false">H1566*I1566</f>
        <v>249.9</v>
      </c>
      <c r="K1566" s="5" t="n">
        <f aca="false">INDEX(Produtos!$E$2:$E$11,MATCH(F1566,Produtos!$A$2:$A$11,0))</f>
        <v>145</v>
      </c>
      <c r="L1566" s="5" t="n">
        <f aca="false">H1566*K1566</f>
        <v>145</v>
      </c>
    </row>
    <row r="1567" customFormat="false" ht="15" hidden="false" customHeight="false" outlineLevel="0" collapsed="false">
      <c r="A1567" s="2" t="s">
        <v>1849</v>
      </c>
      <c r="B1567" s="8" t="n">
        <v>46155</v>
      </c>
      <c r="C1567" s="2" t="s">
        <v>156</v>
      </c>
      <c r="D1567" s="3" t="str">
        <f aca="false">INDEX(Vendedores!$C$2:$C$101,MATCH(C1567,Vendedores!$A$2:$A$101,0))</f>
        <v>L06</v>
      </c>
      <c r="E1567" s="3" t="str">
        <f aca="false">INDEX(Lojas!$E$2:$E$11,MATCH(D1567,Lojas!$A$2:$A$11,0))</f>
        <v>Sul</v>
      </c>
      <c r="F1567" s="2" t="s">
        <v>275</v>
      </c>
      <c r="G1567" s="3" t="str">
        <f aca="false">INDEX(Produtos!$B$2:$B$11,MATCH(F1567,Produtos!$A$2:$A$11,0))&amp;" "&amp;INDEX(Produtos!$C$2:$C$11,MATCH(F1567,Produtos!$A$2:$A$11,0))</f>
        <v>Controle de Videogame PS5</v>
      </c>
      <c r="H1567" s="2" t="n">
        <v>2</v>
      </c>
      <c r="I1567" s="5" t="n">
        <f aca="false">INDEX(Produtos!$D$2:$D$11,MATCH(F1567,Produtos!$A$2:$A$11,0))</f>
        <v>379.9</v>
      </c>
      <c r="J1567" s="5" t="n">
        <f aca="false">H1567*I1567</f>
        <v>759.8</v>
      </c>
      <c r="K1567" s="5" t="n">
        <f aca="false">INDEX(Produtos!$E$2:$E$11,MATCH(F1567,Produtos!$A$2:$A$11,0))</f>
        <v>235</v>
      </c>
      <c r="L1567" s="5" t="n">
        <f aca="false">H1567*K1567</f>
        <v>470</v>
      </c>
    </row>
    <row r="1568" customFormat="false" ht="15" hidden="false" customHeight="false" outlineLevel="0" collapsed="false">
      <c r="A1568" s="2" t="s">
        <v>1850</v>
      </c>
      <c r="B1568" s="8" t="n">
        <v>46155</v>
      </c>
      <c r="C1568" s="2" t="s">
        <v>80</v>
      </c>
      <c r="D1568" s="3" t="str">
        <f aca="false">INDEX(Vendedores!$C$2:$C$101,MATCH(C1568,Vendedores!$A$2:$A$101,0))</f>
        <v>L02</v>
      </c>
      <c r="E1568" s="3" t="str">
        <f aca="false">INDEX(Lojas!$E$2:$E$11,MATCH(D1568,Lojas!$A$2:$A$11,0))</f>
        <v>Sudeste</v>
      </c>
      <c r="F1568" s="2" t="s">
        <v>267</v>
      </c>
      <c r="G1568" s="3" t="str">
        <f aca="false">INDEX(Produtos!$B$2:$B$11,MATCH(F1568,Produtos!$A$2:$A$11,0))&amp;" "&amp;INDEX(Produtos!$C$2:$C$11,MATCH(F1568,Produtos!$A$2:$A$11,0))</f>
        <v>Carregador de Celular Tipo C</v>
      </c>
      <c r="H1568" s="2" t="n">
        <v>1</v>
      </c>
      <c r="I1568" s="5" t="n">
        <f aca="false">INDEX(Produtos!$D$2:$D$11,MATCH(F1568,Produtos!$A$2:$A$11,0))</f>
        <v>44.9</v>
      </c>
      <c r="J1568" s="5" t="n">
        <f aca="false">H1568*I1568</f>
        <v>44.9</v>
      </c>
      <c r="K1568" s="5" t="n">
        <f aca="false">INDEX(Produtos!$E$2:$E$11,MATCH(F1568,Produtos!$A$2:$A$11,0))</f>
        <v>18</v>
      </c>
      <c r="L1568" s="5" t="n">
        <f aca="false">H1568*K1568</f>
        <v>18</v>
      </c>
    </row>
    <row r="1569" customFormat="false" ht="15" hidden="false" customHeight="false" outlineLevel="0" collapsed="false">
      <c r="A1569" s="2" t="s">
        <v>1851</v>
      </c>
      <c r="B1569" s="8" t="n">
        <v>46155</v>
      </c>
      <c r="C1569" s="2" t="s">
        <v>76</v>
      </c>
      <c r="D1569" s="3" t="str">
        <f aca="false">INDEX(Vendedores!$C$2:$C$101,MATCH(C1569,Vendedores!$A$2:$A$101,0))</f>
        <v>L02</v>
      </c>
      <c r="E1569" s="3" t="str">
        <f aca="false">INDEX(Lojas!$E$2:$E$11,MATCH(D1569,Lojas!$A$2:$A$11,0))</f>
        <v>Sudeste</v>
      </c>
      <c r="F1569" s="2" t="s">
        <v>265</v>
      </c>
      <c r="G1569" s="3" t="str">
        <f aca="false">INDEX(Produtos!$B$2:$B$11,MATCH(F1569,Produtos!$A$2:$A$11,0))&amp;" "&amp;INDEX(Produtos!$C$2:$C$11,MATCH(F1569,Produtos!$A$2:$A$11,0))</f>
        <v>Fone de Ouvido Headset</v>
      </c>
      <c r="H1569" s="2" t="n">
        <v>2</v>
      </c>
      <c r="I1569" s="5" t="n">
        <f aca="false">INDEX(Produtos!$D$2:$D$11,MATCH(F1569,Produtos!$A$2:$A$11,0))</f>
        <v>249.9</v>
      </c>
      <c r="J1569" s="5" t="n">
        <f aca="false">H1569*I1569</f>
        <v>499.8</v>
      </c>
      <c r="K1569" s="5" t="n">
        <f aca="false">INDEX(Produtos!$E$2:$E$11,MATCH(F1569,Produtos!$A$2:$A$11,0))</f>
        <v>145</v>
      </c>
      <c r="L1569" s="5" t="n">
        <f aca="false">H1569*K1569</f>
        <v>290</v>
      </c>
    </row>
    <row r="1570" customFormat="false" ht="15" hidden="false" customHeight="false" outlineLevel="0" collapsed="false">
      <c r="A1570" s="2" t="s">
        <v>1852</v>
      </c>
      <c r="B1570" s="8" t="n">
        <v>46155</v>
      </c>
      <c r="C1570" s="2" t="s">
        <v>80</v>
      </c>
      <c r="D1570" s="3" t="str">
        <f aca="false">INDEX(Vendedores!$C$2:$C$101,MATCH(C1570,Vendedores!$A$2:$A$101,0))</f>
        <v>L02</v>
      </c>
      <c r="E1570" s="3" t="str">
        <f aca="false">INDEX(Lojas!$E$2:$E$11,MATCH(D1570,Lojas!$A$2:$A$11,0))</f>
        <v>Sudeste</v>
      </c>
      <c r="F1570" s="2" t="s">
        <v>273</v>
      </c>
      <c r="G1570" s="3" t="str">
        <f aca="false">INDEX(Produtos!$B$2:$B$11,MATCH(F1570,Produtos!$A$2:$A$11,0))&amp;" "&amp;INDEX(Produtos!$C$2:$C$11,MATCH(F1570,Produtos!$A$2:$A$11,0))</f>
        <v>Controle de Videogame PS4</v>
      </c>
      <c r="H1570" s="2" t="n">
        <v>1</v>
      </c>
      <c r="I1570" s="5" t="n">
        <f aca="false">INDEX(Produtos!$D$2:$D$11,MATCH(F1570,Produtos!$A$2:$A$11,0))</f>
        <v>299.9</v>
      </c>
      <c r="J1570" s="5" t="n">
        <f aca="false">H1570*I1570</f>
        <v>299.9</v>
      </c>
      <c r="K1570" s="5" t="n">
        <f aca="false">INDEX(Produtos!$E$2:$E$11,MATCH(F1570,Produtos!$A$2:$A$11,0))</f>
        <v>175</v>
      </c>
      <c r="L1570" s="5" t="n">
        <f aca="false">H1570*K1570</f>
        <v>175</v>
      </c>
    </row>
    <row r="1571" customFormat="false" ht="15" hidden="false" customHeight="false" outlineLevel="0" collapsed="false">
      <c r="A1571" s="2" t="s">
        <v>1853</v>
      </c>
      <c r="B1571" s="8" t="n">
        <v>46155</v>
      </c>
      <c r="C1571" s="2" t="s">
        <v>160</v>
      </c>
      <c r="D1571" s="3" t="str">
        <f aca="false">INDEX(Vendedores!$C$2:$C$101,MATCH(C1571,Vendedores!$A$2:$A$101,0))</f>
        <v>L06</v>
      </c>
      <c r="E1571" s="3" t="str">
        <f aca="false">INDEX(Lojas!$E$2:$E$11,MATCH(D1571,Lojas!$A$2:$A$11,0))</f>
        <v>Sul</v>
      </c>
      <c r="F1571" s="2" t="s">
        <v>265</v>
      </c>
      <c r="G1571" s="3" t="str">
        <f aca="false">INDEX(Produtos!$B$2:$B$11,MATCH(F1571,Produtos!$A$2:$A$11,0))&amp;" "&amp;INDEX(Produtos!$C$2:$C$11,MATCH(F1571,Produtos!$A$2:$A$11,0))</f>
        <v>Fone de Ouvido Headset</v>
      </c>
      <c r="H1571" s="2" t="n">
        <v>1</v>
      </c>
      <c r="I1571" s="5" t="n">
        <f aca="false">INDEX(Produtos!$D$2:$D$11,MATCH(F1571,Produtos!$A$2:$A$11,0))</f>
        <v>249.9</v>
      </c>
      <c r="J1571" s="5" t="n">
        <f aca="false">H1571*I1571</f>
        <v>249.9</v>
      </c>
      <c r="K1571" s="5" t="n">
        <f aca="false">INDEX(Produtos!$E$2:$E$11,MATCH(F1571,Produtos!$A$2:$A$11,0))</f>
        <v>145</v>
      </c>
      <c r="L1571" s="5" t="n">
        <f aca="false">H1571*K1571</f>
        <v>145</v>
      </c>
    </row>
    <row r="1572" customFormat="false" ht="15" hidden="false" customHeight="false" outlineLevel="0" collapsed="false">
      <c r="A1572" s="2" t="s">
        <v>1854</v>
      </c>
      <c r="B1572" s="8" t="n">
        <v>46156</v>
      </c>
      <c r="C1572" s="2" t="s">
        <v>219</v>
      </c>
      <c r="D1572" s="3" t="str">
        <f aca="false">INDEX(Vendedores!$C$2:$C$101,MATCH(C1572,Vendedores!$A$2:$A$101,0))</f>
        <v>L09</v>
      </c>
      <c r="E1572" s="3" t="str">
        <f aca="false">INDEX(Lojas!$E$2:$E$11,MATCH(D1572,Lojas!$A$2:$A$11,0))</f>
        <v>Nordeste</v>
      </c>
      <c r="F1572" s="2" t="s">
        <v>267</v>
      </c>
      <c r="G1572" s="3" t="str">
        <f aca="false">INDEX(Produtos!$B$2:$B$11,MATCH(F1572,Produtos!$A$2:$A$11,0))&amp;" "&amp;INDEX(Produtos!$C$2:$C$11,MATCH(F1572,Produtos!$A$2:$A$11,0))</f>
        <v>Carregador de Celular Tipo C</v>
      </c>
      <c r="H1572" s="2" t="n">
        <v>1</v>
      </c>
      <c r="I1572" s="5" t="n">
        <f aca="false">INDEX(Produtos!$D$2:$D$11,MATCH(F1572,Produtos!$A$2:$A$11,0))</f>
        <v>44.9</v>
      </c>
      <c r="J1572" s="5" t="n">
        <f aca="false">H1572*I1572</f>
        <v>44.9</v>
      </c>
      <c r="K1572" s="5" t="n">
        <f aca="false">INDEX(Produtos!$E$2:$E$11,MATCH(F1572,Produtos!$A$2:$A$11,0))</f>
        <v>18</v>
      </c>
      <c r="L1572" s="5" t="n">
        <f aca="false">H1572*K1572</f>
        <v>18</v>
      </c>
    </row>
    <row r="1573" customFormat="false" ht="15" hidden="false" customHeight="false" outlineLevel="0" collapsed="false">
      <c r="A1573" s="2" t="s">
        <v>1855</v>
      </c>
      <c r="B1573" s="8" t="n">
        <v>46156</v>
      </c>
      <c r="C1573" s="2" t="s">
        <v>140</v>
      </c>
      <c r="D1573" s="3" t="str">
        <f aca="false">INDEX(Vendedores!$C$2:$C$101,MATCH(C1573,Vendedores!$A$2:$A$101,0))</f>
        <v>L05</v>
      </c>
      <c r="E1573" s="3" t="str">
        <f aca="false">INDEX(Lojas!$E$2:$E$11,MATCH(D1573,Lojas!$A$2:$A$11,0))</f>
        <v>Sul</v>
      </c>
      <c r="F1573" s="2" t="s">
        <v>270</v>
      </c>
      <c r="G1573" s="3" t="str">
        <f aca="false">INDEX(Produtos!$B$2:$B$11,MATCH(F1573,Produtos!$A$2:$A$11,0))&amp;" "&amp;INDEX(Produtos!$C$2:$C$11,MATCH(F1573,Produtos!$A$2:$A$11,0))</f>
        <v>Controle de Videogame Xbox</v>
      </c>
      <c r="H1573" s="2" t="n">
        <v>1</v>
      </c>
      <c r="I1573" s="5" t="n">
        <f aca="false">INDEX(Produtos!$D$2:$D$11,MATCH(F1573,Produtos!$A$2:$A$11,0))</f>
        <v>349.9</v>
      </c>
      <c r="J1573" s="5" t="n">
        <f aca="false">H1573*I1573</f>
        <v>349.9</v>
      </c>
      <c r="K1573" s="5" t="n">
        <f aca="false">INDEX(Produtos!$E$2:$E$11,MATCH(F1573,Produtos!$A$2:$A$11,0))</f>
        <v>215</v>
      </c>
      <c r="L1573" s="5" t="n">
        <f aca="false">H1573*K1573</f>
        <v>215</v>
      </c>
    </row>
    <row r="1574" customFormat="false" ht="15" hidden="false" customHeight="false" outlineLevel="0" collapsed="false">
      <c r="A1574" s="2" t="s">
        <v>1856</v>
      </c>
      <c r="B1574" s="8" t="n">
        <v>46156</v>
      </c>
      <c r="C1574" s="2" t="s">
        <v>106</v>
      </c>
      <c r="D1574" s="3" t="str">
        <f aca="false">INDEX(Vendedores!$C$2:$C$101,MATCH(C1574,Vendedores!$A$2:$A$101,0))</f>
        <v>L03</v>
      </c>
      <c r="E1574" s="3" t="str">
        <f aca="false">INDEX(Lojas!$E$2:$E$11,MATCH(D1574,Lojas!$A$2:$A$11,0))</f>
        <v>Sudeste</v>
      </c>
      <c r="F1574" s="2" t="s">
        <v>273</v>
      </c>
      <c r="G1574" s="3" t="str">
        <f aca="false">INDEX(Produtos!$B$2:$B$11,MATCH(F1574,Produtos!$A$2:$A$11,0))&amp;" "&amp;INDEX(Produtos!$C$2:$C$11,MATCH(F1574,Produtos!$A$2:$A$11,0))</f>
        <v>Controle de Videogame PS4</v>
      </c>
      <c r="H1574" s="2" t="n">
        <v>1</v>
      </c>
      <c r="I1574" s="5" t="n">
        <f aca="false">INDEX(Produtos!$D$2:$D$11,MATCH(F1574,Produtos!$A$2:$A$11,0))</f>
        <v>299.9</v>
      </c>
      <c r="J1574" s="5" t="n">
        <f aca="false">H1574*I1574</f>
        <v>299.9</v>
      </c>
      <c r="K1574" s="5" t="n">
        <f aca="false">INDEX(Produtos!$E$2:$E$11,MATCH(F1574,Produtos!$A$2:$A$11,0))</f>
        <v>175</v>
      </c>
      <c r="L1574" s="5" t="n">
        <f aca="false">H1574*K1574</f>
        <v>175</v>
      </c>
    </row>
    <row r="1575" customFormat="false" ht="15" hidden="false" customHeight="false" outlineLevel="0" collapsed="false">
      <c r="A1575" s="2" t="s">
        <v>1857</v>
      </c>
      <c r="B1575" s="8" t="n">
        <v>46156</v>
      </c>
      <c r="C1575" s="2" t="s">
        <v>98</v>
      </c>
      <c r="D1575" s="3" t="str">
        <f aca="false">INDEX(Vendedores!$C$2:$C$101,MATCH(C1575,Vendedores!$A$2:$A$101,0))</f>
        <v>L03</v>
      </c>
      <c r="E1575" s="3" t="str">
        <f aca="false">INDEX(Lojas!$E$2:$E$11,MATCH(D1575,Lojas!$A$2:$A$11,0))</f>
        <v>Sudeste</v>
      </c>
      <c r="F1575" s="2" t="s">
        <v>267</v>
      </c>
      <c r="G1575" s="3" t="str">
        <f aca="false">INDEX(Produtos!$B$2:$B$11,MATCH(F1575,Produtos!$A$2:$A$11,0))&amp;" "&amp;INDEX(Produtos!$C$2:$C$11,MATCH(F1575,Produtos!$A$2:$A$11,0))</f>
        <v>Carregador de Celular Tipo C</v>
      </c>
      <c r="H1575" s="2" t="n">
        <v>1</v>
      </c>
      <c r="I1575" s="5" t="n">
        <f aca="false">INDEX(Produtos!$D$2:$D$11,MATCH(F1575,Produtos!$A$2:$A$11,0))</f>
        <v>44.9</v>
      </c>
      <c r="J1575" s="5" t="n">
        <f aca="false">H1575*I1575</f>
        <v>44.9</v>
      </c>
      <c r="K1575" s="5" t="n">
        <f aca="false">INDEX(Produtos!$E$2:$E$11,MATCH(F1575,Produtos!$A$2:$A$11,0))</f>
        <v>18</v>
      </c>
      <c r="L1575" s="5" t="n">
        <f aca="false">H1575*K1575</f>
        <v>18</v>
      </c>
    </row>
    <row r="1576" customFormat="false" ht="15" hidden="false" customHeight="false" outlineLevel="0" collapsed="false">
      <c r="A1576" s="2" t="s">
        <v>1858</v>
      </c>
      <c r="B1576" s="8" t="n">
        <v>46156</v>
      </c>
      <c r="C1576" s="2" t="s">
        <v>82</v>
      </c>
      <c r="D1576" s="3" t="str">
        <f aca="false">INDEX(Vendedores!$C$2:$C$101,MATCH(C1576,Vendedores!$A$2:$A$101,0))</f>
        <v>L02</v>
      </c>
      <c r="E1576" s="3" t="str">
        <f aca="false">INDEX(Lojas!$E$2:$E$11,MATCH(D1576,Lojas!$A$2:$A$11,0))</f>
        <v>Sudeste</v>
      </c>
      <c r="F1576" s="2" t="s">
        <v>262</v>
      </c>
      <c r="G1576" s="3" t="str">
        <f aca="false">INDEX(Produtos!$B$2:$B$11,MATCH(F1576,Produtos!$A$2:$A$11,0))&amp;" "&amp;INDEX(Produtos!$C$2:$C$11,MATCH(F1576,Produtos!$A$2:$A$11,0))</f>
        <v>Fone de Ouvido De Celular</v>
      </c>
      <c r="H1576" s="2" t="n">
        <v>3</v>
      </c>
      <c r="I1576" s="5" t="n">
        <f aca="false">INDEX(Produtos!$D$2:$D$11,MATCH(F1576,Produtos!$A$2:$A$11,0))</f>
        <v>59.9</v>
      </c>
      <c r="J1576" s="5" t="n">
        <f aca="false">H1576*I1576</f>
        <v>179.7</v>
      </c>
      <c r="K1576" s="5" t="n">
        <f aca="false">INDEX(Produtos!$E$2:$E$11,MATCH(F1576,Produtos!$A$2:$A$11,0))</f>
        <v>28</v>
      </c>
      <c r="L1576" s="5" t="n">
        <f aca="false">H1576*K1576</f>
        <v>84</v>
      </c>
    </row>
    <row r="1577" customFormat="false" ht="15" hidden="false" customHeight="false" outlineLevel="0" collapsed="false">
      <c r="A1577" s="2" t="s">
        <v>1859</v>
      </c>
      <c r="B1577" s="8" t="n">
        <v>46156</v>
      </c>
      <c r="C1577" s="2" t="s">
        <v>191</v>
      </c>
      <c r="D1577" s="3" t="str">
        <f aca="false">INDEX(Vendedores!$C$2:$C$101,MATCH(C1577,Vendedores!$A$2:$A$101,0))</f>
        <v>L08</v>
      </c>
      <c r="E1577" s="3" t="str">
        <f aca="false">INDEX(Lojas!$E$2:$E$11,MATCH(D1577,Lojas!$A$2:$A$11,0))</f>
        <v>Nordeste</v>
      </c>
      <c r="F1577" s="2" t="s">
        <v>267</v>
      </c>
      <c r="G1577" s="3" t="str">
        <f aca="false">INDEX(Produtos!$B$2:$B$11,MATCH(F1577,Produtos!$A$2:$A$11,0))&amp;" "&amp;INDEX(Produtos!$C$2:$C$11,MATCH(F1577,Produtos!$A$2:$A$11,0))</f>
        <v>Carregador de Celular Tipo C</v>
      </c>
      <c r="H1577" s="2" t="n">
        <v>1</v>
      </c>
      <c r="I1577" s="5" t="n">
        <f aca="false">INDEX(Produtos!$D$2:$D$11,MATCH(F1577,Produtos!$A$2:$A$11,0))</f>
        <v>44.9</v>
      </c>
      <c r="J1577" s="5" t="n">
        <f aca="false">H1577*I1577</f>
        <v>44.9</v>
      </c>
      <c r="K1577" s="5" t="n">
        <f aca="false">INDEX(Produtos!$E$2:$E$11,MATCH(F1577,Produtos!$A$2:$A$11,0))</f>
        <v>18</v>
      </c>
      <c r="L1577" s="5" t="n">
        <f aca="false">H1577*K1577</f>
        <v>18</v>
      </c>
    </row>
    <row r="1578" customFormat="false" ht="15" hidden="false" customHeight="false" outlineLevel="0" collapsed="false">
      <c r="A1578" s="2" t="s">
        <v>1860</v>
      </c>
      <c r="B1578" s="8" t="n">
        <v>46156</v>
      </c>
      <c r="C1578" s="2" t="s">
        <v>98</v>
      </c>
      <c r="D1578" s="3" t="str">
        <f aca="false">INDEX(Vendedores!$C$2:$C$101,MATCH(C1578,Vendedores!$A$2:$A$101,0))</f>
        <v>L03</v>
      </c>
      <c r="E1578" s="3" t="str">
        <f aca="false">INDEX(Lojas!$E$2:$E$11,MATCH(D1578,Lojas!$A$2:$A$11,0))</f>
        <v>Sudeste</v>
      </c>
      <c r="F1578" s="2" t="s">
        <v>267</v>
      </c>
      <c r="G1578" s="3" t="str">
        <f aca="false">INDEX(Produtos!$B$2:$B$11,MATCH(F1578,Produtos!$A$2:$A$11,0))&amp;" "&amp;INDEX(Produtos!$C$2:$C$11,MATCH(F1578,Produtos!$A$2:$A$11,0))</f>
        <v>Carregador de Celular Tipo C</v>
      </c>
      <c r="H1578" s="2" t="n">
        <v>3</v>
      </c>
      <c r="I1578" s="5" t="n">
        <f aca="false">INDEX(Produtos!$D$2:$D$11,MATCH(F1578,Produtos!$A$2:$A$11,0))</f>
        <v>44.9</v>
      </c>
      <c r="J1578" s="5" t="n">
        <f aca="false">H1578*I1578</f>
        <v>134.7</v>
      </c>
      <c r="K1578" s="5" t="n">
        <f aca="false">INDEX(Produtos!$E$2:$E$11,MATCH(F1578,Produtos!$A$2:$A$11,0))</f>
        <v>18</v>
      </c>
      <c r="L1578" s="5" t="n">
        <f aca="false">H1578*K1578</f>
        <v>54</v>
      </c>
    </row>
    <row r="1579" customFormat="false" ht="15" hidden="false" customHeight="false" outlineLevel="0" collapsed="false">
      <c r="A1579" s="2" t="s">
        <v>1861</v>
      </c>
      <c r="B1579" s="8" t="n">
        <v>46156</v>
      </c>
      <c r="C1579" s="2" t="s">
        <v>241</v>
      </c>
      <c r="D1579" s="3" t="str">
        <f aca="false">INDEX(Vendedores!$C$2:$C$101,MATCH(C1579,Vendedores!$A$2:$A$101,0))</f>
        <v>L10</v>
      </c>
      <c r="E1579" s="3" t="str">
        <f aca="false">INDEX(Lojas!$E$2:$E$11,MATCH(D1579,Lojas!$A$2:$A$11,0))</f>
        <v>Nordeste</v>
      </c>
      <c r="F1579" s="2" t="s">
        <v>262</v>
      </c>
      <c r="G1579" s="3" t="str">
        <f aca="false">INDEX(Produtos!$B$2:$B$11,MATCH(F1579,Produtos!$A$2:$A$11,0))&amp;" "&amp;INDEX(Produtos!$C$2:$C$11,MATCH(F1579,Produtos!$A$2:$A$11,0))</f>
        <v>Fone de Ouvido De Celular</v>
      </c>
      <c r="H1579" s="2" t="n">
        <v>1</v>
      </c>
      <c r="I1579" s="5" t="n">
        <f aca="false">INDEX(Produtos!$D$2:$D$11,MATCH(F1579,Produtos!$A$2:$A$11,0))</f>
        <v>59.9</v>
      </c>
      <c r="J1579" s="5" t="n">
        <f aca="false">H1579*I1579</f>
        <v>59.9</v>
      </c>
      <c r="K1579" s="5" t="n">
        <f aca="false">INDEX(Produtos!$E$2:$E$11,MATCH(F1579,Produtos!$A$2:$A$11,0))</f>
        <v>28</v>
      </c>
      <c r="L1579" s="5" t="n">
        <f aca="false">H1579*K1579</f>
        <v>28</v>
      </c>
    </row>
    <row r="1580" customFormat="false" ht="15" hidden="false" customHeight="false" outlineLevel="0" collapsed="false">
      <c r="A1580" s="2" t="s">
        <v>1862</v>
      </c>
      <c r="B1580" s="8" t="n">
        <v>46157</v>
      </c>
      <c r="C1580" s="2" t="s">
        <v>124</v>
      </c>
      <c r="D1580" s="3" t="str">
        <f aca="false">INDEX(Vendedores!$C$2:$C$101,MATCH(C1580,Vendedores!$A$2:$A$101,0))</f>
        <v>L04</v>
      </c>
      <c r="E1580" s="3" t="str">
        <f aca="false">INDEX(Lojas!$E$2:$E$11,MATCH(D1580,Lojas!$A$2:$A$11,0))</f>
        <v>Sudeste</v>
      </c>
      <c r="F1580" s="2" t="s">
        <v>252</v>
      </c>
      <c r="G1580" s="3" t="str">
        <f aca="false">INDEX(Produtos!$B$2:$B$11,MATCH(F1580,Produtos!$A$2:$A$11,0))&amp;" "&amp;INDEX(Produtos!$C$2:$C$11,MATCH(F1580,Produtos!$A$2:$A$11,0))</f>
        <v>Notebook Lenovo</v>
      </c>
      <c r="H1580" s="2" t="n">
        <v>1</v>
      </c>
      <c r="I1580" s="5" t="n">
        <f aca="false">INDEX(Produtos!$D$2:$D$11,MATCH(F1580,Produtos!$A$2:$A$11,0))</f>
        <v>3199</v>
      </c>
      <c r="J1580" s="5" t="n">
        <f aca="false">H1580*I1580</f>
        <v>3199</v>
      </c>
      <c r="K1580" s="5" t="n">
        <f aca="false">INDEX(Produtos!$E$2:$E$11,MATCH(F1580,Produtos!$A$2:$A$11,0))</f>
        <v>2350</v>
      </c>
      <c r="L1580" s="5" t="n">
        <f aca="false">H1580*K1580</f>
        <v>2350</v>
      </c>
    </row>
    <row r="1581" customFormat="false" ht="15" hidden="false" customHeight="false" outlineLevel="0" collapsed="false">
      <c r="A1581" s="2" t="s">
        <v>1863</v>
      </c>
      <c r="B1581" s="8" t="n">
        <v>46157</v>
      </c>
      <c r="C1581" s="2" t="s">
        <v>213</v>
      </c>
      <c r="D1581" s="3" t="str">
        <f aca="false">INDEX(Vendedores!$C$2:$C$101,MATCH(C1581,Vendedores!$A$2:$A$101,0))</f>
        <v>L09</v>
      </c>
      <c r="E1581" s="3" t="str">
        <f aca="false">INDEX(Lojas!$E$2:$E$11,MATCH(D1581,Lojas!$A$2:$A$11,0))</f>
        <v>Nordeste</v>
      </c>
      <c r="F1581" s="2" t="s">
        <v>255</v>
      </c>
      <c r="G1581" s="3" t="str">
        <f aca="false">INDEX(Produtos!$B$2:$B$11,MATCH(F1581,Produtos!$A$2:$A$11,0))&amp;" "&amp;INDEX(Produtos!$C$2:$C$11,MATCH(F1581,Produtos!$A$2:$A$11,0))</f>
        <v>Notebook Positivo</v>
      </c>
      <c r="H1581" s="2" t="n">
        <v>1</v>
      </c>
      <c r="I1581" s="5" t="n">
        <f aca="false">INDEX(Produtos!$D$2:$D$11,MATCH(F1581,Produtos!$A$2:$A$11,0))</f>
        <v>2199</v>
      </c>
      <c r="J1581" s="5" t="n">
        <f aca="false">H1581*I1581</f>
        <v>2199</v>
      </c>
      <c r="K1581" s="5" t="n">
        <f aca="false">INDEX(Produtos!$E$2:$E$11,MATCH(F1581,Produtos!$A$2:$A$11,0))</f>
        <v>1550</v>
      </c>
      <c r="L1581" s="5" t="n">
        <f aca="false">H1581*K1581</f>
        <v>1550</v>
      </c>
    </row>
    <row r="1582" customFormat="false" ht="15" hidden="false" customHeight="false" outlineLevel="0" collapsed="false">
      <c r="A1582" s="2" t="s">
        <v>1864</v>
      </c>
      <c r="B1582" s="8" t="n">
        <v>46157</v>
      </c>
      <c r="C1582" s="2" t="s">
        <v>233</v>
      </c>
      <c r="D1582" s="3" t="str">
        <f aca="false">INDEX(Vendedores!$C$2:$C$101,MATCH(C1582,Vendedores!$A$2:$A$101,0))</f>
        <v>L10</v>
      </c>
      <c r="E1582" s="3" t="str">
        <f aca="false">INDEX(Lojas!$E$2:$E$11,MATCH(D1582,Lojas!$A$2:$A$11,0))</f>
        <v>Nordeste</v>
      </c>
      <c r="F1582" s="2" t="s">
        <v>273</v>
      </c>
      <c r="G1582" s="3" t="str">
        <f aca="false">INDEX(Produtos!$B$2:$B$11,MATCH(F1582,Produtos!$A$2:$A$11,0))&amp;" "&amp;INDEX(Produtos!$C$2:$C$11,MATCH(F1582,Produtos!$A$2:$A$11,0))</f>
        <v>Controle de Videogame PS4</v>
      </c>
      <c r="H1582" s="2" t="n">
        <v>1</v>
      </c>
      <c r="I1582" s="5" t="n">
        <f aca="false">INDEX(Produtos!$D$2:$D$11,MATCH(F1582,Produtos!$A$2:$A$11,0))</f>
        <v>299.9</v>
      </c>
      <c r="J1582" s="5" t="n">
        <f aca="false">H1582*I1582</f>
        <v>299.9</v>
      </c>
      <c r="K1582" s="5" t="n">
        <f aca="false">INDEX(Produtos!$E$2:$E$11,MATCH(F1582,Produtos!$A$2:$A$11,0))</f>
        <v>175</v>
      </c>
      <c r="L1582" s="5" t="n">
        <f aca="false">H1582*K1582</f>
        <v>175</v>
      </c>
    </row>
    <row r="1583" customFormat="false" ht="15" hidden="false" customHeight="false" outlineLevel="0" collapsed="false">
      <c r="A1583" s="2" t="s">
        <v>1865</v>
      </c>
      <c r="B1583" s="8" t="n">
        <v>46157</v>
      </c>
      <c r="C1583" s="2" t="s">
        <v>112</v>
      </c>
      <c r="D1583" s="3" t="str">
        <f aca="false">INDEX(Vendedores!$C$2:$C$101,MATCH(C1583,Vendedores!$A$2:$A$101,0))</f>
        <v>L04</v>
      </c>
      <c r="E1583" s="3" t="str">
        <f aca="false">INDEX(Lojas!$E$2:$E$11,MATCH(D1583,Lojas!$A$2:$A$11,0))</f>
        <v>Sudeste</v>
      </c>
      <c r="F1583" s="2" t="s">
        <v>275</v>
      </c>
      <c r="G1583" s="3" t="str">
        <f aca="false">INDEX(Produtos!$B$2:$B$11,MATCH(F1583,Produtos!$A$2:$A$11,0))&amp;" "&amp;INDEX(Produtos!$C$2:$C$11,MATCH(F1583,Produtos!$A$2:$A$11,0))</f>
        <v>Controle de Videogame PS5</v>
      </c>
      <c r="H1583" s="2" t="n">
        <v>1</v>
      </c>
      <c r="I1583" s="5" t="n">
        <f aca="false">INDEX(Produtos!$D$2:$D$11,MATCH(F1583,Produtos!$A$2:$A$11,0))</f>
        <v>379.9</v>
      </c>
      <c r="J1583" s="5" t="n">
        <f aca="false">H1583*I1583</f>
        <v>379.9</v>
      </c>
      <c r="K1583" s="5" t="n">
        <f aca="false">INDEX(Produtos!$E$2:$E$11,MATCH(F1583,Produtos!$A$2:$A$11,0))</f>
        <v>235</v>
      </c>
      <c r="L1583" s="5" t="n">
        <f aca="false">H1583*K1583</f>
        <v>235</v>
      </c>
    </row>
    <row r="1584" customFormat="false" ht="15" hidden="false" customHeight="false" outlineLevel="0" collapsed="false">
      <c r="A1584" s="2" t="s">
        <v>1866</v>
      </c>
      <c r="B1584" s="8" t="n">
        <v>46157</v>
      </c>
      <c r="C1584" s="2" t="s">
        <v>231</v>
      </c>
      <c r="D1584" s="3" t="str">
        <f aca="false">INDEX(Vendedores!$C$2:$C$101,MATCH(C1584,Vendedores!$A$2:$A$101,0))</f>
        <v>L10</v>
      </c>
      <c r="E1584" s="3" t="str">
        <f aca="false">INDEX(Lojas!$E$2:$E$11,MATCH(D1584,Lojas!$A$2:$A$11,0))</f>
        <v>Nordeste</v>
      </c>
      <c r="F1584" s="2" t="s">
        <v>255</v>
      </c>
      <c r="G1584" s="3" t="str">
        <f aca="false">INDEX(Produtos!$B$2:$B$11,MATCH(F1584,Produtos!$A$2:$A$11,0))&amp;" "&amp;INDEX(Produtos!$C$2:$C$11,MATCH(F1584,Produtos!$A$2:$A$11,0))</f>
        <v>Notebook Positivo</v>
      </c>
      <c r="H1584" s="2" t="n">
        <v>1</v>
      </c>
      <c r="I1584" s="5" t="n">
        <f aca="false">INDEX(Produtos!$D$2:$D$11,MATCH(F1584,Produtos!$A$2:$A$11,0))</f>
        <v>2199</v>
      </c>
      <c r="J1584" s="5" t="n">
        <f aca="false">H1584*I1584</f>
        <v>2199</v>
      </c>
      <c r="K1584" s="5" t="n">
        <f aca="false">INDEX(Produtos!$E$2:$E$11,MATCH(F1584,Produtos!$A$2:$A$11,0))</f>
        <v>1550</v>
      </c>
      <c r="L1584" s="5" t="n">
        <f aca="false">H1584*K1584</f>
        <v>1550</v>
      </c>
    </row>
    <row r="1585" customFormat="false" ht="15" hidden="false" customHeight="false" outlineLevel="0" collapsed="false">
      <c r="A1585" s="2" t="s">
        <v>1867</v>
      </c>
      <c r="B1585" s="8" t="n">
        <v>46157</v>
      </c>
      <c r="C1585" s="2" t="s">
        <v>129</v>
      </c>
      <c r="D1585" s="3" t="str">
        <f aca="false">INDEX(Vendedores!$C$2:$C$101,MATCH(C1585,Vendedores!$A$2:$A$101,0))</f>
        <v>L05</v>
      </c>
      <c r="E1585" s="3" t="str">
        <f aca="false">INDEX(Lojas!$E$2:$E$11,MATCH(D1585,Lojas!$A$2:$A$11,0))</f>
        <v>Sul</v>
      </c>
      <c r="F1585" s="2" t="s">
        <v>262</v>
      </c>
      <c r="G1585" s="3" t="str">
        <f aca="false">INDEX(Produtos!$B$2:$B$11,MATCH(F1585,Produtos!$A$2:$A$11,0))&amp;" "&amp;INDEX(Produtos!$C$2:$C$11,MATCH(F1585,Produtos!$A$2:$A$11,0))</f>
        <v>Fone de Ouvido De Celular</v>
      </c>
      <c r="H1585" s="2" t="n">
        <v>1</v>
      </c>
      <c r="I1585" s="5" t="n">
        <f aca="false">INDEX(Produtos!$D$2:$D$11,MATCH(F1585,Produtos!$A$2:$A$11,0))</f>
        <v>59.9</v>
      </c>
      <c r="J1585" s="5" t="n">
        <f aca="false">H1585*I1585</f>
        <v>59.9</v>
      </c>
      <c r="K1585" s="5" t="n">
        <f aca="false">INDEX(Produtos!$E$2:$E$11,MATCH(F1585,Produtos!$A$2:$A$11,0))</f>
        <v>28</v>
      </c>
      <c r="L1585" s="5" t="n">
        <f aca="false">H1585*K1585</f>
        <v>28</v>
      </c>
    </row>
    <row r="1586" customFormat="false" ht="15" hidden="false" customHeight="false" outlineLevel="0" collapsed="false">
      <c r="A1586" s="2" t="s">
        <v>1868</v>
      </c>
      <c r="B1586" s="8" t="n">
        <v>46157</v>
      </c>
      <c r="C1586" s="2" t="s">
        <v>231</v>
      </c>
      <c r="D1586" s="3" t="str">
        <f aca="false">INDEX(Vendedores!$C$2:$C$101,MATCH(C1586,Vendedores!$A$2:$A$101,0))</f>
        <v>L10</v>
      </c>
      <c r="E1586" s="3" t="str">
        <f aca="false">INDEX(Lojas!$E$2:$E$11,MATCH(D1586,Lojas!$A$2:$A$11,0))</f>
        <v>Nordeste</v>
      </c>
      <c r="F1586" s="2" t="s">
        <v>267</v>
      </c>
      <c r="G1586" s="3" t="str">
        <f aca="false">INDEX(Produtos!$B$2:$B$11,MATCH(F1586,Produtos!$A$2:$A$11,0))&amp;" "&amp;INDEX(Produtos!$C$2:$C$11,MATCH(F1586,Produtos!$A$2:$A$11,0))</f>
        <v>Carregador de Celular Tipo C</v>
      </c>
      <c r="H1586" s="2" t="n">
        <v>1</v>
      </c>
      <c r="I1586" s="5" t="n">
        <f aca="false">INDEX(Produtos!$D$2:$D$11,MATCH(F1586,Produtos!$A$2:$A$11,0))</f>
        <v>44.9</v>
      </c>
      <c r="J1586" s="5" t="n">
        <f aca="false">H1586*I1586</f>
        <v>44.9</v>
      </c>
      <c r="K1586" s="5" t="n">
        <f aca="false">INDEX(Produtos!$E$2:$E$11,MATCH(F1586,Produtos!$A$2:$A$11,0))</f>
        <v>18</v>
      </c>
      <c r="L1586" s="5" t="n">
        <f aca="false">H1586*K1586</f>
        <v>18</v>
      </c>
    </row>
    <row r="1587" customFormat="false" ht="15" hidden="false" customHeight="false" outlineLevel="0" collapsed="false">
      <c r="A1587" s="2" t="s">
        <v>1869</v>
      </c>
      <c r="B1587" s="8" t="n">
        <v>46157</v>
      </c>
      <c r="C1587" s="2" t="s">
        <v>60</v>
      </c>
      <c r="D1587" s="3" t="str">
        <f aca="false">INDEX(Vendedores!$C$2:$C$101,MATCH(C1587,Vendedores!$A$2:$A$101,0))</f>
        <v>L01</v>
      </c>
      <c r="E1587" s="3" t="str">
        <f aca="false">INDEX(Lojas!$E$2:$E$11,MATCH(D1587,Lojas!$A$2:$A$11,0))</f>
        <v>Sudeste</v>
      </c>
      <c r="F1587" s="2" t="s">
        <v>257</v>
      </c>
      <c r="G1587" s="3" t="str">
        <f aca="false">INDEX(Produtos!$B$2:$B$11,MATCH(F1587,Produtos!$A$2:$A$11,0))&amp;" "&amp;INDEX(Produtos!$C$2:$C$11,MATCH(F1587,Produtos!$A$2:$A$11,0))</f>
        <v>Celular Samsung</v>
      </c>
      <c r="H1587" s="2" t="n">
        <v>1</v>
      </c>
      <c r="I1587" s="5" t="n">
        <f aca="false">INDEX(Produtos!$D$2:$D$11,MATCH(F1587,Produtos!$A$2:$A$11,0))</f>
        <v>2499</v>
      </c>
      <c r="J1587" s="5" t="n">
        <f aca="false">H1587*I1587</f>
        <v>2499</v>
      </c>
      <c r="K1587" s="5" t="n">
        <f aca="false">INDEX(Produtos!$E$2:$E$11,MATCH(F1587,Produtos!$A$2:$A$11,0))</f>
        <v>1800</v>
      </c>
      <c r="L1587" s="5" t="n">
        <f aca="false">H1587*K1587</f>
        <v>1800</v>
      </c>
    </row>
    <row r="1588" customFormat="false" ht="15" hidden="false" customHeight="false" outlineLevel="0" collapsed="false">
      <c r="A1588" s="2" t="s">
        <v>1870</v>
      </c>
      <c r="B1588" s="8" t="n">
        <v>46157</v>
      </c>
      <c r="C1588" s="2" t="s">
        <v>168</v>
      </c>
      <c r="D1588" s="3" t="str">
        <f aca="false">INDEX(Vendedores!$C$2:$C$101,MATCH(C1588,Vendedores!$A$2:$A$101,0))</f>
        <v>L07</v>
      </c>
      <c r="E1588" s="3" t="str">
        <f aca="false">INDEX(Lojas!$E$2:$E$11,MATCH(D1588,Lojas!$A$2:$A$11,0))</f>
        <v>Sul</v>
      </c>
      <c r="F1588" s="2" t="s">
        <v>262</v>
      </c>
      <c r="G1588" s="3" t="str">
        <f aca="false">INDEX(Produtos!$B$2:$B$11,MATCH(F1588,Produtos!$A$2:$A$11,0))&amp;" "&amp;INDEX(Produtos!$C$2:$C$11,MATCH(F1588,Produtos!$A$2:$A$11,0))</f>
        <v>Fone de Ouvido De Celular</v>
      </c>
      <c r="H1588" s="2" t="n">
        <v>1</v>
      </c>
      <c r="I1588" s="5" t="n">
        <f aca="false">INDEX(Produtos!$D$2:$D$11,MATCH(F1588,Produtos!$A$2:$A$11,0))</f>
        <v>59.9</v>
      </c>
      <c r="J1588" s="5" t="n">
        <f aca="false">H1588*I1588</f>
        <v>59.9</v>
      </c>
      <c r="K1588" s="5" t="n">
        <f aca="false">INDEX(Produtos!$E$2:$E$11,MATCH(F1588,Produtos!$A$2:$A$11,0))</f>
        <v>28</v>
      </c>
      <c r="L1588" s="5" t="n">
        <f aca="false">H1588*K1588</f>
        <v>28</v>
      </c>
    </row>
    <row r="1589" customFormat="false" ht="15" hidden="false" customHeight="false" outlineLevel="0" collapsed="false">
      <c r="A1589" s="2" t="s">
        <v>1871</v>
      </c>
      <c r="B1589" s="8" t="n">
        <v>46157</v>
      </c>
      <c r="C1589" s="2" t="s">
        <v>110</v>
      </c>
      <c r="D1589" s="3" t="str">
        <f aca="false">INDEX(Vendedores!$C$2:$C$101,MATCH(C1589,Vendedores!$A$2:$A$101,0))</f>
        <v>L04</v>
      </c>
      <c r="E1589" s="3" t="str">
        <f aca="false">INDEX(Lojas!$E$2:$E$11,MATCH(D1589,Lojas!$A$2:$A$11,0))</f>
        <v>Sudeste</v>
      </c>
      <c r="F1589" s="2" t="s">
        <v>273</v>
      </c>
      <c r="G1589" s="3" t="str">
        <f aca="false">INDEX(Produtos!$B$2:$B$11,MATCH(F1589,Produtos!$A$2:$A$11,0))&amp;" "&amp;INDEX(Produtos!$C$2:$C$11,MATCH(F1589,Produtos!$A$2:$A$11,0))</f>
        <v>Controle de Videogame PS4</v>
      </c>
      <c r="H1589" s="2" t="n">
        <v>3</v>
      </c>
      <c r="I1589" s="5" t="n">
        <f aca="false">INDEX(Produtos!$D$2:$D$11,MATCH(F1589,Produtos!$A$2:$A$11,0))</f>
        <v>299.9</v>
      </c>
      <c r="J1589" s="5" t="n">
        <f aca="false">H1589*I1589</f>
        <v>899.7</v>
      </c>
      <c r="K1589" s="5" t="n">
        <f aca="false">INDEX(Produtos!$E$2:$E$11,MATCH(F1589,Produtos!$A$2:$A$11,0))</f>
        <v>175</v>
      </c>
      <c r="L1589" s="5" t="n">
        <f aca="false">H1589*K1589</f>
        <v>525</v>
      </c>
    </row>
    <row r="1590" customFormat="false" ht="15" hidden="false" customHeight="false" outlineLevel="0" collapsed="false">
      <c r="A1590" s="2" t="s">
        <v>1872</v>
      </c>
      <c r="B1590" s="8" t="n">
        <v>46157</v>
      </c>
      <c r="C1590" s="2" t="s">
        <v>158</v>
      </c>
      <c r="D1590" s="3" t="str">
        <f aca="false">INDEX(Vendedores!$C$2:$C$101,MATCH(C1590,Vendedores!$A$2:$A$101,0))</f>
        <v>L06</v>
      </c>
      <c r="E1590" s="3" t="str">
        <f aca="false">INDEX(Lojas!$E$2:$E$11,MATCH(D1590,Lojas!$A$2:$A$11,0))</f>
        <v>Sul</v>
      </c>
      <c r="F1590" s="2" t="s">
        <v>267</v>
      </c>
      <c r="G1590" s="3" t="str">
        <f aca="false">INDEX(Produtos!$B$2:$B$11,MATCH(F1590,Produtos!$A$2:$A$11,0))&amp;" "&amp;INDEX(Produtos!$C$2:$C$11,MATCH(F1590,Produtos!$A$2:$A$11,0))</f>
        <v>Carregador de Celular Tipo C</v>
      </c>
      <c r="H1590" s="2" t="n">
        <v>1</v>
      </c>
      <c r="I1590" s="5" t="n">
        <f aca="false">INDEX(Produtos!$D$2:$D$11,MATCH(F1590,Produtos!$A$2:$A$11,0))</f>
        <v>44.9</v>
      </c>
      <c r="J1590" s="5" t="n">
        <f aca="false">H1590*I1590</f>
        <v>44.9</v>
      </c>
      <c r="K1590" s="5" t="n">
        <f aca="false">INDEX(Produtos!$E$2:$E$11,MATCH(F1590,Produtos!$A$2:$A$11,0))</f>
        <v>18</v>
      </c>
      <c r="L1590" s="5" t="n">
        <f aca="false">H1590*K1590</f>
        <v>18</v>
      </c>
    </row>
    <row r="1591" customFormat="false" ht="15" hidden="false" customHeight="false" outlineLevel="0" collapsed="false">
      <c r="A1591" s="2" t="s">
        <v>1873</v>
      </c>
      <c r="B1591" s="8" t="n">
        <v>46157</v>
      </c>
      <c r="C1591" s="2" t="s">
        <v>205</v>
      </c>
      <c r="D1591" s="3" t="str">
        <f aca="false">INDEX(Vendedores!$C$2:$C$101,MATCH(C1591,Vendedores!$A$2:$A$101,0))</f>
        <v>L09</v>
      </c>
      <c r="E1591" s="3" t="str">
        <f aca="false">INDEX(Lojas!$E$2:$E$11,MATCH(D1591,Lojas!$A$2:$A$11,0))</f>
        <v>Nordeste</v>
      </c>
      <c r="F1591" s="2" t="s">
        <v>267</v>
      </c>
      <c r="G1591" s="3" t="str">
        <f aca="false">INDEX(Produtos!$B$2:$B$11,MATCH(F1591,Produtos!$A$2:$A$11,0))&amp;" "&amp;INDEX(Produtos!$C$2:$C$11,MATCH(F1591,Produtos!$A$2:$A$11,0))</f>
        <v>Carregador de Celular Tipo C</v>
      </c>
      <c r="H1591" s="2" t="n">
        <v>1</v>
      </c>
      <c r="I1591" s="5" t="n">
        <f aca="false">INDEX(Produtos!$D$2:$D$11,MATCH(F1591,Produtos!$A$2:$A$11,0))</f>
        <v>44.9</v>
      </c>
      <c r="J1591" s="5" t="n">
        <f aca="false">H1591*I1591</f>
        <v>44.9</v>
      </c>
      <c r="K1591" s="5" t="n">
        <f aca="false">INDEX(Produtos!$E$2:$E$11,MATCH(F1591,Produtos!$A$2:$A$11,0))</f>
        <v>18</v>
      </c>
      <c r="L1591" s="5" t="n">
        <f aca="false">H1591*K1591</f>
        <v>18</v>
      </c>
    </row>
    <row r="1592" customFormat="false" ht="15" hidden="false" customHeight="false" outlineLevel="0" collapsed="false">
      <c r="A1592" s="2" t="s">
        <v>1874</v>
      </c>
      <c r="B1592" s="8" t="n">
        <v>46157</v>
      </c>
      <c r="C1592" s="2" t="s">
        <v>70</v>
      </c>
      <c r="D1592" s="3" t="str">
        <f aca="false">INDEX(Vendedores!$C$2:$C$101,MATCH(C1592,Vendedores!$A$2:$A$101,0))</f>
        <v>L02</v>
      </c>
      <c r="E1592" s="3" t="str">
        <f aca="false">INDEX(Lojas!$E$2:$E$11,MATCH(D1592,Lojas!$A$2:$A$11,0))</f>
        <v>Sudeste</v>
      </c>
      <c r="F1592" s="2" t="s">
        <v>257</v>
      </c>
      <c r="G1592" s="3" t="str">
        <f aca="false">INDEX(Produtos!$B$2:$B$11,MATCH(F1592,Produtos!$A$2:$A$11,0))&amp;" "&amp;INDEX(Produtos!$C$2:$C$11,MATCH(F1592,Produtos!$A$2:$A$11,0))</f>
        <v>Celular Samsung</v>
      </c>
      <c r="H1592" s="2" t="n">
        <v>1</v>
      </c>
      <c r="I1592" s="5" t="n">
        <f aca="false">INDEX(Produtos!$D$2:$D$11,MATCH(F1592,Produtos!$A$2:$A$11,0))</f>
        <v>2499</v>
      </c>
      <c r="J1592" s="5" t="n">
        <f aca="false">H1592*I1592</f>
        <v>2499</v>
      </c>
      <c r="K1592" s="5" t="n">
        <f aca="false">INDEX(Produtos!$E$2:$E$11,MATCH(F1592,Produtos!$A$2:$A$11,0))</f>
        <v>1800</v>
      </c>
      <c r="L1592" s="5" t="n">
        <f aca="false">H1592*K1592</f>
        <v>1800</v>
      </c>
    </row>
    <row r="1593" customFormat="false" ht="15" hidden="false" customHeight="false" outlineLevel="0" collapsed="false">
      <c r="A1593" s="2" t="s">
        <v>1875</v>
      </c>
      <c r="B1593" s="8" t="n">
        <v>46157</v>
      </c>
      <c r="C1593" s="2" t="s">
        <v>211</v>
      </c>
      <c r="D1593" s="3" t="str">
        <f aca="false">INDEX(Vendedores!$C$2:$C$101,MATCH(C1593,Vendedores!$A$2:$A$101,0))</f>
        <v>L09</v>
      </c>
      <c r="E1593" s="3" t="str">
        <f aca="false">INDEX(Lojas!$E$2:$E$11,MATCH(D1593,Lojas!$A$2:$A$11,0))</f>
        <v>Nordeste</v>
      </c>
      <c r="F1593" s="2" t="s">
        <v>267</v>
      </c>
      <c r="G1593" s="3" t="str">
        <f aca="false">INDEX(Produtos!$B$2:$B$11,MATCH(F1593,Produtos!$A$2:$A$11,0))&amp;" "&amp;INDEX(Produtos!$C$2:$C$11,MATCH(F1593,Produtos!$A$2:$A$11,0))</f>
        <v>Carregador de Celular Tipo C</v>
      </c>
      <c r="H1593" s="2" t="n">
        <v>1</v>
      </c>
      <c r="I1593" s="5" t="n">
        <f aca="false">INDEX(Produtos!$D$2:$D$11,MATCH(F1593,Produtos!$A$2:$A$11,0))</f>
        <v>44.9</v>
      </c>
      <c r="J1593" s="5" t="n">
        <f aca="false">H1593*I1593</f>
        <v>44.9</v>
      </c>
      <c r="K1593" s="5" t="n">
        <f aca="false">INDEX(Produtos!$E$2:$E$11,MATCH(F1593,Produtos!$A$2:$A$11,0))</f>
        <v>18</v>
      </c>
      <c r="L1593" s="5" t="n">
        <f aca="false">H1593*K1593</f>
        <v>18</v>
      </c>
    </row>
    <row r="1594" customFormat="false" ht="15" hidden="false" customHeight="false" outlineLevel="0" collapsed="false">
      <c r="A1594" s="2" t="s">
        <v>1876</v>
      </c>
      <c r="B1594" s="8" t="n">
        <v>46157</v>
      </c>
      <c r="C1594" s="2" t="s">
        <v>158</v>
      </c>
      <c r="D1594" s="3" t="str">
        <f aca="false">INDEX(Vendedores!$C$2:$C$101,MATCH(C1594,Vendedores!$A$2:$A$101,0))</f>
        <v>L06</v>
      </c>
      <c r="E1594" s="3" t="str">
        <f aca="false">INDEX(Lojas!$E$2:$E$11,MATCH(D1594,Lojas!$A$2:$A$11,0))</f>
        <v>Sul</v>
      </c>
      <c r="F1594" s="2" t="s">
        <v>267</v>
      </c>
      <c r="G1594" s="3" t="str">
        <f aca="false">INDEX(Produtos!$B$2:$B$11,MATCH(F1594,Produtos!$A$2:$A$11,0))&amp;" "&amp;INDEX(Produtos!$C$2:$C$11,MATCH(F1594,Produtos!$A$2:$A$11,0))</f>
        <v>Carregador de Celular Tipo C</v>
      </c>
      <c r="H1594" s="2" t="n">
        <v>1</v>
      </c>
      <c r="I1594" s="5" t="n">
        <f aca="false">INDEX(Produtos!$D$2:$D$11,MATCH(F1594,Produtos!$A$2:$A$11,0))</f>
        <v>44.9</v>
      </c>
      <c r="J1594" s="5" t="n">
        <f aca="false">H1594*I1594</f>
        <v>44.9</v>
      </c>
      <c r="K1594" s="5" t="n">
        <f aca="false">INDEX(Produtos!$E$2:$E$11,MATCH(F1594,Produtos!$A$2:$A$11,0))</f>
        <v>18</v>
      </c>
      <c r="L1594" s="5" t="n">
        <f aca="false">H1594*K1594</f>
        <v>18</v>
      </c>
    </row>
    <row r="1595" customFormat="false" ht="15" hidden="false" customHeight="false" outlineLevel="0" collapsed="false">
      <c r="A1595" s="2" t="s">
        <v>1877</v>
      </c>
      <c r="B1595" s="8" t="n">
        <v>46157</v>
      </c>
      <c r="C1595" s="2" t="s">
        <v>137</v>
      </c>
      <c r="D1595" s="3" t="str">
        <f aca="false">INDEX(Vendedores!$C$2:$C$101,MATCH(C1595,Vendedores!$A$2:$A$101,0))</f>
        <v>L05</v>
      </c>
      <c r="E1595" s="3" t="str">
        <f aca="false">INDEX(Lojas!$E$2:$E$11,MATCH(D1595,Lojas!$A$2:$A$11,0))</f>
        <v>Sul</v>
      </c>
      <c r="F1595" s="2" t="s">
        <v>262</v>
      </c>
      <c r="G1595" s="3" t="str">
        <f aca="false">INDEX(Produtos!$B$2:$B$11,MATCH(F1595,Produtos!$A$2:$A$11,0))&amp;" "&amp;INDEX(Produtos!$C$2:$C$11,MATCH(F1595,Produtos!$A$2:$A$11,0))</f>
        <v>Fone de Ouvido De Celular</v>
      </c>
      <c r="H1595" s="2" t="n">
        <v>2</v>
      </c>
      <c r="I1595" s="5" t="n">
        <f aca="false">INDEX(Produtos!$D$2:$D$11,MATCH(F1595,Produtos!$A$2:$A$11,0))</f>
        <v>59.9</v>
      </c>
      <c r="J1595" s="5" t="n">
        <f aca="false">H1595*I1595</f>
        <v>119.8</v>
      </c>
      <c r="K1595" s="5" t="n">
        <f aca="false">INDEX(Produtos!$E$2:$E$11,MATCH(F1595,Produtos!$A$2:$A$11,0))</f>
        <v>28</v>
      </c>
      <c r="L1595" s="5" t="n">
        <f aca="false">H1595*K1595</f>
        <v>56</v>
      </c>
    </row>
    <row r="1596" customFormat="false" ht="15" hidden="false" customHeight="false" outlineLevel="0" collapsed="false">
      <c r="A1596" s="2" t="s">
        <v>1878</v>
      </c>
      <c r="B1596" s="8" t="n">
        <v>46158</v>
      </c>
      <c r="C1596" s="2" t="s">
        <v>52</v>
      </c>
      <c r="D1596" s="3" t="str">
        <f aca="false">INDEX(Vendedores!$C$2:$C$101,MATCH(C1596,Vendedores!$A$2:$A$101,0))</f>
        <v>L01</v>
      </c>
      <c r="E1596" s="3" t="str">
        <f aca="false">INDEX(Lojas!$E$2:$E$11,MATCH(D1596,Lojas!$A$2:$A$11,0))</f>
        <v>Sudeste</v>
      </c>
      <c r="F1596" s="2" t="s">
        <v>275</v>
      </c>
      <c r="G1596" s="3" t="str">
        <f aca="false">INDEX(Produtos!$B$2:$B$11,MATCH(F1596,Produtos!$A$2:$A$11,0))&amp;" "&amp;INDEX(Produtos!$C$2:$C$11,MATCH(F1596,Produtos!$A$2:$A$11,0))</f>
        <v>Controle de Videogame PS5</v>
      </c>
      <c r="H1596" s="2" t="n">
        <v>1</v>
      </c>
      <c r="I1596" s="5" t="n">
        <f aca="false">INDEX(Produtos!$D$2:$D$11,MATCH(F1596,Produtos!$A$2:$A$11,0))</f>
        <v>379.9</v>
      </c>
      <c r="J1596" s="5" t="n">
        <f aca="false">H1596*I1596</f>
        <v>379.9</v>
      </c>
      <c r="K1596" s="5" t="n">
        <f aca="false">INDEX(Produtos!$E$2:$E$11,MATCH(F1596,Produtos!$A$2:$A$11,0))</f>
        <v>235</v>
      </c>
      <c r="L1596" s="5" t="n">
        <f aca="false">H1596*K1596</f>
        <v>235</v>
      </c>
    </row>
    <row r="1597" customFormat="false" ht="15" hidden="false" customHeight="false" outlineLevel="0" collapsed="false">
      <c r="A1597" s="2" t="s">
        <v>1879</v>
      </c>
      <c r="B1597" s="8" t="n">
        <v>46158</v>
      </c>
      <c r="C1597" s="2" t="s">
        <v>137</v>
      </c>
      <c r="D1597" s="3" t="str">
        <f aca="false">INDEX(Vendedores!$C$2:$C$101,MATCH(C1597,Vendedores!$A$2:$A$101,0))</f>
        <v>L05</v>
      </c>
      <c r="E1597" s="3" t="str">
        <f aca="false">INDEX(Lojas!$E$2:$E$11,MATCH(D1597,Lojas!$A$2:$A$11,0))</f>
        <v>Sul</v>
      </c>
      <c r="F1597" s="2" t="s">
        <v>275</v>
      </c>
      <c r="G1597" s="3" t="str">
        <f aca="false">INDEX(Produtos!$B$2:$B$11,MATCH(F1597,Produtos!$A$2:$A$11,0))&amp;" "&amp;INDEX(Produtos!$C$2:$C$11,MATCH(F1597,Produtos!$A$2:$A$11,0))</f>
        <v>Controle de Videogame PS5</v>
      </c>
      <c r="H1597" s="2" t="n">
        <v>1</v>
      </c>
      <c r="I1597" s="5" t="n">
        <f aca="false">INDEX(Produtos!$D$2:$D$11,MATCH(F1597,Produtos!$A$2:$A$11,0))</f>
        <v>379.9</v>
      </c>
      <c r="J1597" s="5" t="n">
        <f aca="false">H1597*I1597</f>
        <v>379.9</v>
      </c>
      <c r="K1597" s="5" t="n">
        <f aca="false">INDEX(Produtos!$E$2:$E$11,MATCH(F1597,Produtos!$A$2:$A$11,0))</f>
        <v>235</v>
      </c>
      <c r="L1597" s="5" t="n">
        <f aca="false">H1597*K1597</f>
        <v>235</v>
      </c>
    </row>
    <row r="1598" customFormat="false" ht="15" hidden="false" customHeight="false" outlineLevel="0" collapsed="false">
      <c r="A1598" s="2" t="s">
        <v>1880</v>
      </c>
      <c r="B1598" s="8" t="n">
        <v>46158</v>
      </c>
      <c r="C1598" s="2" t="s">
        <v>241</v>
      </c>
      <c r="D1598" s="3" t="str">
        <f aca="false">INDEX(Vendedores!$C$2:$C$101,MATCH(C1598,Vendedores!$A$2:$A$101,0))</f>
        <v>L10</v>
      </c>
      <c r="E1598" s="3" t="str">
        <f aca="false">INDEX(Lojas!$E$2:$E$11,MATCH(D1598,Lojas!$A$2:$A$11,0))</f>
        <v>Nordeste</v>
      </c>
      <c r="F1598" s="2" t="s">
        <v>260</v>
      </c>
      <c r="G1598" s="3" t="str">
        <f aca="false">INDEX(Produtos!$B$2:$B$11,MATCH(F1598,Produtos!$A$2:$A$11,0))&amp;" "&amp;INDEX(Produtos!$C$2:$C$11,MATCH(F1598,Produtos!$A$2:$A$11,0))</f>
        <v>Celular Motorola</v>
      </c>
      <c r="H1598" s="2" t="n">
        <v>2</v>
      </c>
      <c r="I1598" s="5" t="n">
        <f aca="false">INDEX(Produtos!$D$2:$D$11,MATCH(F1598,Produtos!$A$2:$A$11,0))</f>
        <v>1799</v>
      </c>
      <c r="J1598" s="5" t="n">
        <f aca="false">H1598*I1598</f>
        <v>3598</v>
      </c>
      <c r="K1598" s="5" t="n">
        <f aca="false">INDEX(Produtos!$E$2:$E$11,MATCH(F1598,Produtos!$A$2:$A$11,0))</f>
        <v>1250</v>
      </c>
      <c r="L1598" s="5" t="n">
        <f aca="false">H1598*K1598</f>
        <v>2500</v>
      </c>
    </row>
    <row r="1599" customFormat="false" ht="15" hidden="false" customHeight="false" outlineLevel="0" collapsed="false">
      <c r="A1599" s="2" t="s">
        <v>1881</v>
      </c>
      <c r="B1599" s="8" t="n">
        <v>46158</v>
      </c>
      <c r="C1599" s="2" t="s">
        <v>205</v>
      </c>
      <c r="D1599" s="3" t="str">
        <f aca="false">INDEX(Vendedores!$C$2:$C$101,MATCH(C1599,Vendedores!$A$2:$A$101,0))</f>
        <v>L09</v>
      </c>
      <c r="E1599" s="3" t="str">
        <f aca="false">INDEX(Lojas!$E$2:$E$11,MATCH(D1599,Lojas!$A$2:$A$11,0))</f>
        <v>Nordeste</v>
      </c>
      <c r="F1599" s="2" t="s">
        <v>270</v>
      </c>
      <c r="G1599" s="3" t="str">
        <f aca="false">INDEX(Produtos!$B$2:$B$11,MATCH(F1599,Produtos!$A$2:$A$11,0))&amp;" "&amp;INDEX(Produtos!$C$2:$C$11,MATCH(F1599,Produtos!$A$2:$A$11,0))</f>
        <v>Controle de Videogame Xbox</v>
      </c>
      <c r="H1599" s="2" t="n">
        <v>1</v>
      </c>
      <c r="I1599" s="5" t="n">
        <f aca="false">INDEX(Produtos!$D$2:$D$11,MATCH(F1599,Produtos!$A$2:$A$11,0))</f>
        <v>349.9</v>
      </c>
      <c r="J1599" s="5" t="n">
        <f aca="false">H1599*I1599</f>
        <v>349.9</v>
      </c>
      <c r="K1599" s="5" t="n">
        <f aca="false">INDEX(Produtos!$E$2:$E$11,MATCH(F1599,Produtos!$A$2:$A$11,0))</f>
        <v>215</v>
      </c>
      <c r="L1599" s="5" t="n">
        <f aca="false">H1599*K1599</f>
        <v>215</v>
      </c>
    </row>
    <row r="1600" customFormat="false" ht="15" hidden="false" customHeight="false" outlineLevel="0" collapsed="false">
      <c r="A1600" s="2" t="s">
        <v>1882</v>
      </c>
      <c r="B1600" s="8" t="n">
        <v>46158</v>
      </c>
      <c r="C1600" s="2" t="s">
        <v>128</v>
      </c>
      <c r="D1600" s="3" t="str">
        <f aca="false">INDEX(Vendedores!$C$2:$C$101,MATCH(C1600,Vendedores!$A$2:$A$101,0))</f>
        <v>L04</v>
      </c>
      <c r="E1600" s="3" t="str">
        <f aca="false">INDEX(Lojas!$E$2:$E$11,MATCH(D1600,Lojas!$A$2:$A$11,0))</f>
        <v>Sudeste</v>
      </c>
      <c r="F1600" s="2" t="s">
        <v>265</v>
      </c>
      <c r="G1600" s="3" t="str">
        <f aca="false">INDEX(Produtos!$B$2:$B$11,MATCH(F1600,Produtos!$A$2:$A$11,0))&amp;" "&amp;INDEX(Produtos!$C$2:$C$11,MATCH(F1600,Produtos!$A$2:$A$11,0))</f>
        <v>Fone de Ouvido Headset</v>
      </c>
      <c r="H1600" s="2" t="n">
        <v>1</v>
      </c>
      <c r="I1600" s="5" t="n">
        <f aca="false">INDEX(Produtos!$D$2:$D$11,MATCH(F1600,Produtos!$A$2:$A$11,0))</f>
        <v>249.9</v>
      </c>
      <c r="J1600" s="5" t="n">
        <f aca="false">H1600*I1600</f>
        <v>249.9</v>
      </c>
      <c r="K1600" s="5" t="n">
        <f aca="false">INDEX(Produtos!$E$2:$E$11,MATCH(F1600,Produtos!$A$2:$A$11,0))</f>
        <v>145</v>
      </c>
      <c r="L1600" s="5" t="n">
        <f aca="false">H1600*K1600</f>
        <v>145</v>
      </c>
    </row>
    <row r="1601" customFormat="false" ht="15" hidden="false" customHeight="false" outlineLevel="0" collapsed="false">
      <c r="A1601" s="2" t="s">
        <v>1883</v>
      </c>
      <c r="B1601" s="8" t="n">
        <v>46158</v>
      </c>
      <c r="C1601" s="2" t="s">
        <v>225</v>
      </c>
      <c r="D1601" s="3" t="str">
        <f aca="false">INDEX(Vendedores!$C$2:$C$101,MATCH(C1601,Vendedores!$A$2:$A$101,0))</f>
        <v>L10</v>
      </c>
      <c r="E1601" s="3" t="str">
        <f aca="false">INDEX(Lojas!$E$2:$E$11,MATCH(D1601,Lojas!$A$2:$A$11,0))</f>
        <v>Nordeste</v>
      </c>
      <c r="F1601" s="2" t="s">
        <v>252</v>
      </c>
      <c r="G1601" s="3" t="str">
        <f aca="false">INDEX(Produtos!$B$2:$B$11,MATCH(F1601,Produtos!$A$2:$A$11,0))&amp;" "&amp;INDEX(Produtos!$C$2:$C$11,MATCH(F1601,Produtos!$A$2:$A$11,0))</f>
        <v>Notebook Lenovo</v>
      </c>
      <c r="H1601" s="2" t="n">
        <v>1</v>
      </c>
      <c r="I1601" s="5" t="n">
        <f aca="false">INDEX(Produtos!$D$2:$D$11,MATCH(F1601,Produtos!$A$2:$A$11,0))</f>
        <v>3199</v>
      </c>
      <c r="J1601" s="5" t="n">
        <f aca="false">H1601*I1601</f>
        <v>3199</v>
      </c>
      <c r="K1601" s="5" t="n">
        <f aca="false">INDEX(Produtos!$E$2:$E$11,MATCH(F1601,Produtos!$A$2:$A$11,0))</f>
        <v>2350</v>
      </c>
      <c r="L1601" s="5" t="n">
        <f aca="false">H1601*K1601</f>
        <v>2350</v>
      </c>
    </row>
    <row r="1602" customFormat="false" ht="15" hidden="false" customHeight="false" outlineLevel="0" collapsed="false">
      <c r="A1602" s="2" t="s">
        <v>1884</v>
      </c>
      <c r="B1602" s="8" t="n">
        <v>46158</v>
      </c>
      <c r="C1602" s="2" t="s">
        <v>80</v>
      </c>
      <c r="D1602" s="3" t="str">
        <f aca="false">INDEX(Vendedores!$C$2:$C$101,MATCH(C1602,Vendedores!$A$2:$A$101,0))</f>
        <v>L02</v>
      </c>
      <c r="E1602" s="3" t="str">
        <f aca="false">INDEX(Lojas!$E$2:$E$11,MATCH(D1602,Lojas!$A$2:$A$11,0))</f>
        <v>Sudeste</v>
      </c>
      <c r="F1602" s="2" t="s">
        <v>267</v>
      </c>
      <c r="G1602" s="3" t="str">
        <f aca="false">INDEX(Produtos!$B$2:$B$11,MATCH(F1602,Produtos!$A$2:$A$11,0))&amp;" "&amp;INDEX(Produtos!$C$2:$C$11,MATCH(F1602,Produtos!$A$2:$A$11,0))</f>
        <v>Carregador de Celular Tipo C</v>
      </c>
      <c r="H1602" s="2" t="n">
        <v>1</v>
      </c>
      <c r="I1602" s="5" t="n">
        <f aca="false">INDEX(Produtos!$D$2:$D$11,MATCH(F1602,Produtos!$A$2:$A$11,0))</f>
        <v>44.9</v>
      </c>
      <c r="J1602" s="5" t="n">
        <f aca="false">H1602*I1602</f>
        <v>44.9</v>
      </c>
      <c r="K1602" s="5" t="n">
        <f aca="false">INDEX(Produtos!$E$2:$E$11,MATCH(F1602,Produtos!$A$2:$A$11,0))</f>
        <v>18</v>
      </c>
      <c r="L1602" s="5" t="n">
        <f aca="false">H1602*K1602</f>
        <v>18</v>
      </c>
    </row>
    <row r="1603" customFormat="false" ht="15" hidden="false" customHeight="false" outlineLevel="0" collapsed="false">
      <c r="A1603" s="2" t="s">
        <v>1885</v>
      </c>
      <c r="B1603" s="8" t="n">
        <v>46158</v>
      </c>
      <c r="C1603" s="2" t="s">
        <v>64</v>
      </c>
      <c r="D1603" s="3" t="str">
        <f aca="false">INDEX(Vendedores!$C$2:$C$101,MATCH(C1603,Vendedores!$A$2:$A$101,0))</f>
        <v>L01</v>
      </c>
      <c r="E1603" s="3" t="str">
        <f aca="false">INDEX(Lojas!$E$2:$E$11,MATCH(D1603,Lojas!$A$2:$A$11,0))</f>
        <v>Sudeste</v>
      </c>
      <c r="F1603" s="2" t="s">
        <v>255</v>
      </c>
      <c r="G1603" s="3" t="str">
        <f aca="false">INDEX(Produtos!$B$2:$B$11,MATCH(F1603,Produtos!$A$2:$A$11,0))&amp;" "&amp;INDEX(Produtos!$C$2:$C$11,MATCH(F1603,Produtos!$A$2:$A$11,0))</f>
        <v>Notebook Positivo</v>
      </c>
      <c r="H1603" s="2" t="n">
        <v>1</v>
      </c>
      <c r="I1603" s="5" t="n">
        <f aca="false">INDEX(Produtos!$D$2:$D$11,MATCH(F1603,Produtos!$A$2:$A$11,0))</f>
        <v>2199</v>
      </c>
      <c r="J1603" s="5" t="n">
        <f aca="false">H1603*I1603</f>
        <v>2199</v>
      </c>
      <c r="K1603" s="5" t="n">
        <f aca="false">INDEX(Produtos!$E$2:$E$11,MATCH(F1603,Produtos!$A$2:$A$11,0))</f>
        <v>1550</v>
      </c>
      <c r="L1603" s="5" t="n">
        <f aca="false">H1603*K1603</f>
        <v>1550</v>
      </c>
    </row>
    <row r="1604" customFormat="false" ht="15" hidden="false" customHeight="false" outlineLevel="0" collapsed="false">
      <c r="A1604" s="2" t="s">
        <v>1886</v>
      </c>
      <c r="B1604" s="8" t="n">
        <v>46158</v>
      </c>
      <c r="C1604" s="2" t="s">
        <v>225</v>
      </c>
      <c r="D1604" s="3" t="str">
        <f aca="false">INDEX(Vendedores!$C$2:$C$101,MATCH(C1604,Vendedores!$A$2:$A$101,0))</f>
        <v>L10</v>
      </c>
      <c r="E1604" s="3" t="str">
        <f aca="false">INDEX(Lojas!$E$2:$E$11,MATCH(D1604,Lojas!$A$2:$A$11,0))</f>
        <v>Nordeste</v>
      </c>
      <c r="F1604" s="2" t="s">
        <v>267</v>
      </c>
      <c r="G1604" s="3" t="str">
        <f aca="false">INDEX(Produtos!$B$2:$B$11,MATCH(F1604,Produtos!$A$2:$A$11,0))&amp;" "&amp;INDEX(Produtos!$C$2:$C$11,MATCH(F1604,Produtos!$A$2:$A$11,0))</f>
        <v>Carregador de Celular Tipo C</v>
      </c>
      <c r="H1604" s="2" t="n">
        <v>3</v>
      </c>
      <c r="I1604" s="5" t="n">
        <f aca="false">INDEX(Produtos!$D$2:$D$11,MATCH(F1604,Produtos!$A$2:$A$11,0))</f>
        <v>44.9</v>
      </c>
      <c r="J1604" s="5" t="n">
        <f aca="false">H1604*I1604</f>
        <v>134.7</v>
      </c>
      <c r="K1604" s="5" t="n">
        <f aca="false">INDEX(Produtos!$E$2:$E$11,MATCH(F1604,Produtos!$A$2:$A$11,0))</f>
        <v>18</v>
      </c>
      <c r="L1604" s="5" t="n">
        <f aca="false">H1604*K1604</f>
        <v>54</v>
      </c>
    </row>
    <row r="1605" customFormat="false" ht="15" hidden="false" customHeight="false" outlineLevel="0" collapsed="false">
      <c r="A1605" s="2" t="s">
        <v>1887</v>
      </c>
      <c r="B1605" s="8" t="n">
        <v>46158</v>
      </c>
      <c r="C1605" s="2" t="s">
        <v>138</v>
      </c>
      <c r="D1605" s="3" t="str">
        <f aca="false">INDEX(Vendedores!$C$2:$C$101,MATCH(C1605,Vendedores!$A$2:$A$101,0))</f>
        <v>L05</v>
      </c>
      <c r="E1605" s="3" t="str">
        <f aca="false">INDEX(Lojas!$E$2:$E$11,MATCH(D1605,Lojas!$A$2:$A$11,0))</f>
        <v>Sul</v>
      </c>
      <c r="F1605" s="2" t="s">
        <v>270</v>
      </c>
      <c r="G1605" s="3" t="str">
        <f aca="false">INDEX(Produtos!$B$2:$B$11,MATCH(F1605,Produtos!$A$2:$A$11,0))&amp;" "&amp;INDEX(Produtos!$C$2:$C$11,MATCH(F1605,Produtos!$A$2:$A$11,0))</f>
        <v>Controle de Videogame Xbox</v>
      </c>
      <c r="H1605" s="2" t="n">
        <v>2</v>
      </c>
      <c r="I1605" s="5" t="n">
        <f aca="false">INDEX(Produtos!$D$2:$D$11,MATCH(F1605,Produtos!$A$2:$A$11,0))</f>
        <v>349.9</v>
      </c>
      <c r="J1605" s="5" t="n">
        <f aca="false">H1605*I1605</f>
        <v>699.8</v>
      </c>
      <c r="K1605" s="5" t="n">
        <f aca="false">INDEX(Produtos!$E$2:$E$11,MATCH(F1605,Produtos!$A$2:$A$11,0))</f>
        <v>215</v>
      </c>
      <c r="L1605" s="5" t="n">
        <f aca="false">H1605*K1605</f>
        <v>430</v>
      </c>
    </row>
    <row r="1606" customFormat="false" ht="15" hidden="false" customHeight="false" outlineLevel="0" collapsed="false">
      <c r="A1606" s="2" t="s">
        <v>1888</v>
      </c>
      <c r="B1606" s="8" t="n">
        <v>46158</v>
      </c>
      <c r="C1606" s="2" t="s">
        <v>233</v>
      </c>
      <c r="D1606" s="3" t="str">
        <f aca="false">INDEX(Vendedores!$C$2:$C$101,MATCH(C1606,Vendedores!$A$2:$A$101,0))</f>
        <v>L10</v>
      </c>
      <c r="E1606" s="3" t="str">
        <f aca="false">INDEX(Lojas!$E$2:$E$11,MATCH(D1606,Lojas!$A$2:$A$11,0))</f>
        <v>Nordeste</v>
      </c>
      <c r="F1606" s="2" t="s">
        <v>262</v>
      </c>
      <c r="G1606" s="3" t="str">
        <f aca="false">INDEX(Produtos!$B$2:$B$11,MATCH(F1606,Produtos!$A$2:$A$11,0))&amp;" "&amp;INDEX(Produtos!$C$2:$C$11,MATCH(F1606,Produtos!$A$2:$A$11,0))</f>
        <v>Fone de Ouvido De Celular</v>
      </c>
      <c r="H1606" s="2" t="n">
        <v>1</v>
      </c>
      <c r="I1606" s="5" t="n">
        <f aca="false">INDEX(Produtos!$D$2:$D$11,MATCH(F1606,Produtos!$A$2:$A$11,0))</f>
        <v>59.9</v>
      </c>
      <c r="J1606" s="5" t="n">
        <f aca="false">H1606*I1606</f>
        <v>59.9</v>
      </c>
      <c r="K1606" s="5" t="n">
        <f aca="false">INDEX(Produtos!$E$2:$E$11,MATCH(F1606,Produtos!$A$2:$A$11,0))</f>
        <v>28</v>
      </c>
      <c r="L1606" s="5" t="n">
        <f aca="false">H1606*K1606</f>
        <v>28</v>
      </c>
    </row>
    <row r="1607" customFormat="false" ht="15" hidden="false" customHeight="false" outlineLevel="0" collapsed="false">
      <c r="A1607" s="2" t="s">
        <v>1889</v>
      </c>
      <c r="B1607" s="8" t="n">
        <v>46158</v>
      </c>
      <c r="C1607" s="2" t="s">
        <v>166</v>
      </c>
      <c r="D1607" s="3" t="str">
        <f aca="false">INDEX(Vendedores!$C$2:$C$101,MATCH(C1607,Vendedores!$A$2:$A$101,0))</f>
        <v>L06</v>
      </c>
      <c r="E1607" s="3" t="str">
        <f aca="false">INDEX(Lojas!$E$2:$E$11,MATCH(D1607,Lojas!$A$2:$A$11,0))</f>
        <v>Sul</v>
      </c>
      <c r="F1607" s="2" t="s">
        <v>255</v>
      </c>
      <c r="G1607" s="3" t="str">
        <f aca="false">INDEX(Produtos!$B$2:$B$11,MATCH(F1607,Produtos!$A$2:$A$11,0))&amp;" "&amp;INDEX(Produtos!$C$2:$C$11,MATCH(F1607,Produtos!$A$2:$A$11,0))</f>
        <v>Notebook Positivo</v>
      </c>
      <c r="H1607" s="2" t="n">
        <v>1</v>
      </c>
      <c r="I1607" s="5" t="n">
        <f aca="false">INDEX(Produtos!$D$2:$D$11,MATCH(F1607,Produtos!$A$2:$A$11,0))</f>
        <v>2199</v>
      </c>
      <c r="J1607" s="5" t="n">
        <f aca="false">H1607*I1607</f>
        <v>2199</v>
      </c>
      <c r="K1607" s="5" t="n">
        <f aca="false">INDEX(Produtos!$E$2:$E$11,MATCH(F1607,Produtos!$A$2:$A$11,0))</f>
        <v>1550</v>
      </c>
      <c r="L1607" s="5" t="n">
        <f aca="false">H1607*K1607</f>
        <v>1550</v>
      </c>
    </row>
    <row r="1608" customFormat="false" ht="15" hidden="false" customHeight="false" outlineLevel="0" collapsed="false">
      <c r="A1608" s="2" t="s">
        <v>1890</v>
      </c>
      <c r="B1608" s="8" t="n">
        <v>46159</v>
      </c>
      <c r="C1608" s="2" t="s">
        <v>92</v>
      </c>
      <c r="D1608" s="3" t="str">
        <f aca="false">INDEX(Vendedores!$C$2:$C$101,MATCH(C1608,Vendedores!$A$2:$A$101,0))</f>
        <v>L03</v>
      </c>
      <c r="E1608" s="3" t="str">
        <f aca="false">INDEX(Lojas!$E$2:$E$11,MATCH(D1608,Lojas!$A$2:$A$11,0))</f>
        <v>Sudeste</v>
      </c>
      <c r="F1608" s="2" t="s">
        <v>270</v>
      </c>
      <c r="G1608" s="3" t="str">
        <f aca="false">INDEX(Produtos!$B$2:$B$11,MATCH(F1608,Produtos!$A$2:$A$11,0))&amp;" "&amp;INDEX(Produtos!$C$2:$C$11,MATCH(F1608,Produtos!$A$2:$A$11,0))</f>
        <v>Controle de Videogame Xbox</v>
      </c>
      <c r="H1608" s="2" t="n">
        <v>2</v>
      </c>
      <c r="I1608" s="5" t="n">
        <f aca="false">INDEX(Produtos!$D$2:$D$11,MATCH(F1608,Produtos!$A$2:$A$11,0))</f>
        <v>349.9</v>
      </c>
      <c r="J1608" s="5" t="n">
        <f aca="false">H1608*I1608</f>
        <v>699.8</v>
      </c>
      <c r="K1608" s="5" t="n">
        <f aca="false">INDEX(Produtos!$E$2:$E$11,MATCH(F1608,Produtos!$A$2:$A$11,0))</f>
        <v>215</v>
      </c>
      <c r="L1608" s="5" t="n">
        <f aca="false">H1608*K1608</f>
        <v>430</v>
      </c>
    </row>
    <row r="1609" customFormat="false" ht="15" hidden="false" customHeight="false" outlineLevel="0" collapsed="false">
      <c r="A1609" s="2" t="s">
        <v>1891</v>
      </c>
      <c r="B1609" s="8" t="n">
        <v>46159</v>
      </c>
      <c r="C1609" s="2" t="s">
        <v>217</v>
      </c>
      <c r="D1609" s="3" t="str">
        <f aca="false">INDEX(Vendedores!$C$2:$C$101,MATCH(C1609,Vendedores!$A$2:$A$101,0))</f>
        <v>L09</v>
      </c>
      <c r="E1609" s="3" t="str">
        <f aca="false">INDEX(Lojas!$E$2:$E$11,MATCH(D1609,Lojas!$A$2:$A$11,0))</f>
        <v>Nordeste</v>
      </c>
      <c r="F1609" s="2" t="s">
        <v>273</v>
      </c>
      <c r="G1609" s="3" t="str">
        <f aca="false">INDEX(Produtos!$B$2:$B$11,MATCH(F1609,Produtos!$A$2:$A$11,0))&amp;" "&amp;INDEX(Produtos!$C$2:$C$11,MATCH(F1609,Produtos!$A$2:$A$11,0))</f>
        <v>Controle de Videogame PS4</v>
      </c>
      <c r="H1609" s="2" t="n">
        <v>1</v>
      </c>
      <c r="I1609" s="5" t="n">
        <f aca="false">INDEX(Produtos!$D$2:$D$11,MATCH(F1609,Produtos!$A$2:$A$11,0))</f>
        <v>299.9</v>
      </c>
      <c r="J1609" s="5" t="n">
        <f aca="false">H1609*I1609</f>
        <v>299.9</v>
      </c>
      <c r="K1609" s="5" t="n">
        <f aca="false">INDEX(Produtos!$E$2:$E$11,MATCH(F1609,Produtos!$A$2:$A$11,0))</f>
        <v>175</v>
      </c>
      <c r="L1609" s="5" t="n">
        <f aca="false">H1609*K1609</f>
        <v>175</v>
      </c>
    </row>
    <row r="1610" customFormat="false" ht="15" hidden="false" customHeight="false" outlineLevel="0" collapsed="false">
      <c r="A1610" s="2" t="s">
        <v>1892</v>
      </c>
      <c r="B1610" s="8" t="n">
        <v>46159</v>
      </c>
      <c r="C1610" s="2" t="s">
        <v>174</v>
      </c>
      <c r="D1610" s="3" t="str">
        <f aca="false">INDEX(Vendedores!$C$2:$C$101,MATCH(C1610,Vendedores!$A$2:$A$101,0))</f>
        <v>L07</v>
      </c>
      <c r="E1610" s="3" t="str">
        <f aca="false">INDEX(Lojas!$E$2:$E$11,MATCH(D1610,Lojas!$A$2:$A$11,0))</f>
        <v>Sul</v>
      </c>
      <c r="F1610" s="2" t="s">
        <v>267</v>
      </c>
      <c r="G1610" s="3" t="str">
        <f aca="false">INDEX(Produtos!$B$2:$B$11,MATCH(F1610,Produtos!$A$2:$A$11,0))&amp;" "&amp;INDEX(Produtos!$C$2:$C$11,MATCH(F1610,Produtos!$A$2:$A$11,0))</f>
        <v>Carregador de Celular Tipo C</v>
      </c>
      <c r="H1610" s="2" t="n">
        <v>2</v>
      </c>
      <c r="I1610" s="5" t="n">
        <f aca="false">INDEX(Produtos!$D$2:$D$11,MATCH(F1610,Produtos!$A$2:$A$11,0))</f>
        <v>44.9</v>
      </c>
      <c r="J1610" s="5" t="n">
        <f aca="false">H1610*I1610</f>
        <v>89.8</v>
      </c>
      <c r="K1610" s="5" t="n">
        <f aca="false">INDEX(Produtos!$E$2:$E$11,MATCH(F1610,Produtos!$A$2:$A$11,0))</f>
        <v>18</v>
      </c>
      <c r="L1610" s="5" t="n">
        <f aca="false">H1610*K1610</f>
        <v>36</v>
      </c>
    </row>
    <row r="1611" customFormat="false" ht="15" hidden="false" customHeight="false" outlineLevel="0" collapsed="false">
      <c r="A1611" s="2" t="s">
        <v>1893</v>
      </c>
      <c r="B1611" s="8" t="n">
        <v>46159</v>
      </c>
      <c r="C1611" s="2" t="s">
        <v>227</v>
      </c>
      <c r="D1611" s="3" t="str">
        <f aca="false">INDEX(Vendedores!$C$2:$C$101,MATCH(C1611,Vendedores!$A$2:$A$101,0))</f>
        <v>L10</v>
      </c>
      <c r="E1611" s="3" t="str">
        <f aca="false">INDEX(Lojas!$E$2:$E$11,MATCH(D1611,Lojas!$A$2:$A$11,0))</f>
        <v>Nordeste</v>
      </c>
      <c r="F1611" s="2" t="s">
        <v>267</v>
      </c>
      <c r="G1611" s="3" t="str">
        <f aca="false">INDEX(Produtos!$B$2:$B$11,MATCH(F1611,Produtos!$A$2:$A$11,0))&amp;" "&amp;INDEX(Produtos!$C$2:$C$11,MATCH(F1611,Produtos!$A$2:$A$11,0))</f>
        <v>Carregador de Celular Tipo C</v>
      </c>
      <c r="H1611" s="2" t="n">
        <v>1</v>
      </c>
      <c r="I1611" s="5" t="n">
        <f aca="false">INDEX(Produtos!$D$2:$D$11,MATCH(F1611,Produtos!$A$2:$A$11,0))</f>
        <v>44.9</v>
      </c>
      <c r="J1611" s="5" t="n">
        <f aca="false">H1611*I1611</f>
        <v>44.9</v>
      </c>
      <c r="K1611" s="5" t="n">
        <f aca="false">INDEX(Produtos!$E$2:$E$11,MATCH(F1611,Produtos!$A$2:$A$11,0))</f>
        <v>18</v>
      </c>
      <c r="L1611" s="5" t="n">
        <f aca="false">H1611*K1611</f>
        <v>18</v>
      </c>
    </row>
    <row r="1612" customFormat="false" ht="15" hidden="false" customHeight="false" outlineLevel="0" collapsed="false">
      <c r="A1612" s="2" t="s">
        <v>1894</v>
      </c>
      <c r="B1612" s="8" t="n">
        <v>46159</v>
      </c>
      <c r="C1612" s="2" t="s">
        <v>223</v>
      </c>
      <c r="D1612" s="3" t="str">
        <f aca="false">INDEX(Vendedores!$C$2:$C$101,MATCH(C1612,Vendedores!$A$2:$A$101,0))</f>
        <v>L09</v>
      </c>
      <c r="E1612" s="3" t="str">
        <f aca="false">INDEX(Lojas!$E$2:$E$11,MATCH(D1612,Lojas!$A$2:$A$11,0))</f>
        <v>Nordeste</v>
      </c>
      <c r="F1612" s="2" t="s">
        <v>267</v>
      </c>
      <c r="G1612" s="3" t="str">
        <f aca="false">INDEX(Produtos!$B$2:$B$11,MATCH(F1612,Produtos!$A$2:$A$11,0))&amp;" "&amp;INDEX(Produtos!$C$2:$C$11,MATCH(F1612,Produtos!$A$2:$A$11,0))</f>
        <v>Carregador de Celular Tipo C</v>
      </c>
      <c r="H1612" s="2" t="n">
        <v>1</v>
      </c>
      <c r="I1612" s="5" t="n">
        <f aca="false">INDEX(Produtos!$D$2:$D$11,MATCH(F1612,Produtos!$A$2:$A$11,0))</f>
        <v>44.9</v>
      </c>
      <c r="J1612" s="5" t="n">
        <f aca="false">H1612*I1612</f>
        <v>44.9</v>
      </c>
      <c r="K1612" s="5" t="n">
        <f aca="false">INDEX(Produtos!$E$2:$E$11,MATCH(F1612,Produtos!$A$2:$A$11,0))</f>
        <v>18</v>
      </c>
      <c r="L1612" s="5" t="n">
        <f aca="false">H1612*K1612</f>
        <v>18</v>
      </c>
    </row>
    <row r="1613" customFormat="false" ht="15" hidden="false" customHeight="false" outlineLevel="0" collapsed="false">
      <c r="A1613" s="2" t="s">
        <v>1895</v>
      </c>
      <c r="B1613" s="8" t="n">
        <v>46159</v>
      </c>
      <c r="C1613" s="2" t="s">
        <v>158</v>
      </c>
      <c r="D1613" s="3" t="str">
        <f aca="false">INDEX(Vendedores!$C$2:$C$101,MATCH(C1613,Vendedores!$A$2:$A$101,0))</f>
        <v>L06</v>
      </c>
      <c r="E1613" s="3" t="str">
        <f aca="false">INDEX(Lojas!$E$2:$E$11,MATCH(D1613,Lojas!$A$2:$A$11,0))</f>
        <v>Sul</v>
      </c>
      <c r="F1613" s="2" t="s">
        <v>270</v>
      </c>
      <c r="G1613" s="3" t="str">
        <f aca="false">INDEX(Produtos!$B$2:$B$11,MATCH(F1613,Produtos!$A$2:$A$11,0))&amp;" "&amp;INDEX(Produtos!$C$2:$C$11,MATCH(F1613,Produtos!$A$2:$A$11,0))</f>
        <v>Controle de Videogame Xbox</v>
      </c>
      <c r="H1613" s="2" t="n">
        <v>1</v>
      </c>
      <c r="I1613" s="5" t="n">
        <f aca="false">INDEX(Produtos!$D$2:$D$11,MATCH(F1613,Produtos!$A$2:$A$11,0))</f>
        <v>349.9</v>
      </c>
      <c r="J1613" s="5" t="n">
        <f aca="false">H1613*I1613</f>
        <v>349.9</v>
      </c>
      <c r="K1613" s="5" t="n">
        <f aca="false">INDEX(Produtos!$E$2:$E$11,MATCH(F1613,Produtos!$A$2:$A$11,0))</f>
        <v>215</v>
      </c>
      <c r="L1613" s="5" t="n">
        <f aca="false">H1613*K1613</f>
        <v>215</v>
      </c>
    </row>
    <row r="1614" customFormat="false" ht="15" hidden="false" customHeight="false" outlineLevel="0" collapsed="false">
      <c r="A1614" s="2" t="s">
        <v>1896</v>
      </c>
      <c r="B1614" s="8" t="n">
        <v>46159</v>
      </c>
      <c r="C1614" s="2" t="s">
        <v>56</v>
      </c>
      <c r="D1614" s="3" t="str">
        <f aca="false">INDEX(Vendedores!$C$2:$C$101,MATCH(C1614,Vendedores!$A$2:$A$101,0))</f>
        <v>L01</v>
      </c>
      <c r="E1614" s="3" t="str">
        <f aca="false">INDEX(Lojas!$E$2:$E$11,MATCH(D1614,Lojas!$A$2:$A$11,0))</f>
        <v>Sudeste</v>
      </c>
      <c r="F1614" s="2" t="s">
        <v>267</v>
      </c>
      <c r="G1614" s="3" t="str">
        <f aca="false">INDEX(Produtos!$B$2:$B$11,MATCH(F1614,Produtos!$A$2:$A$11,0))&amp;" "&amp;INDEX(Produtos!$C$2:$C$11,MATCH(F1614,Produtos!$A$2:$A$11,0))</f>
        <v>Carregador de Celular Tipo C</v>
      </c>
      <c r="H1614" s="2" t="n">
        <v>1</v>
      </c>
      <c r="I1614" s="5" t="n">
        <f aca="false">INDEX(Produtos!$D$2:$D$11,MATCH(F1614,Produtos!$A$2:$A$11,0))</f>
        <v>44.9</v>
      </c>
      <c r="J1614" s="5" t="n">
        <f aca="false">H1614*I1614</f>
        <v>44.9</v>
      </c>
      <c r="K1614" s="5" t="n">
        <f aca="false">INDEX(Produtos!$E$2:$E$11,MATCH(F1614,Produtos!$A$2:$A$11,0))</f>
        <v>18</v>
      </c>
      <c r="L1614" s="5" t="n">
        <f aca="false">H1614*K1614</f>
        <v>18</v>
      </c>
    </row>
    <row r="1615" customFormat="false" ht="15" hidden="false" customHeight="false" outlineLevel="0" collapsed="false">
      <c r="A1615" s="2" t="s">
        <v>1897</v>
      </c>
      <c r="B1615" s="8" t="n">
        <v>46159</v>
      </c>
      <c r="C1615" s="2" t="s">
        <v>118</v>
      </c>
      <c r="D1615" s="3" t="str">
        <f aca="false">INDEX(Vendedores!$C$2:$C$101,MATCH(C1615,Vendedores!$A$2:$A$101,0))</f>
        <v>L04</v>
      </c>
      <c r="E1615" s="3" t="str">
        <f aca="false">INDEX(Lojas!$E$2:$E$11,MATCH(D1615,Lojas!$A$2:$A$11,0))</f>
        <v>Sudeste</v>
      </c>
      <c r="F1615" s="2" t="s">
        <v>265</v>
      </c>
      <c r="G1615" s="3" t="str">
        <f aca="false">INDEX(Produtos!$B$2:$B$11,MATCH(F1615,Produtos!$A$2:$A$11,0))&amp;" "&amp;INDEX(Produtos!$C$2:$C$11,MATCH(F1615,Produtos!$A$2:$A$11,0))</f>
        <v>Fone de Ouvido Headset</v>
      </c>
      <c r="H1615" s="2" t="n">
        <v>1</v>
      </c>
      <c r="I1615" s="5" t="n">
        <f aca="false">INDEX(Produtos!$D$2:$D$11,MATCH(F1615,Produtos!$A$2:$A$11,0))</f>
        <v>249.9</v>
      </c>
      <c r="J1615" s="5" t="n">
        <f aca="false">H1615*I1615</f>
        <v>249.9</v>
      </c>
      <c r="K1615" s="5" t="n">
        <f aca="false">INDEX(Produtos!$E$2:$E$11,MATCH(F1615,Produtos!$A$2:$A$11,0))</f>
        <v>145</v>
      </c>
      <c r="L1615" s="5" t="n">
        <f aca="false">H1615*K1615</f>
        <v>145</v>
      </c>
    </row>
    <row r="1616" customFormat="false" ht="15" hidden="false" customHeight="false" outlineLevel="0" collapsed="false">
      <c r="A1616" s="2" t="s">
        <v>1898</v>
      </c>
      <c r="B1616" s="8" t="n">
        <v>46159</v>
      </c>
      <c r="C1616" s="2" t="s">
        <v>84</v>
      </c>
      <c r="D1616" s="3" t="str">
        <f aca="false">INDEX(Vendedores!$C$2:$C$101,MATCH(C1616,Vendedores!$A$2:$A$101,0))</f>
        <v>L02</v>
      </c>
      <c r="E1616" s="3" t="str">
        <f aca="false">INDEX(Lojas!$E$2:$E$11,MATCH(D1616,Lojas!$A$2:$A$11,0))</f>
        <v>Sudeste</v>
      </c>
      <c r="F1616" s="2" t="s">
        <v>267</v>
      </c>
      <c r="G1616" s="3" t="str">
        <f aca="false">INDEX(Produtos!$B$2:$B$11,MATCH(F1616,Produtos!$A$2:$A$11,0))&amp;" "&amp;INDEX(Produtos!$C$2:$C$11,MATCH(F1616,Produtos!$A$2:$A$11,0))</f>
        <v>Carregador de Celular Tipo C</v>
      </c>
      <c r="H1616" s="2" t="n">
        <v>1</v>
      </c>
      <c r="I1616" s="5" t="n">
        <f aca="false">INDEX(Produtos!$D$2:$D$11,MATCH(F1616,Produtos!$A$2:$A$11,0))</f>
        <v>44.9</v>
      </c>
      <c r="J1616" s="5" t="n">
        <f aca="false">H1616*I1616</f>
        <v>44.9</v>
      </c>
      <c r="K1616" s="5" t="n">
        <f aca="false">INDEX(Produtos!$E$2:$E$11,MATCH(F1616,Produtos!$A$2:$A$11,0))</f>
        <v>18</v>
      </c>
      <c r="L1616" s="5" t="n">
        <f aca="false">H1616*K1616</f>
        <v>18</v>
      </c>
    </row>
    <row r="1617" customFormat="false" ht="15" hidden="false" customHeight="false" outlineLevel="0" collapsed="false">
      <c r="A1617" s="2" t="s">
        <v>1899</v>
      </c>
      <c r="B1617" s="8" t="n">
        <v>46159</v>
      </c>
      <c r="C1617" s="2" t="s">
        <v>199</v>
      </c>
      <c r="D1617" s="3" t="str">
        <f aca="false">INDEX(Vendedores!$C$2:$C$101,MATCH(C1617,Vendedores!$A$2:$A$101,0))</f>
        <v>L08</v>
      </c>
      <c r="E1617" s="3" t="str">
        <f aca="false">INDEX(Lojas!$E$2:$E$11,MATCH(D1617,Lojas!$A$2:$A$11,0))</f>
        <v>Nordeste</v>
      </c>
      <c r="F1617" s="2" t="s">
        <v>255</v>
      </c>
      <c r="G1617" s="3" t="str">
        <f aca="false">INDEX(Produtos!$B$2:$B$11,MATCH(F1617,Produtos!$A$2:$A$11,0))&amp;" "&amp;INDEX(Produtos!$C$2:$C$11,MATCH(F1617,Produtos!$A$2:$A$11,0))</f>
        <v>Notebook Positivo</v>
      </c>
      <c r="H1617" s="2" t="n">
        <v>1</v>
      </c>
      <c r="I1617" s="5" t="n">
        <f aca="false">INDEX(Produtos!$D$2:$D$11,MATCH(F1617,Produtos!$A$2:$A$11,0))</f>
        <v>2199</v>
      </c>
      <c r="J1617" s="5" t="n">
        <f aca="false">H1617*I1617</f>
        <v>2199</v>
      </c>
      <c r="K1617" s="5" t="n">
        <f aca="false">INDEX(Produtos!$E$2:$E$11,MATCH(F1617,Produtos!$A$2:$A$11,0))</f>
        <v>1550</v>
      </c>
      <c r="L1617" s="5" t="n">
        <f aca="false">H1617*K1617</f>
        <v>1550</v>
      </c>
    </row>
    <row r="1618" customFormat="false" ht="15" hidden="false" customHeight="false" outlineLevel="0" collapsed="false">
      <c r="A1618" s="2" t="s">
        <v>1900</v>
      </c>
      <c r="B1618" s="8" t="n">
        <v>46159</v>
      </c>
      <c r="C1618" s="2" t="s">
        <v>223</v>
      </c>
      <c r="D1618" s="3" t="str">
        <f aca="false">INDEX(Vendedores!$C$2:$C$101,MATCH(C1618,Vendedores!$A$2:$A$101,0))</f>
        <v>L09</v>
      </c>
      <c r="E1618" s="3" t="str">
        <f aca="false">INDEX(Lojas!$E$2:$E$11,MATCH(D1618,Lojas!$A$2:$A$11,0))</f>
        <v>Nordeste</v>
      </c>
      <c r="F1618" s="2" t="s">
        <v>252</v>
      </c>
      <c r="G1618" s="3" t="str">
        <f aca="false">INDEX(Produtos!$B$2:$B$11,MATCH(F1618,Produtos!$A$2:$A$11,0))&amp;" "&amp;INDEX(Produtos!$C$2:$C$11,MATCH(F1618,Produtos!$A$2:$A$11,0))</f>
        <v>Notebook Lenovo</v>
      </c>
      <c r="H1618" s="2" t="n">
        <v>1</v>
      </c>
      <c r="I1618" s="5" t="n">
        <f aca="false">INDEX(Produtos!$D$2:$D$11,MATCH(F1618,Produtos!$A$2:$A$11,0))</f>
        <v>3199</v>
      </c>
      <c r="J1618" s="5" t="n">
        <f aca="false">H1618*I1618</f>
        <v>3199</v>
      </c>
      <c r="K1618" s="5" t="n">
        <f aca="false">INDEX(Produtos!$E$2:$E$11,MATCH(F1618,Produtos!$A$2:$A$11,0))</f>
        <v>2350</v>
      </c>
      <c r="L1618" s="5" t="n">
        <f aca="false">H1618*K1618</f>
        <v>2350</v>
      </c>
    </row>
    <row r="1619" customFormat="false" ht="15" hidden="false" customHeight="false" outlineLevel="0" collapsed="false">
      <c r="A1619" s="2" t="s">
        <v>1901</v>
      </c>
      <c r="B1619" s="8" t="n">
        <v>46160</v>
      </c>
      <c r="C1619" s="2" t="s">
        <v>201</v>
      </c>
      <c r="D1619" s="3" t="str">
        <f aca="false">INDEX(Vendedores!$C$2:$C$101,MATCH(C1619,Vendedores!$A$2:$A$101,0))</f>
        <v>L08</v>
      </c>
      <c r="E1619" s="3" t="str">
        <f aca="false">INDEX(Lojas!$E$2:$E$11,MATCH(D1619,Lojas!$A$2:$A$11,0))</f>
        <v>Nordeste</v>
      </c>
      <c r="F1619" s="2" t="s">
        <v>260</v>
      </c>
      <c r="G1619" s="3" t="str">
        <f aca="false">INDEX(Produtos!$B$2:$B$11,MATCH(F1619,Produtos!$A$2:$A$11,0))&amp;" "&amp;INDEX(Produtos!$C$2:$C$11,MATCH(F1619,Produtos!$A$2:$A$11,0))</f>
        <v>Celular Motorola</v>
      </c>
      <c r="H1619" s="2" t="n">
        <v>3</v>
      </c>
      <c r="I1619" s="5" t="n">
        <f aca="false">INDEX(Produtos!$D$2:$D$11,MATCH(F1619,Produtos!$A$2:$A$11,0))</f>
        <v>1799</v>
      </c>
      <c r="J1619" s="5" t="n">
        <f aca="false">H1619*I1619</f>
        <v>5397</v>
      </c>
      <c r="K1619" s="5" t="n">
        <f aca="false">INDEX(Produtos!$E$2:$E$11,MATCH(F1619,Produtos!$A$2:$A$11,0))</f>
        <v>1250</v>
      </c>
      <c r="L1619" s="5" t="n">
        <f aca="false">H1619*K1619</f>
        <v>3750</v>
      </c>
    </row>
    <row r="1620" customFormat="false" ht="15" hidden="false" customHeight="false" outlineLevel="0" collapsed="false">
      <c r="A1620" s="2" t="s">
        <v>1902</v>
      </c>
      <c r="B1620" s="8" t="n">
        <v>46160</v>
      </c>
      <c r="C1620" s="2" t="s">
        <v>193</v>
      </c>
      <c r="D1620" s="3" t="str">
        <f aca="false">INDEX(Vendedores!$C$2:$C$101,MATCH(C1620,Vendedores!$A$2:$A$101,0))</f>
        <v>L08</v>
      </c>
      <c r="E1620" s="3" t="str">
        <f aca="false">INDEX(Lojas!$E$2:$E$11,MATCH(D1620,Lojas!$A$2:$A$11,0))</f>
        <v>Nordeste</v>
      </c>
      <c r="F1620" s="2" t="s">
        <v>265</v>
      </c>
      <c r="G1620" s="3" t="str">
        <f aca="false">INDEX(Produtos!$B$2:$B$11,MATCH(F1620,Produtos!$A$2:$A$11,0))&amp;" "&amp;INDEX(Produtos!$C$2:$C$11,MATCH(F1620,Produtos!$A$2:$A$11,0))</f>
        <v>Fone de Ouvido Headset</v>
      </c>
      <c r="H1620" s="2" t="n">
        <v>1</v>
      </c>
      <c r="I1620" s="5" t="n">
        <f aca="false">INDEX(Produtos!$D$2:$D$11,MATCH(F1620,Produtos!$A$2:$A$11,0))</f>
        <v>249.9</v>
      </c>
      <c r="J1620" s="5" t="n">
        <f aca="false">H1620*I1620</f>
        <v>249.9</v>
      </c>
      <c r="K1620" s="5" t="n">
        <f aca="false">INDEX(Produtos!$E$2:$E$11,MATCH(F1620,Produtos!$A$2:$A$11,0))</f>
        <v>145</v>
      </c>
      <c r="L1620" s="5" t="n">
        <f aca="false">H1620*K1620</f>
        <v>145</v>
      </c>
    </row>
    <row r="1621" customFormat="false" ht="15" hidden="false" customHeight="false" outlineLevel="0" collapsed="false">
      <c r="A1621" s="2" t="s">
        <v>1903</v>
      </c>
      <c r="B1621" s="8" t="n">
        <v>46160</v>
      </c>
      <c r="C1621" s="2" t="s">
        <v>168</v>
      </c>
      <c r="D1621" s="3" t="str">
        <f aca="false">INDEX(Vendedores!$C$2:$C$101,MATCH(C1621,Vendedores!$A$2:$A$101,0))</f>
        <v>L07</v>
      </c>
      <c r="E1621" s="3" t="str">
        <f aca="false">INDEX(Lojas!$E$2:$E$11,MATCH(D1621,Lojas!$A$2:$A$11,0))</f>
        <v>Sul</v>
      </c>
      <c r="F1621" s="2" t="s">
        <v>262</v>
      </c>
      <c r="G1621" s="3" t="str">
        <f aca="false">INDEX(Produtos!$B$2:$B$11,MATCH(F1621,Produtos!$A$2:$A$11,0))&amp;" "&amp;INDEX(Produtos!$C$2:$C$11,MATCH(F1621,Produtos!$A$2:$A$11,0))</f>
        <v>Fone de Ouvido De Celular</v>
      </c>
      <c r="H1621" s="2" t="n">
        <v>1</v>
      </c>
      <c r="I1621" s="5" t="n">
        <f aca="false">INDEX(Produtos!$D$2:$D$11,MATCH(F1621,Produtos!$A$2:$A$11,0))</f>
        <v>59.9</v>
      </c>
      <c r="J1621" s="5" t="n">
        <f aca="false">H1621*I1621</f>
        <v>59.9</v>
      </c>
      <c r="K1621" s="5" t="n">
        <f aca="false">INDEX(Produtos!$E$2:$E$11,MATCH(F1621,Produtos!$A$2:$A$11,0))</f>
        <v>28</v>
      </c>
      <c r="L1621" s="5" t="n">
        <f aca="false">H1621*K1621</f>
        <v>28</v>
      </c>
    </row>
    <row r="1622" customFormat="false" ht="15" hidden="false" customHeight="false" outlineLevel="0" collapsed="false">
      <c r="A1622" s="2" t="s">
        <v>1904</v>
      </c>
      <c r="B1622" s="8" t="n">
        <v>46160</v>
      </c>
      <c r="C1622" s="2" t="s">
        <v>229</v>
      </c>
      <c r="D1622" s="3" t="str">
        <f aca="false">INDEX(Vendedores!$C$2:$C$101,MATCH(C1622,Vendedores!$A$2:$A$101,0))</f>
        <v>L10</v>
      </c>
      <c r="E1622" s="3" t="str">
        <f aca="false">INDEX(Lojas!$E$2:$E$11,MATCH(D1622,Lojas!$A$2:$A$11,0))</f>
        <v>Nordeste</v>
      </c>
      <c r="F1622" s="2" t="s">
        <v>267</v>
      </c>
      <c r="G1622" s="3" t="str">
        <f aca="false">INDEX(Produtos!$B$2:$B$11,MATCH(F1622,Produtos!$A$2:$A$11,0))&amp;" "&amp;INDEX(Produtos!$C$2:$C$11,MATCH(F1622,Produtos!$A$2:$A$11,0))</f>
        <v>Carregador de Celular Tipo C</v>
      </c>
      <c r="H1622" s="2" t="n">
        <v>2</v>
      </c>
      <c r="I1622" s="5" t="n">
        <f aca="false">INDEX(Produtos!$D$2:$D$11,MATCH(F1622,Produtos!$A$2:$A$11,0))</f>
        <v>44.9</v>
      </c>
      <c r="J1622" s="5" t="n">
        <f aca="false">H1622*I1622</f>
        <v>89.8</v>
      </c>
      <c r="K1622" s="5" t="n">
        <f aca="false">INDEX(Produtos!$E$2:$E$11,MATCH(F1622,Produtos!$A$2:$A$11,0))</f>
        <v>18</v>
      </c>
      <c r="L1622" s="5" t="n">
        <f aca="false">H1622*K1622</f>
        <v>36</v>
      </c>
    </row>
    <row r="1623" customFormat="false" ht="15" hidden="false" customHeight="false" outlineLevel="0" collapsed="false">
      <c r="A1623" s="2" t="s">
        <v>1905</v>
      </c>
      <c r="B1623" s="8" t="n">
        <v>46160</v>
      </c>
      <c r="C1623" s="2" t="s">
        <v>227</v>
      </c>
      <c r="D1623" s="3" t="str">
        <f aca="false">INDEX(Vendedores!$C$2:$C$101,MATCH(C1623,Vendedores!$A$2:$A$101,0))</f>
        <v>L10</v>
      </c>
      <c r="E1623" s="3" t="str">
        <f aca="false">INDEX(Lojas!$E$2:$E$11,MATCH(D1623,Lojas!$A$2:$A$11,0))</f>
        <v>Nordeste</v>
      </c>
      <c r="F1623" s="2" t="s">
        <v>267</v>
      </c>
      <c r="G1623" s="3" t="str">
        <f aca="false">INDEX(Produtos!$B$2:$B$11,MATCH(F1623,Produtos!$A$2:$A$11,0))&amp;" "&amp;INDEX(Produtos!$C$2:$C$11,MATCH(F1623,Produtos!$A$2:$A$11,0))</f>
        <v>Carregador de Celular Tipo C</v>
      </c>
      <c r="H1623" s="2" t="n">
        <v>2</v>
      </c>
      <c r="I1623" s="5" t="n">
        <f aca="false">INDEX(Produtos!$D$2:$D$11,MATCH(F1623,Produtos!$A$2:$A$11,0))</f>
        <v>44.9</v>
      </c>
      <c r="J1623" s="5" t="n">
        <f aca="false">H1623*I1623</f>
        <v>89.8</v>
      </c>
      <c r="K1623" s="5" t="n">
        <f aca="false">INDEX(Produtos!$E$2:$E$11,MATCH(F1623,Produtos!$A$2:$A$11,0))</f>
        <v>18</v>
      </c>
      <c r="L1623" s="5" t="n">
        <f aca="false">H1623*K1623</f>
        <v>36</v>
      </c>
    </row>
    <row r="1624" customFormat="false" ht="15" hidden="false" customHeight="false" outlineLevel="0" collapsed="false">
      <c r="A1624" s="2" t="s">
        <v>1906</v>
      </c>
      <c r="B1624" s="8" t="n">
        <v>46160</v>
      </c>
      <c r="C1624" s="2" t="s">
        <v>80</v>
      </c>
      <c r="D1624" s="3" t="str">
        <f aca="false">INDEX(Vendedores!$C$2:$C$101,MATCH(C1624,Vendedores!$A$2:$A$101,0))</f>
        <v>L02</v>
      </c>
      <c r="E1624" s="3" t="str">
        <f aca="false">INDEX(Lojas!$E$2:$E$11,MATCH(D1624,Lojas!$A$2:$A$11,0))</f>
        <v>Sudeste</v>
      </c>
      <c r="F1624" s="2" t="s">
        <v>275</v>
      </c>
      <c r="G1624" s="3" t="str">
        <f aca="false">INDEX(Produtos!$B$2:$B$11,MATCH(F1624,Produtos!$A$2:$A$11,0))&amp;" "&amp;INDEX(Produtos!$C$2:$C$11,MATCH(F1624,Produtos!$A$2:$A$11,0))</f>
        <v>Controle de Videogame PS5</v>
      </c>
      <c r="H1624" s="2" t="n">
        <v>3</v>
      </c>
      <c r="I1624" s="5" t="n">
        <f aca="false">INDEX(Produtos!$D$2:$D$11,MATCH(F1624,Produtos!$A$2:$A$11,0))</f>
        <v>379.9</v>
      </c>
      <c r="J1624" s="5" t="n">
        <f aca="false">H1624*I1624</f>
        <v>1139.7</v>
      </c>
      <c r="K1624" s="5" t="n">
        <f aca="false">INDEX(Produtos!$E$2:$E$11,MATCH(F1624,Produtos!$A$2:$A$11,0))</f>
        <v>235</v>
      </c>
      <c r="L1624" s="5" t="n">
        <f aca="false">H1624*K1624</f>
        <v>705</v>
      </c>
    </row>
    <row r="1625" customFormat="false" ht="15" hidden="false" customHeight="false" outlineLevel="0" collapsed="false">
      <c r="A1625" s="2" t="s">
        <v>1907</v>
      </c>
      <c r="B1625" s="8" t="n">
        <v>46160</v>
      </c>
      <c r="C1625" s="2" t="s">
        <v>219</v>
      </c>
      <c r="D1625" s="3" t="str">
        <f aca="false">INDEX(Vendedores!$C$2:$C$101,MATCH(C1625,Vendedores!$A$2:$A$101,0))</f>
        <v>L09</v>
      </c>
      <c r="E1625" s="3" t="str">
        <f aca="false">INDEX(Lojas!$E$2:$E$11,MATCH(D1625,Lojas!$A$2:$A$11,0))</f>
        <v>Nordeste</v>
      </c>
      <c r="F1625" s="2" t="s">
        <v>267</v>
      </c>
      <c r="G1625" s="3" t="str">
        <f aca="false">INDEX(Produtos!$B$2:$B$11,MATCH(F1625,Produtos!$A$2:$A$11,0))&amp;" "&amp;INDEX(Produtos!$C$2:$C$11,MATCH(F1625,Produtos!$A$2:$A$11,0))</f>
        <v>Carregador de Celular Tipo C</v>
      </c>
      <c r="H1625" s="2" t="n">
        <v>1</v>
      </c>
      <c r="I1625" s="5" t="n">
        <f aca="false">INDEX(Produtos!$D$2:$D$11,MATCH(F1625,Produtos!$A$2:$A$11,0))</f>
        <v>44.9</v>
      </c>
      <c r="J1625" s="5" t="n">
        <f aca="false">H1625*I1625</f>
        <v>44.9</v>
      </c>
      <c r="K1625" s="5" t="n">
        <f aca="false">INDEX(Produtos!$E$2:$E$11,MATCH(F1625,Produtos!$A$2:$A$11,0))</f>
        <v>18</v>
      </c>
      <c r="L1625" s="5" t="n">
        <f aca="false">H1625*K1625</f>
        <v>18</v>
      </c>
    </row>
    <row r="1626" customFormat="false" ht="15" hidden="false" customHeight="false" outlineLevel="0" collapsed="false">
      <c r="A1626" s="2" t="s">
        <v>1908</v>
      </c>
      <c r="B1626" s="8" t="n">
        <v>46160</v>
      </c>
      <c r="C1626" s="2" t="s">
        <v>110</v>
      </c>
      <c r="D1626" s="3" t="str">
        <f aca="false">INDEX(Vendedores!$C$2:$C$101,MATCH(C1626,Vendedores!$A$2:$A$101,0))</f>
        <v>L04</v>
      </c>
      <c r="E1626" s="3" t="str">
        <f aca="false">INDEX(Lojas!$E$2:$E$11,MATCH(D1626,Lojas!$A$2:$A$11,0))</f>
        <v>Sudeste</v>
      </c>
      <c r="F1626" s="2" t="s">
        <v>257</v>
      </c>
      <c r="G1626" s="3" t="str">
        <f aca="false">INDEX(Produtos!$B$2:$B$11,MATCH(F1626,Produtos!$A$2:$A$11,0))&amp;" "&amp;INDEX(Produtos!$C$2:$C$11,MATCH(F1626,Produtos!$A$2:$A$11,0))</f>
        <v>Celular Samsung</v>
      </c>
      <c r="H1626" s="2" t="n">
        <v>2</v>
      </c>
      <c r="I1626" s="5" t="n">
        <f aca="false">INDEX(Produtos!$D$2:$D$11,MATCH(F1626,Produtos!$A$2:$A$11,0))</f>
        <v>2499</v>
      </c>
      <c r="J1626" s="5" t="n">
        <f aca="false">H1626*I1626</f>
        <v>4998</v>
      </c>
      <c r="K1626" s="5" t="n">
        <f aca="false">INDEX(Produtos!$E$2:$E$11,MATCH(F1626,Produtos!$A$2:$A$11,0))</f>
        <v>1800</v>
      </c>
      <c r="L1626" s="5" t="n">
        <f aca="false">H1626*K1626</f>
        <v>3600</v>
      </c>
    </row>
    <row r="1627" customFormat="false" ht="15" hidden="false" customHeight="false" outlineLevel="0" collapsed="false">
      <c r="A1627" s="2" t="s">
        <v>1909</v>
      </c>
      <c r="B1627" s="8" t="n">
        <v>46160</v>
      </c>
      <c r="C1627" s="2" t="s">
        <v>86</v>
      </c>
      <c r="D1627" s="3" t="str">
        <f aca="false">INDEX(Vendedores!$C$2:$C$101,MATCH(C1627,Vendedores!$A$2:$A$101,0))</f>
        <v>L02</v>
      </c>
      <c r="E1627" s="3" t="str">
        <f aca="false">INDEX(Lojas!$E$2:$E$11,MATCH(D1627,Lojas!$A$2:$A$11,0))</f>
        <v>Sudeste</v>
      </c>
      <c r="F1627" s="2" t="s">
        <v>262</v>
      </c>
      <c r="G1627" s="3" t="str">
        <f aca="false">INDEX(Produtos!$B$2:$B$11,MATCH(F1627,Produtos!$A$2:$A$11,0))&amp;" "&amp;INDEX(Produtos!$C$2:$C$11,MATCH(F1627,Produtos!$A$2:$A$11,0))</f>
        <v>Fone de Ouvido De Celular</v>
      </c>
      <c r="H1627" s="2" t="n">
        <v>2</v>
      </c>
      <c r="I1627" s="5" t="n">
        <f aca="false">INDEX(Produtos!$D$2:$D$11,MATCH(F1627,Produtos!$A$2:$A$11,0))</f>
        <v>59.9</v>
      </c>
      <c r="J1627" s="5" t="n">
        <f aca="false">H1627*I1627</f>
        <v>119.8</v>
      </c>
      <c r="K1627" s="5" t="n">
        <f aca="false">INDEX(Produtos!$E$2:$E$11,MATCH(F1627,Produtos!$A$2:$A$11,0))</f>
        <v>28</v>
      </c>
      <c r="L1627" s="5" t="n">
        <f aca="false">H1627*K1627</f>
        <v>56</v>
      </c>
    </row>
    <row r="1628" customFormat="false" ht="15" hidden="false" customHeight="false" outlineLevel="0" collapsed="false">
      <c r="A1628" s="2" t="s">
        <v>1910</v>
      </c>
      <c r="B1628" s="8" t="n">
        <v>46160</v>
      </c>
      <c r="C1628" s="2" t="s">
        <v>178</v>
      </c>
      <c r="D1628" s="3" t="str">
        <f aca="false">INDEX(Vendedores!$C$2:$C$101,MATCH(C1628,Vendedores!$A$2:$A$101,0))</f>
        <v>L07</v>
      </c>
      <c r="E1628" s="3" t="str">
        <f aca="false">INDEX(Lojas!$E$2:$E$11,MATCH(D1628,Lojas!$A$2:$A$11,0))</f>
        <v>Sul</v>
      </c>
      <c r="F1628" s="2" t="s">
        <v>275</v>
      </c>
      <c r="G1628" s="3" t="str">
        <f aca="false">INDEX(Produtos!$B$2:$B$11,MATCH(F1628,Produtos!$A$2:$A$11,0))&amp;" "&amp;INDEX(Produtos!$C$2:$C$11,MATCH(F1628,Produtos!$A$2:$A$11,0))</f>
        <v>Controle de Videogame PS5</v>
      </c>
      <c r="H1628" s="2" t="n">
        <v>1</v>
      </c>
      <c r="I1628" s="5" t="n">
        <f aca="false">INDEX(Produtos!$D$2:$D$11,MATCH(F1628,Produtos!$A$2:$A$11,0))</f>
        <v>379.9</v>
      </c>
      <c r="J1628" s="5" t="n">
        <f aca="false">H1628*I1628</f>
        <v>379.9</v>
      </c>
      <c r="K1628" s="5" t="n">
        <f aca="false">INDEX(Produtos!$E$2:$E$11,MATCH(F1628,Produtos!$A$2:$A$11,0))</f>
        <v>235</v>
      </c>
      <c r="L1628" s="5" t="n">
        <f aca="false">H1628*K1628</f>
        <v>235</v>
      </c>
    </row>
    <row r="1629" customFormat="false" ht="15" hidden="false" customHeight="false" outlineLevel="0" collapsed="false">
      <c r="A1629" s="2" t="s">
        <v>1911</v>
      </c>
      <c r="B1629" s="8" t="n">
        <v>46160</v>
      </c>
      <c r="C1629" s="2" t="s">
        <v>108</v>
      </c>
      <c r="D1629" s="3" t="str">
        <f aca="false">INDEX(Vendedores!$C$2:$C$101,MATCH(C1629,Vendedores!$A$2:$A$101,0))</f>
        <v>L03</v>
      </c>
      <c r="E1629" s="3" t="str">
        <f aca="false">INDEX(Lojas!$E$2:$E$11,MATCH(D1629,Lojas!$A$2:$A$11,0))</f>
        <v>Sudeste</v>
      </c>
      <c r="F1629" s="2" t="s">
        <v>267</v>
      </c>
      <c r="G1629" s="3" t="str">
        <f aca="false">INDEX(Produtos!$B$2:$B$11,MATCH(F1629,Produtos!$A$2:$A$11,0))&amp;" "&amp;INDEX(Produtos!$C$2:$C$11,MATCH(F1629,Produtos!$A$2:$A$11,0))</f>
        <v>Carregador de Celular Tipo C</v>
      </c>
      <c r="H1629" s="2" t="n">
        <v>2</v>
      </c>
      <c r="I1629" s="5" t="n">
        <f aca="false">INDEX(Produtos!$D$2:$D$11,MATCH(F1629,Produtos!$A$2:$A$11,0))</f>
        <v>44.9</v>
      </c>
      <c r="J1629" s="5" t="n">
        <f aca="false">H1629*I1629</f>
        <v>89.8</v>
      </c>
      <c r="K1629" s="5" t="n">
        <f aca="false">INDEX(Produtos!$E$2:$E$11,MATCH(F1629,Produtos!$A$2:$A$11,0))</f>
        <v>18</v>
      </c>
      <c r="L1629" s="5" t="n">
        <f aca="false">H1629*K1629</f>
        <v>36</v>
      </c>
    </row>
    <row r="1630" customFormat="false" ht="15" hidden="false" customHeight="false" outlineLevel="0" collapsed="false">
      <c r="A1630" s="2" t="s">
        <v>1912</v>
      </c>
      <c r="B1630" s="8" t="n">
        <v>46160</v>
      </c>
      <c r="C1630" s="2" t="s">
        <v>62</v>
      </c>
      <c r="D1630" s="3" t="str">
        <f aca="false">INDEX(Vendedores!$C$2:$C$101,MATCH(C1630,Vendedores!$A$2:$A$101,0))</f>
        <v>L01</v>
      </c>
      <c r="E1630" s="3" t="str">
        <f aca="false">INDEX(Lojas!$E$2:$E$11,MATCH(D1630,Lojas!$A$2:$A$11,0))</f>
        <v>Sudeste</v>
      </c>
      <c r="F1630" s="2" t="s">
        <v>260</v>
      </c>
      <c r="G1630" s="3" t="str">
        <f aca="false">INDEX(Produtos!$B$2:$B$11,MATCH(F1630,Produtos!$A$2:$A$11,0))&amp;" "&amp;INDEX(Produtos!$C$2:$C$11,MATCH(F1630,Produtos!$A$2:$A$11,0))</f>
        <v>Celular Motorola</v>
      </c>
      <c r="H1630" s="2" t="n">
        <v>1</v>
      </c>
      <c r="I1630" s="5" t="n">
        <f aca="false">INDEX(Produtos!$D$2:$D$11,MATCH(F1630,Produtos!$A$2:$A$11,0))</f>
        <v>1799</v>
      </c>
      <c r="J1630" s="5" t="n">
        <f aca="false">H1630*I1630</f>
        <v>1799</v>
      </c>
      <c r="K1630" s="5" t="n">
        <f aca="false">INDEX(Produtos!$E$2:$E$11,MATCH(F1630,Produtos!$A$2:$A$11,0))</f>
        <v>1250</v>
      </c>
      <c r="L1630" s="5" t="n">
        <f aca="false">H1630*K1630</f>
        <v>1250</v>
      </c>
    </row>
    <row r="1631" customFormat="false" ht="15" hidden="false" customHeight="false" outlineLevel="0" collapsed="false">
      <c r="A1631" s="2" t="s">
        <v>1913</v>
      </c>
      <c r="B1631" s="8" t="n">
        <v>46161</v>
      </c>
      <c r="C1631" s="2" t="s">
        <v>215</v>
      </c>
      <c r="D1631" s="3" t="str">
        <f aca="false">INDEX(Vendedores!$C$2:$C$101,MATCH(C1631,Vendedores!$A$2:$A$101,0))</f>
        <v>L09</v>
      </c>
      <c r="E1631" s="3" t="str">
        <f aca="false">INDEX(Lojas!$E$2:$E$11,MATCH(D1631,Lojas!$A$2:$A$11,0))</f>
        <v>Nordeste</v>
      </c>
      <c r="F1631" s="2" t="s">
        <v>267</v>
      </c>
      <c r="G1631" s="3" t="str">
        <f aca="false">INDEX(Produtos!$B$2:$B$11,MATCH(F1631,Produtos!$A$2:$A$11,0))&amp;" "&amp;INDEX(Produtos!$C$2:$C$11,MATCH(F1631,Produtos!$A$2:$A$11,0))</f>
        <v>Carregador de Celular Tipo C</v>
      </c>
      <c r="H1631" s="2" t="n">
        <v>1</v>
      </c>
      <c r="I1631" s="5" t="n">
        <f aca="false">INDEX(Produtos!$D$2:$D$11,MATCH(F1631,Produtos!$A$2:$A$11,0))</f>
        <v>44.9</v>
      </c>
      <c r="J1631" s="5" t="n">
        <f aca="false">H1631*I1631</f>
        <v>44.9</v>
      </c>
      <c r="K1631" s="5" t="n">
        <f aca="false">INDEX(Produtos!$E$2:$E$11,MATCH(F1631,Produtos!$A$2:$A$11,0))</f>
        <v>18</v>
      </c>
      <c r="L1631" s="5" t="n">
        <f aca="false">H1631*K1631</f>
        <v>18</v>
      </c>
    </row>
    <row r="1632" customFormat="false" ht="15" hidden="false" customHeight="false" outlineLevel="0" collapsed="false">
      <c r="A1632" s="2" t="s">
        <v>1914</v>
      </c>
      <c r="B1632" s="8" t="n">
        <v>46161</v>
      </c>
      <c r="C1632" s="2" t="s">
        <v>239</v>
      </c>
      <c r="D1632" s="3" t="str">
        <f aca="false">INDEX(Vendedores!$C$2:$C$101,MATCH(C1632,Vendedores!$A$2:$A$101,0))</f>
        <v>L10</v>
      </c>
      <c r="E1632" s="3" t="str">
        <f aca="false">INDEX(Lojas!$E$2:$E$11,MATCH(D1632,Lojas!$A$2:$A$11,0))</f>
        <v>Nordeste</v>
      </c>
      <c r="F1632" s="2" t="s">
        <v>267</v>
      </c>
      <c r="G1632" s="3" t="str">
        <f aca="false">INDEX(Produtos!$B$2:$B$11,MATCH(F1632,Produtos!$A$2:$A$11,0))&amp;" "&amp;INDEX(Produtos!$C$2:$C$11,MATCH(F1632,Produtos!$A$2:$A$11,0))</f>
        <v>Carregador de Celular Tipo C</v>
      </c>
      <c r="H1632" s="2" t="n">
        <v>2</v>
      </c>
      <c r="I1632" s="5" t="n">
        <f aca="false">INDEX(Produtos!$D$2:$D$11,MATCH(F1632,Produtos!$A$2:$A$11,0))</f>
        <v>44.9</v>
      </c>
      <c r="J1632" s="5" t="n">
        <f aca="false">H1632*I1632</f>
        <v>89.8</v>
      </c>
      <c r="K1632" s="5" t="n">
        <f aca="false">INDEX(Produtos!$E$2:$E$11,MATCH(F1632,Produtos!$A$2:$A$11,0))</f>
        <v>18</v>
      </c>
      <c r="L1632" s="5" t="n">
        <f aca="false">H1632*K1632</f>
        <v>36</v>
      </c>
    </row>
    <row r="1633" customFormat="false" ht="15" hidden="false" customHeight="false" outlineLevel="0" collapsed="false">
      <c r="A1633" s="2" t="s">
        <v>1915</v>
      </c>
      <c r="B1633" s="8" t="n">
        <v>46161</v>
      </c>
      <c r="C1633" s="2" t="s">
        <v>92</v>
      </c>
      <c r="D1633" s="3" t="str">
        <f aca="false">INDEX(Vendedores!$C$2:$C$101,MATCH(C1633,Vendedores!$A$2:$A$101,0))</f>
        <v>L03</v>
      </c>
      <c r="E1633" s="3" t="str">
        <f aca="false">INDEX(Lojas!$E$2:$E$11,MATCH(D1633,Lojas!$A$2:$A$11,0))</f>
        <v>Sudeste</v>
      </c>
      <c r="F1633" s="2" t="s">
        <v>252</v>
      </c>
      <c r="G1633" s="3" t="str">
        <f aca="false">INDEX(Produtos!$B$2:$B$11,MATCH(F1633,Produtos!$A$2:$A$11,0))&amp;" "&amp;INDEX(Produtos!$C$2:$C$11,MATCH(F1633,Produtos!$A$2:$A$11,0))</f>
        <v>Notebook Lenovo</v>
      </c>
      <c r="H1633" s="2" t="n">
        <v>1</v>
      </c>
      <c r="I1633" s="5" t="n">
        <f aca="false">INDEX(Produtos!$D$2:$D$11,MATCH(F1633,Produtos!$A$2:$A$11,0))</f>
        <v>3199</v>
      </c>
      <c r="J1633" s="5" t="n">
        <f aca="false">H1633*I1633</f>
        <v>3199</v>
      </c>
      <c r="K1633" s="5" t="n">
        <f aca="false">INDEX(Produtos!$E$2:$E$11,MATCH(F1633,Produtos!$A$2:$A$11,0))</f>
        <v>2350</v>
      </c>
      <c r="L1633" s="5" t="n">
        <f aca="false">H1633*K1633</f>
        <v>2350</v>
      </c>
    </row>
    <row r="1634" customFormat="false" ht="15" hidden="false" customHeight="false" outlineLevel="0" collapsed="false">
      <c r="A1634" s="2" t="s">
        <v>1916</v>
      </c>
      <c r="B1634" s="8" t="n">
        <v>46161</v>
      </c>
      <c r="C1634" s="2" t="s">
        <v>126</v>
      </c>
      <c r="D1634" s="3" t="str">
        <f aca="false">INDEX(Vendedores!$C$2:$C$101,MATCH(C1634,Vendedores!$A$2:$A$101,0))</f>
        <v>L04</v>
      </c>
      <c r="E1634" s="3" t="str">
        <f aca="false">INDEX(Lojas!$E$2:$E$11,MATCH(D1634,Lojas!$A$2:$A$11,0))</f>
        <v>Sudeste</v>
      </c>
      <c r="F1634" s="2" t="s">
        <v>265</v>
      </c>
      <c r="G1634" s="3" t="str">
        <f aca="false">INDEX(Produtos!$B$2:$B$11,MATCH(F1634,Produtos!$A$2:$A$11,0))&amp;" "&amp;INDEX(Produtos!$C$2:$C$11,MATCH(F1634,Produtos!$A$2:$A$11,0))</f>
        <v>Fone de Ouvido Headset</v>
      </c>
      <c r="H1634" s="2" t="n">
        <v>2</v>
      </c>
      <c r="I1634" s="5" t="n">
        <f aca="false">INDEX(Produtos!$D$2:$D$11,MATCH(F1634,Produtos!$A$2:$A$11,0))</f>
        <v>249.9</v>
      </c>
      <c r="J1634" s="5" t="n">
        <f aca="false">H1634*I1634</f>
        <v>499.8</v>
      </c>
      <c r="K1634" s="5" t="n">
        <f aca="false">INDEX(Produtos!$E$2:$E$11,MATCH(F1634,Produtos!$A$2:$A$11,0))</f>
        <v>145</v>
      </c>
      <c r="L1634" s="5" t="n">
        <f aca="false">H1634*K1634</f>
        <v>290</v>
      </c>
    </row>
    <row r="1635" customFormat="false" ht="15" hidden="false" customHeight="false" outlineLevel="0" collapsed="false">
      <c r="A1635" s="2" t="s">
        <v>1917</v>
      </c>
      <c r="B1635" s="8" t="n">
        <v>46161</v>
      </c>
      <c r="C1635" s="2" t="s">
        <v>205</v>
      </c>
      <c r="D1635" s="3" t="str">
        <f aca="false">INDEX(Vendedores!$C$2:$C$101,MATCH(C1635,Vendedores!$A$2:$A$101,0))</f>
        <v>L09</v>
      </c>
      <c r="E1635" s="3" t="str">
        <f aca="false">INDEX(Lojas!$E$2:$E$11,MATCH(D1635,Lojas!$A$2:$A$11,0))</f>
        <v>Nordeste</v>
      </c>
      <c r="F1635" s="2" t="s">
        <v>267</v>
      </c>
      <c r="G1635" s="3" t="str">
        <f aca="false">INDEX(Produtos!$B$2:$B$11,MATCH(F1635,Produtos!$A$2:$A$11,0))&amp;" "&amp;INDEX(Produtos!$C$2:$C$11,MATCH(F1635,Produtos!$A$2:$A$11,0))</f>
        <v>Carregador de Celular Tipo C</v>
      </c>
      <c r="H1635" s="2" t="n">
        <v>1</v>
      </c>
      <c r="I1635" s="5" t="n">
        <f aca="false">INDEX(Produtos!$D$2:$D$11,MATCH(F1635,Produtos!$A$2:$A$11,0))</f>
        <v>44.9</v>
      </c>
      <c r="J1635" s="5" t="n">
        <f aca="false">H1635*I1635</f>
        <v>44.9</v>
      </c>
      <c r="K1635" s="5" t="n">
        <f aca="false">INDEX(Produtos!$E$2:$E$11,MATCH(F1635,Produtos!$A$2:$A$11,0))</f>
        <v>18</v>
      </c>
      <c r="L1635" s="5" t="n">
        <f aca="false">H1635*K1635</f>
        <v>18</v>
      </c>
    </row>
    <row r="1636" customFormat="false" ht="15" hidden="false" customHeight="false" outlineLevel="0" collapsed="false">
      <c r="A1636" s="2" t="s">
        <v>1918</v>
      </c>
      <c r="B1636" s="8" t="n">
        <v>46161</v>
      </c>
      <c r="C1636" s="2" t="s">
        <v>66</v>
      </c>
      <c r="D1636" s="3" t="str">
        <f aca="false">INDEX(Vendedores!$C$2:$C$101,MATCH(C1636,Vendedores!$A$2:$A$101,0))</f>
        <v>L01</v>
      </c>
      <c r="E1636" s="3" t="str">
        <f aca="false">INDEX(Lojas!$E$2:$E$11,MATCH(D1636,Lojas!$A$2:$A$11,0))</f>
        <v>Sudeste</v>
      </c>
      <c r="F1636" s="2" t="s">
        <v>255</v>
      </c>
      <c r="G1636" s="3" t="str">
        <f aca="false">INDEX(Produtos!$B$2:$B$11,MATCH(F1636,Produtos!$A$2:$A$11,0))&amp;" "&amp;INDEX(Produtos!$C$2:$C$11,MATCH(F1636,Produtos!$A$2:$A$11,0))</f>
        <v>Notebook Positivo</v>
      </c>
      <c r="H1636" s="2" t="n">
        <v>2</v>
      </c>
      <c r="I1636" s="5" t="n">
        <f aca="false">INDEX(Produtos!$D$2:$D$11,MATCH(F1636,Produtos!$A$2:$A$11,0))</f>
        <v>2199</v>
      </c>
      <c r="J1636" s="5" t="n">
        <f aca="false">H1636*I1636</f>
        <v>4398</v>
      </c>
      <c r="K1636" s="5" t="n">
        <f aca="false">INDEX(Produtos!$E$2:$E$11,MATCH(F1636,Produtos!$A$2:$A$11,0))</f>
        <v>1550</v>
      </c>
      <c r="L1636" s="5" t="n">
        <f aca="false">H1636*K1636</f>
        <v>3100</v>
      </c>
    </row>
    <row r="1637" customFormat="false" ht="15" hidden="false" customHeight="false" outlineLevel="0" collapsed="false">
      <c r="A1637" s="2" t="s">
        <v>1919</v>
      </c>
      <c r="B1637" s="8" t="n">
        <v>46161</v>
      </c>
      <c r="C1637" s="2" t="s">
        <v>227</v>
      </c>
      <c r="D1637" s="3" t="str">
        <f aca="false">INDEX(Vendedores!$C$2:$C$101,MATCH(C1637,Vendedores!$A$2:$A$101,0))</f>
        <v>L10</v>
      </c>
      <c r="E1637" s="3" t="str">
        <f aca="false">INDEX(Lojas!$E$2:$E$11,MATCH(D1637,Lojas!$A$2:$A$11,0))</f>
        <v>Nordeste</v>
      </c>
      <c r="F1637" s="2" t="s">
        <v>260</v>
      </c>
      <c r="G1637" s="3" t="str">
        <f aca="false">INDEX(Produtos!$B$2:$B$11,MATCH(F1637,Produtos!$A$2:$A$11,0))&amp;" "&amp;INDEX(Produtos!$C$2:$C$11,MATCH(F1637,Produtos!$A$2:$A$11,0))</f>
        <v>Celular Motorola</v>
      </c>
      <c r="H1637" s="2" t="n">
        <v>1</v>
      </c>
      <c r="I1637" s="5" t="n">
        <f aca="false">INDEX(Produtos!$D$2:$D$11,MATCH(F1637,Produtos!$A$2:$A$11,0))</f>
        <v>1799</v>
      </c>
      <c r="J1637" s="5" t="n">
        <f aca="false">H1637*I1637</f>
        <v>1799</v>
      </c>
      <c r="K1637" s="5" t="n">
        <f aca="false">INDEX(Produtos!$E$2:$E$11,MATCH(F1637,Produtos!$A$2:$A$11,0))</f>
        <v>1250</v>
      </c>
      <c r="L1637" s="5" t="n">
        <f aca="false">H1637*K1637</f>
        <v>1250</v>
      </c>
    </row>
    <row r="1638" customFormat="false" ht="15" hidden="false" customHeight="false" outlineLevel="0" collapsed="false">
      <c r="A1638" s="2" t="s">
        <v>1920</v>
      </c>
      <c r="B1638" s="8" t="n">
        <v>46161</v>
      </c>
      <c r="C1638" s="2" t="s">
        <v>94</v>
      </c>
      <c r="D1638" s="3" t="str">
        <f aca="false">INDEX(Vendedores!$C$2:$C$101,MATCH(C1638,Vendedores!$A$2:$A$101,0))</f>
        <v>L03</v>
      </c>
      <c r="E1638" s="3" t="str">
        <f aca="false">INDEX(Lojas!$E$2:$E$11,MATCH(D1638,Lojas!$A$2:$A$11,0))</f>
        <v>Sudeste</v>
      </c>
      <c r="F1638" s="2" t="s">
        <v>262</v>
      </c>
      <c r="G1638" s="3" t="str">
        <f aca="false">INDEX(Produtos!$B$2:$B$11,MATCH(F1638,Produtos!$A$2:$A$11,0))&amp;" "&amp;INDEX(Produtos!$C$2:$C$11,MATCH(F1638,Produtos!$A$2:$A$11,0))</f>
        <v>Fone de Ouvido De Celular</v>
      </c>
      <c r="H1638" s="2" t="n">
        <v>1</v>
      </c>
      <c r="I1638" s="5" t="n">
        <f aca="false">INDEX(Produtos!$D$2:$D$11,MATCH(F1638,Produtos!$A$2:$A$11,0))</f>
        <v>59.9</v>
      </c>
      <c r="J1638" s="5" t="n">
        <f aca="false">H1638*I1638</f>
        <v>59.9</v>
      </c>
      <c r="K1638" s="5" t="n">
        <f aca="false">INDEX(Produtos!$E$2:$E$11,MATCH(F1638,Produtos!$A$2:$A$11,0))</f>
        <v>28</v>
      </c>
      <c r="L1638" s="5" t="n">
        <f aca="false">H1638*K1638</f>
        <v>28</v>
      </c>
    </row>
    <row r="1639" customFormat="false" ht="15" hidden="false" customHeight="false" outlineLevel="0" collapsed="false">
      <c r="A1639" s="2" t="s">
        <v>1921</v>
      </c>
      <c r="B1639" s="8" t="n">
        <v>46161</v>
      </c>
      <c r="C1639" s="2" t="s">
        <v>120</v>
      </c>
      <c r="D1639" s="3" t="str">
        <f aca="false">INDEX(Vendedores!$C$2:$C$101,MATCH(C1639,Vendedores!$A$2:$A$101,0))</f>
        <v>L04</v>
      </c>
      <c r="E1639" s="3" t="str">
        <f aca="false">INDEX(Lojas!$E$2:$E$11,MATCH(D1639,Lojas!$A$2:$A$11,0))</f>
        <v>Sudeste</v>
      </c>
      <c r="F1639" s="2" t="s">
        <v>262</v>
      </c>
      <c r="G1639" s="3" t="str">
        <f aca="false">INDEX(Produtos!$B$2:$B$11,MATCH(F1639,Produtos!$A$2:$A$11,0))&amp;" "&amp;INDEX(Produtos!$C$2:$C$11,MATCH(F1639,Produtos!$A$2:$A$11,0))</f>
        <v>Fone de Ouvido De Celular</v>
      </c>
      <c r="H1639" s="2" t="n">
        <v>1</v>
      </c>
      <c r="I1639" s="5" t="n">
        <f aca="false">INDEX(Produtos!$D$2:$D$11,MATCH(F1639,Produtos!$A$2:$A$11,0))</f>
        <v>59.9</v>
      </c>
      <c r="J1639" s="5" t="n">
        <f aca="false">H1639*I1639</f>
        <v>59.9</v>
      </c>
      <c r="K1639" s="5" t="n">
        <f aca="false">INDEX(Produtos!$E$2:$E$11,MATCH(F1639,Produtos!$A$2:$A$11,0))</f>
        <v>28</v>
      </c>
      <c r="L1639" s="5" t="n">
        <f aca="false">H1639*K1639</f>
        <v>28</v>
      </c>
    </row>
    <row r="1640" customFormat="false" ht="15" hidden="false" customHeight="false" outlineLevel="0" collapsed="false">
      <c r="A1640" s="2" t="s">
        <v>1922</v>
      </c>
      <c r="B1640" s="8" t="n">
        <v>46161</v>
      </c>
      <c r="C1640" s="2" t="s">
        <v>239</v>
      </c>
      <c r="D1640" s="3" t="str">
        <f aca="false">INDEX(Vendedores!$C$2:$C$101,MATCH(C1640,Vendedores!$A$2:$A$101,0))</f>
        <v>L10</v>
      </c>
      <c r="E1640" s="3" t="str">
        <f aca="false">INDEX(Lojas!$E$2:$E$11,MATCH(D1640,Lojas!$A$2:$A$11,0))</f>
        <v>Nordeste</v>
      </c>
      <c r="F1640" s="2" t="s">
        <v>257</v>
      </c>
      <c r="G1640" s="3" t="str">
        <f aca="false">INDEX(Produtos!$B$2:$B$11,MATCH(F1640,Produtos!$A$2:$A$11,0))&amp;" "&amp;INDEX(Produtos!$C$2:$C$11,MATCH(F1640,Produtos!$A$2:$A$11,0))</f>
        <v>Celular Samsung</v>
      </c>
      <c r="H1640" s="2" t="n">
        <v>1</v>
      </c>
      <c r="I1640" s="5" t="n">
        <f aca="false">INDEX(Produtos!$D$2:$D$11,MATCH(F1640,Produtos!$A$2:$A$11,0))</f>
        <v>2499</v>
      </c>
      <c r="J1640" s="5" t="n">
        <f aca="false">H1640*I1640</f>
        <v>2499</v>
      </c>
      <c r="K1640" s="5" t="n">
        <f aca="false">INDEX(Produtos!$E$2:$E$11,MATCH(F1640,Produtos!$A$2:$A$11,0))</f>
        <v>1800</v>
      </c>
      <c r="L1640" s="5" t="n">
        <f aca="false">H1640*K1640</f>
        <v>1800</v>
      </c>
    </row>
    <row r="1641" customFormat="false" ht="15" hidden="false" customHeight="false" outlineLevel="0" collapsed="false">
      <c r="A1641" s="2" t="s">
        <v>1923</v>
      </c>
      <c r="B1641" s="8" t="n">
        <v>46161</v>
      </c>
      <c r="C1641" s="2" t="s">
        <v>215</v>
      </c>
      <c r="D1641" s="3" t="str">
        <f aca="false">INDEX(Vendedores!$C$2:$C$101,MATCH(C1641,Vendedores!$A$2:$A$101,0))</f>
        <v>L09</v>
      </c>
      <c r="E1641" s="3" t="str">
        <f aca="false">INDEX(Lojas!$E$2:$E$11,MATCH(D1641,Lojas!$A$2:$A$11,0))</f>
        <v>Nordeste</v>
      </c>
      <c r="F1641" s="2" t="s">
        <v>255</v>
      </c>
      <c r="G1641" s="3" t="str">
        <f aca="false">INDEX(Produtos!$B$2:$B$11,MATCH(F1641,Produtos!$A$2:$A$11,0))&amp;" "&amp;INDEX(Produtos!$C$2:$C$11,MATCH(F1641,Produtos!$A$2:$A$11,0))</f>
        <v>Notebook Positivo</v>
      </c>
      <c r="H1641" s="2" t="n">
        <v>1</v>
      </c>
      <c r="I1641" s="5" t="n">
        <f aca="false">INDEX(Produtos!$D$2:$D$11,MATCH(F1641,Produtos!$A$2:$A$11,0))</f>
        <v>2199</v>
      </c>
      <c r="J1641" s="5" t="n">
        <f aca="false">H1641*I1641</f>
        <v>2199</v>
      </c>
      <c r="K1641" s="5" t="n">
        <f aca="false">INDEX(Produtos!$E$2:$E$11,MATCH(F1641,Produtos!$A$2:$A$11,0))</f>
        <v>1550</v>
      </c>
      <c r="L1641" s="5" t="n">
        <f aca="false">H1641*K1641</f>
        <v>1550</v>
      </c>
    </row>
    <row r="1642" customFormat="false" ht="15" hidden="false" customHeight="false" outlineLevel="0" collapsed="false">
      <c r="A1642" s="2" t="s">
        <v>1924</v>
      </c>
      <c r="B1642" s="8" t="n">
        <v>46161</v>
      </c>
      <c r="C1642" s="2" t="s">
        <v>207</v>
      </c>
      <c r="D1642" s="3" t="str">
        <f aca="false">INDEX(Vendedores!$C$2:$C$101,MATCH(C1642,Vendedores!$A$2:$A$101,0))</f>
        <v>L09</v>
      </c>
      <c r="E1642" s="3" t="str">
        <f aca="false">INDEX(Lojas!$E$2:$E$11,MATCH(D1642,Lojas!$A$2:$A$11,0))</f>
        <v>Nordeste</v>
      </c>
      <c r="F1642" s="2" t="s">
        <v>260</v>
      </c>
      <c r="G1642" s="3" t="str">
        <f aca="false">INDEX(Produtos!$B$2:$B$11,MATCH(F1642,Produtos!$A$2:$A$11,0))&amp;" "&amp;INDEX(Produtos!$C$2:$C$11,MATCH(F1642,Produtos!$A$2:$A$11,0))</f>
        <v>Celular Motorola</v>
      </c>
      <c r="H1642" s="2" t="n">
        <v>2</v>
      </c>
      <c r="I1642" s="5" t="n">
        <f aca="false">INDEX(Produtos!$D$2:$D$11,MATCH(F1642,Produtos!$A$2:$A$11,0))</f>
        <v>1799</v>
      </c>
      <c r="J1642" s="5" t="n">
        <f aca="false">H1642*I1642</f>
        <v>3598</v>
      </c>
      <c r="K1642" s="5" t="n">
        <f aca="false">INDEX(Produtos!$E$2:$E$11,MATCH(F1642,Produtos!$A$2:$A$11,0))</f>
        <v>1250</v>
      </c>
      <c r="L1642" s="5" t="n">
        <f aca="false">H1642*K1642</f>
        <v>2500</v>
      </c>
    </row>
    <row r="1643" customFormat="false" ht="15" hidden="false" customHeight="false" outlineLevel="0" collapsed="false">
      <c r="A1643" s="2" t="s">
        <v>1925</v>
      </c>
      <c r="B1643" s="8" t="n">
        <v>46162</v>
      </c>
      <c r="C1643" s="2" t="s">
        <v>106</v>
      </c>
      <c r="D1643" s="3" t="str">
        <f aca="false">INDEX(Vendedores!$C$2:$C$101,MATCH(C1643,Vendedores!$A$2:$A$101,0))</f>
        <v>L03</v>
      </c>
      <c r="E1643" s="3" t="str">
        <f aca="false">INDEX(Lojas!$E$2:$E$11,MATCH(D1643,Lojas!$A$2:$A$11,0))</f>
        <v>Sudeste</v>
      </c>
      <c r="F1643" s="2" t="s">
        <v>260</v>
      </c>
      <c r="G1643" s="3" t="str">
        <f aca="false">INDEX(Produtos!$B$2:$B$11,MATCH(F1643,Produtos!$A$2:$A$11,0))&amp;" "&amp;INDEX(Produtos!$C$2:$C$11,MATCH(F1643,Produtos!$A$2:$A$11,0))</f>
        <v>Celular Motorola</v>
      </c>
      <c r="H1643" s="2" t="n">
        <v>1</v>
      </c>
      <c r="I1643" s="5" t="n">
        <f aca="false">INDEX(Produtos!$D$2:$D$11,MATCH(F1643,Produtos!$A$2:$A$11,0))</f>
        <v>1799</v>
      </c>
      <c r="J1643" s="5" t="n">
        <f aca="false">H1643*I1643</f>
        <v>1799</v>
      </c>
      <c r="K1643" s="5" t="n">
        <f aca="false">INDEX(Produtos!$E$2:$E$11,MATCH(F1643,Produtos!$A$2:$A$11,0))</f>
        <v>1250</v>
      </c>
      <c r="L1643" s="5" t="n">
        <f aca="false">H1643*K1643</f>
        <v>1250</v>
      </c>
    </row>
    <row r="1644" customFormat="false" ht="15" hidden="false" customHeight="false" outlineLevel="0" collapsed="false">
      <c r="A1644" s="2" t="s">
        <v>1926</v>
      </c>
      <c r="B1644" s="8" t="n">
        <v>46162</v>
      </c>
      <c r="C1644" s="2" t="s">
        <v>100</v>
      </c>
      <c r="D1644" s="3" t="str">
        <f aca="false">INDEX(Vendedores!$C$2:$C$101,MATCH(C1644,Vendedores!$A$2:$A$101,0))</f>
        <v>L03</v>
      </c>
      <c r="E1644" s="3" t="str">
        <f aca="false">INDEX(Lojas!$E$2:$E$11,MATCH(D1644,Lojas!$A$2:$A$11,0))</f>
        <v>Sudeste</v>
      </c>
      <c r="F1644" s="2" t="s">
        <v>265</v>
      </c>
      <c r="G1644" s="3" t="str">
        <f aca="false">INDEX(Produtos!$B$2:$B$11,MATCH(F1644,Produtos!$A$2:$A$11,0))&amp;" "&amp;INDEX(Produtos!$C$2:$C$11,MATCH(F1644,Produtos!$A$2:$A$11,0))</f>
        <v>Fone de Ouvido Headset</v>
      </c>
      <c r="H1644" s="2" t="n">
        <v>1</v>
      </c>
      <c r="I1644" s="5" t="n">
        <f aca="false">INDEX(Produtos!$D$2:$D$11,MATCH(F1644,Produtos!$A$2:$A$11,0))</f>
        <v>249.9</v>
      </c>
      <c r="J1644" s="5" t="n">
        <f aca="false">H1644*I1644</f>
        <v>249.9</v>
      </c>
      <c r="K1644" s="5" t="n">
        <f aca="false">INDEX(Produtos!$E$2:$E$11,MATCH(F1644,Produtos!$A$2:$A$11,0))</f>
        <v>145</v>
      </c>
      <c r="L1644" s="5" t="n">
        <f aca="false">H1644*K1644</f>
        <v>145</v>
      </c>
    </row>
    <row r="1645" customFormat="false" ht="15" hidden="false" customHeight="false" outlineLevel="0" collapsed="false">
      <c r="A1645" s="2" t="s">
        <v>1927</v>
      </c>
      <c r="B1645" s="8" t="n">
        <v>46162</v>
      </c>
      <c r="C1645" s="2" t="s">
        <v>183</v>
      </c>
      <c r="D1645" s="3" t="str">
        <f aca="false">INDEX(Vendedores!$C$2:$C$101,MATCH(C1645,Vendedores!$A$2:$A$101,0))</f>
        <v>L07</v>
      </c>
      <c r="E1645" s="3" t="str">
        <f aca="false">INDEX(Lojas!$E$2:$E$11,MATCH(D1645,Lojas!$A$2:$A$11,0))</f>
        <v>Sul</v>
      </c>
      <c r="F1645" s="2" t="s">
        <v>270</v>
      </c>
      <c r="G1645" s="3" t="str">
        <f aca="false">INDEX(Produtos!$B$2:$B$11,MATCH(F1645,Produtos!$A$2:$A$11,0))&amp;" "&amp;INDEX(Produtos!$C$2:$C$11,MATCH(F1645,Produtos!$A$2:$A$11,0))</f>
        <v>Controle de Videogame Xbox</v>
      </c>
      <c r="H1645" s="2" t="n">
        <v>1</v>
      </c>
      <c r="I1645" s="5" t="n">
        <f aca="false">INDEX(Produtos!$D$2:$D$11,MATCH(F1645,Produtos!$A$2:$A$11,0))</f>
        <v>349.9</v>
      </c>
      <c r="J1645" s="5" t="n">
        <f aca="false">H1645*I1645</f>
        <v>349.9</v>
      </c>
      <c r="K1645" s="5" t="n">
        <f aca="false">INDEX(Produtos!$E$2:$E$11,MATCH(F1645,Produtos!$A$2:$A$11,0))</f>
        <v>215</v>
      </c>
      <c r="L1645" s="5" t="n">
        <f aca="false">H1645*K1645</f>
        <v>215</v>
      </c>
    </row>
    <row r="1646" customFormat="false" ht="15" hidden="false" customHeight="false" outlineLevel="0" collapsed="false">
      <c r="A1646" s="2" t="s">
        <v>1928</v>
      </c>
      <c r="B1646" s="8" t="n">
        <v>46162</v>
      </c>
      <c r="C1646" s="2" t="s">
        <v>100</v>
      </c>
      <c r="D1646" s="3" t="str">
        <f aca="false">INDEX(Vendedores!$C$2:$C$101,MATCH(C1646,Vendedores!$A$2:$A$101,0))</f>
        <v>L03</v>
      </c>
      <c r="E1646" s="3" t="str">
        <f aca="false">INDEX(Lojas!$E$2:$E$11,MATCH(D1646,Lojas!$A$2:$A$11,0))</f>
        <v>Sudeste</v>
      </c>
      <c r="F1646" s="2" t="s">
        <v>257</v>
      </c>
      <c r="G1646" s="3" t="str">
        <f aca="false">INDEX(Produtos!$B$2:$B$11,MATCH(F1646,Produtos!$A$2:$A$11,0))&amp;" "&amp;INDEX(Produtos!$C$2:$C$11,MATCH(F1646,Produtos!$A$2:$A$11,0))</f>
        <v>Celular Samsung</v>
      </c>
      <c r="H1646" s="2" t="n">
        <v>1</v>
      </c>
      <c r="I1646" s="5" t="n">
        <f aca="false">INDEX(Produtos!$D$2:$D$11,MATCH(F1646,Produtos!$A$2:$A$11,0))</f>
        <v>2499</v>
      </c>
      <c r="J1646" s="5" t="n">
        <f aca="false">H1646*I1646</f>
        <v>2499</v>
      </c>
      <c r="K1646" s="5" t="n">
        <f aca="false">INDEX(Produtos!$E$2:$E$11,MATCH(F1646,Produtos!$A$2:$A$11,0))</f>
        <v>1800</v>
      </c>
      <c r="L1646" s="5" t="n">
        <f aca="false">H1646*K1646</f>
        <v>1800</v>
      </c>
    </row>
    <row r="1647" customFormat="false" ht="15" hidden="false" customHeight="false" outlineLevel="0" collapsed="false">
      <c r="A1647" s="2" t="s">
        <v>1929</v>
      </c>
      <c r="B1647" s="8" t="n">
        <v>46162</v>
      </c>
      <c r="C1647" s="2" t="s">
        <v>229</v>
      </c>
      <c r="D1647" s="3" t="str">
        <f aca="false">INDEX(Vendedores!$C$2:$C$101,MATCH(C1647,Vendedores!$A$2:$A$101,0))</f>
        <v>L10</v>
      </c>
      <c r="E1647" s="3" t="str">
        <f aca="false">INDEX(Lojas!$E$2:$E$11,MATCH(D1647,Lojas!$A$2:$A$11,0))</f>
        <v>Nordeste</v>
      </c>
      <c r="F1647" s="2" t="s">
        <v>267</v>
      </c>
      <c r="G1647" s="3" t="str">
        <f aca="false">INDEX(Produtos!$B$2:$B$11,MATCH(F1647,Produtos!$A$2:$A$11,0))&amp;" "&amp;INDEX(Produtos!$C$2:$C$11,MATCH(F1647,Produtos!$A$2:$A$11,0))</f>
        <v>Carregador de Celular Tipo C</v>
      </c>
      <c r="H1647" s="2" t="n">
        <v>1</v>
      </c>
      <c r="I1647" s="5" t="n">
        <f aca="false">INDEX(Produtos!$D$2:$D$11,MATCH(F1647,Produtos!$A$2:$A$11,0))</f>
        <v>44.9</v>
      </c>
      <c r="J1647" s="5" t="n">
        <f aca="false">H1647*I1647</f>
        <v>44.9</v>
      </c>
      <c r="K1647" s="5" t="n">
        <f aca="false">INDEX(Produtos!$E$2:$E$11,MATCH(F1647,Produtos!$A$2:$A$11,0))</f>
        <v>18</v>
      </c>
      <c r="L1647" s="5" t="n">
        <f aca="false">H1647*K1647</f>
        <v>18</v>
      </c>
    </row>
    <row r="1648" customFormat="false" ht="15" hidden="false" customHeight="false" outlineLevel="0" collapsed="false">
      <c r="A1648" s="2" t="s">
        <v>1930</v>
      </c>
      <c r="B1648" s="8" t="n">
        <v>46162</v>
      </c>
      <c r="C1648" s="2" t="s">
        <v>162</v>
      </c>
      <c r="D1648" s="3" t="str">
        <f aca="false">INDEX(Vendedores!$C$2:$C$101,MATCH(C1648,Vendedores!$A$2:$A$101,0))</f>
        <v>L06</v>
      </c>
      <c r="E1648" s="3" t="str">
        <f aca="false">INDEX(Lojas!$E$2:$E$11,MATCH(D1648,Lojas!$A$2:$A$11,0))</f>
        <v>Sul</v>
      </c>
      <c r="F1648" s="2" t="s">
        <v>255</v>
      </c>
      <c r="G1648" s="3" t="str">
        <f aca="false">INDEX(Produtos!$B$2:$B$11,MATCH(F1648,Produtos!$A$2:$A$11,0))&amp;" "&amp;INDEX(Produtos!$C$2:$C$11,MATCH(F1648,Produtos!$A$2:$A$11,0))</f>
        <v>Notebook Positivo</v>
      </c>
      <c r="H1648" s="2" t="n">
        <v>1</v>
      </c>
      <c r="I1648" s="5" t="n">
        <f aca="false">INDEX(Produtos!$D$2:$D$11,MATCH(F1648,Produtos!$A$2:$A$11,0))</f>
        <v>2199</v>
      </c>
      <c r="J1648" s="5" t="n">
        <f aca="false">H1648*I1648</f>
        <v>2199</v>
      </c>
      <c r="K1648" s="5" t="n">
        <f aca="false">INDEX(Produtos!$E$2:$E$11,MATCH(F1648,Produtos!$A$2:$A$11,0))</f>
        <v>1550</v>
      </c>
      <c r="L1648" s="5" t="n">
        <f aca="false">H1648*K1648</f>
        <v>1550</v>
      </c>
    </row>
    <row r="1649" customFormat="false" ht="15" hidden="false" customHeight="false" outlineLevel="0" collapsed="false">
      <c r="A1649" s="2" t="s">
        <v>1931</v>
      </c>
      <c r="B1649" s="8" t="n">
        <v>46162</v>
      </c>
      <c r="C1649" s="2" t="s">
        <v>140</v>
      </c>
      <c r="D1649" s="3" t="str">
        <f aca="false">INDEX(Vendedores!$C$2:$C$101,MATCH(C1649,Vendedores!$A$2:$A$101,0))</f>
        <v>L05</v>
      </c>
      <c r="E1649" s="3" t="str">
        <f aca="false">INDEX(Lojas!$E$2:$E$11,MATCH(D1649,Lojas!$A$2:$A$11,0))</f>
        <v>Sul</v>
      </c>
      <c r="F1649" s="2" t="s">
        <v>275</v>
      </c>
      <c r="G1649" s="3" t="str">
        <f aca="false">INDEX(Produtos!$B$2:$B$11,MATCH(F1649,Produtos!$A$2:$A$11,0))&amp;" "&amp;INDEX(Produtos!$C$2:$C$11,MATCH(F1649,Produtos!$A$2:$A$11,0))</f>
        <v>Controle de Videogame PS5</v>
      </c>
      <c r="H1649" s="2" t="n">
        <v>1</v>
      </c>
      <c r="I1649" s="5" t="n">
        <f aca="false">INDEX(Produtos!$D$2:$D$11,MATCH(F1649,Produtos!$A$2:$A$11,0))</f>
        <v>379.9</v>
      </c>
      <c r="J1649" s="5" t="n">
        <f aca="false">H1649*I1649</f>
        <v>379.9</v>
      </c>
      <c r="K1649" s="5" t="n">
        <f aca="false">INDEX(Produtos!$E$2:$E$11,MATCH(F1649,Produtos!$A$2:$A$11,0))</f>
        <v>235</v>
      </c>
      <c r="L1649" s="5" t="n">
        <f aca="false">H1649*K1649</f>
        <v>235</v>
      </c>
    </row>
    <row r="1650" customFormat="false" ht="15" hidden="false" customHeight="false" outlineLevel="0" collapsed="false">
      <c r="A1650" s="2" t="s">
        <v>1932</v>
      </c>
      <c r="B1650" s="8" t="n">
        <v>46162</v>
      </c>
      <c r="C1650" s="2" t="s">
        <v>68</v>
      </c>
      <c r="D1650" s="3" t="str">
        <f aca="false">INDEX(Vendedores!$C$2:$C$101,MATCH(C1650,Vendedores!$A$2:$A$101,0))</f>
        <v>L01</v>
      </c>
      <c r="E1650" s="3" t="str">
        <f aca="false">INDEX(Lojas!$E$2:$E$11,MATCH(D1650,Lojas!$A$2:$A$11,0))</f>
        <v>Sudeste</v>
      </c>
      <c r="F1650" s="2" t="s">
        <v>252</v>
      </c>
      <c r="G1650" s="3" t="str">
        <f aca="false">INDEX(Produtos!$B$2:$B$11,MATCH(F1650,Produtos!$A$2:$A$11,0))&amp;" "&amp;INDEX(Produtos!$C$2:$C$11,MATCH(F1650,Produtos!$A$2:$A$11,0))</f>
        <v>Notebook Lenovo</v>
      </c>
      <c r="H1650" s="2" t="n">
        <v>1</v>
      </c>
      <c r="I1650" s="5" t="n">
        <f aca="false">INDEX(Produtos!$D$2:$D$11,MATCH(F1650,Produtos!$A$2:$A$11,0))</f>
        <v>3199</v>
      </c>
      <c r="J1650" s="5" t="n">
        <f aca="false">H1650*I1650</f>
        <v>3199</v>
      </c>
      <c r="K1650" s="5" t="n">
        <f aca="false">INDEX(Produtos!$E$2:$E$11,MATCH(F1650,Produtos!$A$2:$A$11,0))</f>
        <v>2350</v>
      </c>
      <c r="L1650" s="5" t="n">
        <f aca="false">H1650*K1650</f>
        <v>2350</v>
      </c>
    </row>
    <row r="1651" customFormat="false" ht="15" hidden="false" customHeight="false" outlineLevel="0" collapsed="false">
      <c r="A1651" s="2" t="s">
        <v>1933</v>
      </c>
      <c r="B1651" s="8" t="n">
        <v>46162</v>
      </c>
      <c r="C1651" s="2" t="s">
        <v>96</v>
      </c>
      <c r="D1651" s="3" t="str">
        <f aca="false">INDEX(Vendedores!$C$2:$C$101,MATCH(C1651,Vendedores!$A$2:$A$101,0))</f>
        <v>L03</v>
      </c>
      <c r="E1651" s="3" t="str">
        <f aca="false">INDEX(Lojas!$E$2:$E$11,MATCH(D1651,Lojas!$A$2:$A$11,0))</f>
        <v>Sudeste</v>
      </c>
      <c r="F1651" s="2" t="s">
        <v>255</v>
      </c>
      <c r="G1651" s="3" t="str">
        <f aca="false">INDEX(Produtos!$B$2:$B$11,MATCH(F1651,Produtos!$A$2:$A$11,0))&amp;" "&amp;INDEX(Produtos!$C$2:$C$11,MATCH(F1651,Produtos!$A$2:$A$11,0))</f>
        <v>Notebook Positivo</v>
      </c>
      <c r="H1651" s="2" t="n">
        <v>2</v>
      </c>
      <c r="I1651" s="5" t="n">
        <f aca="false">INDEX(Produtos!$D$2:$D$11,MATCH(F1651,Produtos!$A$2:$A$11,0))</f>
        <v>2199</v>
      </c>
      <c r="J1651" s="5" t="n">
        <f aca="false">H1651*I1651</f>
        <v>4398</v>
      </c>
      <c r="K1651" s="5" t="n">
        <f aca="false">INDEX(Produtos!$E$2:$E$11,MATCH(F1651,Produtos!$A$2:$A$11,0))</f>
        <v>1550</v>
      </c>
      <c r="L1651" s="5" t="n">
        <f aca="false">H1651*K1651</f>
        <v>3100</v>
      </c>
    </row>
    <row r="1652" customFormat="false" ht="15" hidden="false" customHeight="false" outlineLevel="0" collapsed="false">
      <c r="A1652" s="2" t="s">
        <v>1934</v>
      </c>
      <c r="B1652" s="8" t="n">
        <v>46162</v>
      </c>
      <c r="C1652" s="2" t="s">
        <v>122</v>
      </c>
      <c r="D1652" s="3" t="str">
        <f aca="false">INDEX(Vendedores!$C$2:$C$101,MATCH(C1652,Vendedores!$A$2:$A$101,0))</f>
        <v>L04</v>
      </c>
      <c r="E1652" s="3" t="str">
        <f aca="false">INDEX(Lojas!$E$2:$E$11,MATCH(D1652,Lojas!$A$2:$A$11,0))</f>
        <v>Sudeste</v>
      </c>
      <c r="F1652" s="2" t="s">
        <v>270</v>
      </c>
      <c r="G1652" s="3" t="str">
        <f aca="false">INDEX(Produtos!$B$2:$B$11,MATCH(F1652,Produtos!$A$2:$A$11,0))&amp;" "&amp;INDEX(Produtos!$C$2:$C$11,MATCH(F1652,Produtos!$A$2:$A$11,0))</f>
        <v>Controle de Videogame Xbox</v>
      </c>
      <c r="H1652" s="2" t="n">
        <v>1</v>
      </c>
      <c r="I1652" s="5" t="n">
        <f aca="false">INDEX(Produtos!$D$2:$D$11,MATCH(F1652,Produtos!$A$2:$A$11,0))</f>
        <v>349.9</v>
      </c>
      <c r="J1652" s="5" t="n">
        <f aca="false">H1652*I1652</f>
        <v>349.9</v>
      </c>
      <c r="K1652" s="5" t="n">
        <f aca="false">INDEX(Produtos!$E$2:$E$11,MATCH(F1652,Produtos!$A$2:$A$11,0))</f>
        <v>215</v>
      </c>
      <c r="L1652" s="5" t="n">
        <f aca="false">H1652*K1652</f>
        <v>215</v>
      </c>
    </row>
    <row r="1653" customFormat="false" ht="15" hidden="false" customHeight="false" outlineLevel="0" collapsed="false">
      <c r="A1653" s="2" t="s">
        <v>1935</v>
      </c>
      <c r="B1653" s="8" t="n">
        <v>46162</v>
      </c>
      <c r="C1653" s="2" t="s">
        <v>118</v>
      </c>
      <c r="D1653" s="3" t="str">
        <f aca="false">INDEX(Vendedores!$C$2:$C$101,MATCH(C1653,Vendedores!$A$2:$A$101,0))</f>
        <v>L04</v>
      </c>
      <c r="E1653" s="3" t="str">
        <f aca="false">INDEX(Lojas!$E$2:$E$11,MATCH(D1653,Lojas!$A$2:$A$11,0))</f>
        <v>Sudeste</v>
      </c>
      <c r="F1653" s="2" t="s">
        <v>273</v>
      </c>
      <c r="G1653" s="3" t="str">
        <f aca="false">INDEX(Produtos!$B$2:$B$11,MATCH(F1653,Produtos!$A$2:$A$11,0))&amp;" "&amp;INDEX(Produtos!$C$2:$C$11,MATCH(F1653,Produtos!$A$2:$A$11,0))</f>
        <v>Controle de Videogame PS4</v>
      </c>
      <c r="H1653" s="2" t="n">
        <v>1</v>
      </c>
      <c r="I1653" s="5" t="n">
        <f aca="false">INDEX(Produtos!$D$2:$D$11,MATCH(F1653,Produtos!$A$2:$A$11,0))</f>
        <v>299.9</v>
      </c>
      <c r="J1653" s="5" t="n">
        <f aca="false">H1653*I1653</f>
        <v>299.9</v>
      </c>
      <c r="K1653" s="5" t="n">
        <f aca="false">INDEX(Produtos!$E$2:$E$11,MATCH(F1653,Produtos!$A$2:$A$11,0))</f>
        <v>175</v>
      </c>
      <c r="L1653" s="5" t="n">
        <f aca="false">H1653*K1653</f>
        <v>175</v>
      </c>
    </row>
    <row r="1654" customFormat="false" ht="15" hidden="false" customHeight="false" outlineLevel="0" collapsed="false">
      <c r="A1654" s="2" t="s">
        <v>1936</v>
      </c>
      <c r="B1654" s="8" t="n">
        <v>46163</v>
      </c>
      <c r="C1654" s="2" t="s">
        <v>84</v>
      </c>
      <c r="D1654" s="3" t="str">
        <f aca="false">INDEX(Vendedores!$C$2:$C$101,MATCH(C1654,Vendedores!$A$2:$A$101,0))</f>
        <v>L02</v>
      </c>
      <c r="E1654" s="3" t="str">
        <f aca="false">INDEX(Lojas!$E$2:$E$11,MATCH(D1654,Lojas!$A$2:$A$11,0))</f>
        <v>Sudeste</v>
      </c>
      <c r="F1654" s="2" t="s">
        <v>255</v>
      </c>
      <c r="G1654" s="3" t="str">
        <f aca="false">INDEX(Produtos!$B$2:$B$11,MATCH(F1654,Produtos!$A$2:$A$11,0))&amp;" "&amp;INDEX(Produtos!$C$2:$C$11,MATCH(F1654,Produtos!$A$2:$A$11,0))</f>
        <v>Notebook Positivo</v>
      </c>
      <c r="H1654" s="2" t="n">
        <v>1</v>
      </c>
      <c r="I1654" s="5" t="n">
        <f aca="false">INDEX(Produtos!$D$2:$D$11,MATCH(F1654,Produtos!$A$2:$A$11,0))</f>
        <v>2199</v>
      </c>
      <c r="J1654" s="5" t="n">
        <f aca="false">H1654*I1654</f>
        <v>2199</v>
      </c>
      <c r="K1654" s="5" t="n">
        <f aca="false">INDEX(Produtos!$E$2:$E$11,MATCH(F1654,Produtos!$A$2:$A$11,0))</f>
        <v>1550</v>
      </c>
      <c r="L1654" s="5" t="n">
        <f aca="false">H1654*K1654</f>
        <v>1550</v>
      </c>
    </row>
    <row r="1655" customFormat="false" ht="15" hidden="false" customHeight="false" outlineLevel="0" collapsed="false">
      <c r="A1655" s="2" t="s">
        <v>1937</v>
      </c>
      <c r="B1655" s="8" t="n">
        <v>46163</v>
      </c>
      <c r="C1655" s="2" t="s">
        <v>201</v>
      </c>
      <c r="D1655" s="3" t="str">
        <f aca="false">INDEX(Vendedores!$C$2:$C$101,MATCH(C1655,Vendedores!$A$2:$A$101,0))</f>
        <v>L08</v>
      </c>
      <c r="E1655" s="3" t="str">
        <f aca="false">INDEX(Lojas!$E$2:$E$11,MATCH(D1655,Lojas!$A$2:$A$11,0))</f>
        <v>Nordeste</v>
      </c>
      <c r="F1655" s="2" t="s">
        <v>267</v>
      </c>
      <c r="G1655" s="3" t="str">
        <f aca="false">INDEX(Produtos!$B$2:$B$11,MATCH(F1655,Produtos!$A$2:$A$11,0))&amp;" "&amp;INDEX(Produtos!$C$2:$C$11,MATCH(F1655,Produtos!$A$2:$A$11,0))</f>
        <v>Carregador de Celular Tipo C</v>
      </c>
      <c r="H1655" s="2" t="n">
        <v>1</v>
      </c>
      <c r="I1655" s="5" t="n">
        <f aca="false">INDEX(Produtos!$D$2:$D$11,MATCH(F1655,Produtos!$A$2:$A$11,0))</f>
        <v>44.9</v>
      </c>
      <c r="J1655" s="5" t="n">
        <f aca="false">H1655*I1655</f>
        <v>44.9</v>
      </c>
      <c r="K1655" s="5" t="n">
        <f aca="false">INDEX(Produtos!$E$2:$E$11,MATCH(F1655,Produtos!$A$2:$A$11,0))</f>
        <v>18</v>
      </c>
      <c r="L1655" s="5" t="n">
        <f aca="false">H1655*K1655</f>
        <v>18</v>
      </c>
    </row>
    <row r="1656" customFormat="false" ht="15" hidden="false" customHeight="false" outlineLevel="0" collapsed="false">
      <c r="A1656" s="2" t="s">
        <v>1938</v>
      </c>
      <c r="B1656" s="8" t="n">
        <v>46163</v>
      </c>
      <c r="C1656" s="2" t="s">
        <v>104</v>
      </c>
      <c r="D1656" s="3" t="str">
        <f aca="false">INDEX(Vendedores!$C$2:$C$101,MATCH(C1656,Vendedores!$A$2:$A$101,0))</f>
        <v>L03</v>
      </c>
      <c r="E1656" s="3" t="str">
        <f aca="false">INDEX(Lojas!$E$2:$E$11,MATCH(D1656,Lojas!$A$2:$A$11,0))</f>
        <v>Sudeste</v>
      </c>
      <c r="F1656" s="2" t="s">
        <v>252</v>
      </c>
      <c r="G1656" s="3" t="str">
        <f aca="false">INDEX(Produtos!$B$2:$B$11,MATCH(F1656,Produtos!$A$2:$A$11,0))&amp;" "&amp;INDEX(Produtos!$C$2:$C$11,MATCH(F1656,Produtos!$A$2:$A$11,0))</f>
        <v>Notebook Lenovo</v>
      </c>
      <c r="H1656" s="2" t="n">
        <v>1</v>
      </c>
      <c r="I1656" s="5" t="n">
        <f aca="false">INDEX(Produtos!$D$2:$D$11,MATCH(F1656,Produtos!$A$2:$A$11,0))</f>
        <v>3199</v>
      </c>
      <c r="J1656" s="5" t="n">
        <f aca="false">H1656*I1656</f>
        <v>3199</v>
      </c>
      <c r="K1656" s="5" t="n">
        <f aca="false">INDEX(Produtos!$E$2:$E$11,MATCH(F1656,Produtos!$A$2:$A$11,0))</f>
        <v>2350</v>
      </c>
      <c r="L1656" s="5" t="n">
        <f aca="false">H1656*K1656</f>
        <v>2350</v>
      </c>
    </row>
    <row r="1657" customFormat="false" ht="15" hidden="false" customHeight="false" outlineLevel="0" collapsed="false">
      <c r="A1657" s="2" t="s">
        <v>1939</v>
      </c>
      <c r="B1657" s="8" t="n">
        <v>46163</v>
      </c>
      <c r="C1657" s="2" t="s">
        <v>68</v>
      </c>
      <c r="D1657" s="3" t="str">
        <f aca="false">INDEX(Vendedores!$C$2:$C$101,MATCH(C1657,Vendedores!$A$2:$A$101,0))</f>
        <v>L01</v>
      </c>
      <c r="E1657" s="3" t="str">
        <f aca="false">INDEX(Lojas!$E$2:$E$11,MATCH(D1657,Lojas!$A$2:$A$11,0))</f>
        <v>Sudeste</v>
      </c>
      <c r="F1657" s="2" t="s">
        <v>257</v>
      </c>
      <c r="G1657" s="3" t="str">
        <f aca="false">INDEX(Produtos!$B$2:$B$11,MATCH(F1657,Produtos!$A$2:$A$11,0))&amp;" "&amp;INDEX(Produtos!$C$2:$C$11,MATCH(F1657,Produtos!$A$2:$A$11,0))</f>
        <v>Celular Samsung</v>
      </c>
      <c r="H1657" s="2" t="n">
        <v>3</v>
      </c>
      <c r="I1657" s="5" t="n">
        <f aca="false">INDEX(Produtos!$D$2:$D$11,MATCH(F1657,Produtos!$A$2:$A$11,0))</f>
        <v>2499</v>
      </c>
      <c r="J1657" s="5" t="n">
        <f aca="false">H1657*I1657</f>
        <v>7497</v>
      </c>
      <c r="K1657" s="5" t="n">
        <f aca="false">INDEX(Produtos!$E$2:$E$11,MATCH(F1657,Produtos!$A$2:$A$11,0))</f>
        <v>1800</v>
      </c>
      <c r="L1657" s="5" t="n">
        <f aca="false">H1657*K1657</f>
        <v>5400</v>
      </c>
    </row>
    <row r="1658" customFormat="false" ht="15" hidden="false" customHeight="false" outlineLevel="0" collapsed="false">
      <c r="A1658" s="2" t="s">
        <v>1940</v>
      </c>
      <c r="B1658" s="8" t="n">
        <v>46163</v>
      </c>
      <c r="C1658" s="2" t="s">
        <v>160</v>
      </c>
      <c r="D1658" s="3" t="str">
        <f aca="false">INDEX(Vendedores!$C$2:$C$101,MATCH(C1658,Vendedores!$A$2:$A$101,0))</f>
        <v>L06</v>
      </c>
      <c r="E1658" s="3" t="str">
        <f aca="false">INDEX(Lojas!$E$2:$E$11,MATCH(D1658,Lojas!$A$2:$A$11,0))</f>
        <v>Sul</v>
      </c>
      <c r="F1658" s="2" t="s">
        <v>270</v>
      </c>
      <c r="G1658" s="3" t="str">
        <f aca="false">INDEX(Produtos!$B$2:$B$11,MATCH(F1658,Produtos!$A$2:$A$11,0))&amp;" "&amp;INDEX(Produtos!$C$2:$C$11,MATCH(F1658,Produtos!$A$2:$A$11,0))</f>
        <v>Controle de Videogame Xbox</v>
      </c>
      <c r="H1658" s="2" t="n">
        <v>1</v>
      </c>
      <c r="I1658" s="5" t="n">
        <f aca="false">INDEX(Produtos!$D$2:$D$11,MATCH(F1658,Produtos!$A$2:$A$11,0))</f>
        <v>349.9</v>
      </c>
      <c r="J1658" s="5" t="n">
        <f aca="false">H1658*I1658</f>
        <v>349.9</v>
      </c>
      <c r="K1658" s="5" t="n">
        <f aca="false">INDEX(Produtos!$E$2:$E$11,MATCH(F1658,Produtos!$A$2:$A$11,0))</f>
        <v>215</v>
      </c>
      <c r="L1658" s="5" t="n">
        <f aca="false">H1658*K1658</f>
        <v>215</v>
      </c>
    </row>
    <row r="1659" customFormat="false" ht="15" hidden="false" customHeight="false" outlineLevel="0" collapsed="false">
      <c r="A1659" s="2" t="s">
        <v>1941</v>
      </c>
      <c r="B1659" s="8" t="n">
        <v>46163</v>
      </c>
      <c r="C1659" s="2" t="s">
        <v>221</v>
      </c>
      <c r="D1659" s="3" t="str">
        <f aca="false">INDEX(Vendedores!$C$2:$C$101,MATCH(C1659,Vendedores!$A$2:$A$101,0))</f>
        <v>L09</v>
      </c>
      <c r="E1659" s="3" t="str">
        <f aca="false">INDEX(Lojas!$E$2:$E$11,MATCH(D1659,Lojas!$A$2:$A$11,0))</f>
        <v>Nordeste</v>
      </c>
      <c r="F1659" s="2" t="s">
        <v>255</v>
      </c>
      <c r="G1659" s="3" t="str">
        <f aca="false">INDEX(Produtos!$B$2:$B$11,MATCH(F1659,Produtos!$A$2:$A$11,0))&amp;" "&amp;INDEX(Produtos!$C$2:$C$11,MATCH(F1659,Produtos!$A$2:$A$11,0))</f>
        <v>Notebook Positivo</v>
      </c>
      <c r="H1659" s="2" t="n">
        <v>1</v>
      </c>
      <c r="I1659" s="5" t="n">
        <f aca="false">INDEX(Produtos!$D$2:$D$11,MATCH(F1659,Produtos!$A$2:$A$11,0))</f>
        <v>2199</v>
      </c>
      <c r="J1659" s="5" t="n">
        <f aca="false">H1659*I1659</f>
        <v>2199</v>
      </c>
      <c r="K1659" s="5" t="n">
        <f aca="false">INDEX(Produtos!$E$2:$E$11,MATCH(F1659,Produtos!$A$2:$A$11,0))</f>
        <v>1550</v>
      </c>
      <c r="L1659" s="5" t="n">
        <f aca="false">H1659*K1659</f>
        <v>1550</v>
      </c>
    </row>
    <row r="1660" customFormat="false" ht="15" hidden="false" customHeight="false" outlineLevel="0" collapsed="false">
      <c r="A1660" s="2" t="s">
        <v>1942</v>
      </c>
      <c r="B1660" s="8" t="n">
        <v>46163</v>
      </c>
      <c r="C1660" s="2" t="s">
        <v>160</v>
      </c>
      <c r="D1660" s="3" t="str">
        <f aca="false">INDEX(Vendedores!$C$2:$C$101,MATCH(C1660,Vendedores!$A$2:$A$101,0))</f>
        <v>L06</v>
      </c>
      <c r="E1660" s="3" t="str">
        <f aca="false">INDEX(Lojas!$E$2:$E$11,MATCH(D1660,Lojas!$A$2:$A$11,0))</f>
        <v>Sul</v>
      </c>
      <c r="F1660" s="2" t="s">
        <v>267</v>
      </c>
      <c r="G1660" s="3" t="str">
        <f aca="false">INDEX(Produtos!$B$2:$B$11,MATCH(F1660,Produtos!$A$2:$A$11,0))&amp;" "&amp;INDEX(Produtos!$C$2:$C$11,MATCH(F1660,Produtos!$A$2:$A$11,0))</f>
        <v>Carregador de Celular Tipo C</v>
      </c>
      <c r="H1660" s="2" t="n">
        <v>1</v>
      </c>
      <c r="I1660" s="5" t="n">
        <f aca="false">INDEX(Produtos!$D$2:$D$11,MATCH(F1660,Produtos!$A$2:$A$11,0))</f>
        <v>44.9</v>
      </c>
      <c r="J1660" s="5" t="n">
        <f aca="false">H1660*I1660</f>
        <v>44.9</v>
      </c>
      <c r="K1660" s="5" t="n">
        <f aca="false">INDEX(Produtos!$E$2:$E$11,MATCH(F1660,Produtos!$A$2:$A$11,0))</f>
        <v>18</v>
      </c>
      <c r="L1660" s="5" t="n">
        <f aca="false">H1660*K1660</f>
        <v>18</v>
      </c>
    </row>
    <row r="1661" customFormat="false" ht="15" hidden="false" customHeight="false" outlineLevel="0" collapsed="false">
      <c r="A1661" s="2" t="s">
        <v>1943</v>
      </c>
      <c r="B1661" s="8" t="n">
        <v>46163</v>
      </c>
      <c r="C1661" s="2" t="s">
        <v>60</v>
      </c>
      <c r="D1661" s="3" t="str">
        <f aca="false">INDEX(Vendedores!$C$2:$C$101,MATCH(C1661,Vendedores!$A$2:$A$101,0))</f>
        <v>L01</v>
      </c>
      <c r="E1661" s="3" t="str">
        <f aca="false">INDEX(Lojas!$E$2:$E$11,MATCH(D1661,Lojas!$A$2:$A$11,0))</f>
        <v>Sudeste</v>
      </c>
      <c r="F1661" s="2" t="s">
        <v>265</v>
      </c>
      <c r="G1661" s="3" t="str">
        <f aca="false">INDEX(Produtos!$B$2:$B$11,MATCH(F1661,Produtos!$A$2:$A$11,0))&amp;" "&amp;INDEX(Produtos!$C$2:$C$11,MATCH(F1661,Produtos!$A$2:$A$11,0))</f>
        <v>Fone de Ouvido Headset</v>
      </c>
      <c r="H1661" s="2" t="n">
        <v>1</v>
      </c>
      <c r="I1661" s="5" t="n">
        <f aca="false">INDEX(Produtos!$D$2:$D$11,MATCH(F1661,Produtos!$A$2:$A$11,0))</f>
        <v>249.9</v>
      </c>
      <c r="J1661" s="5" t="n">
        <f aca="false">H1661*I1661</f>
        <v>249.9</v>
      </c>
      <c r="K1661" s="5" t="n">
        <f aca="false">INDEX(Produtos!$E$2:$E$11,MATCH(F1661,Produtos!$A$2:$A$11,0))</f>
        <v>145</v>
      </c>
      <c r="L1661" s="5" t="n">
        <f aca="false">H1661*K1661</f>
        <v>145</v>
      </c>
    </row>
    <row r="1662" customFormat="false" ht="15" hidden="false" customHeight="false" outlineLevel="0" collapsed="false">
      <c r="A1662" s="2" t="s">
        <v>1944</v>
      </c>
      <c r="B1662" s="8" t="n">
        <v>46163</v>
      </c>
      <c r="C1662" s="2" t="s">
        <v>92</v>
      </c>
      <c r="D1662" s="3" t="str">
        <f aca="false">INDEX(Vendedores!$C$2:$C$101,MATCH(C1662,Vendedores!$A$2:$A$101,0))</f>
        <v>L03</v>
      </c>
      <c r="E1662" s="3" t="str">
        <f aca="false">INDEX(Lojas!$E$2:$E$11,MATCH(D1662,Lojas!$A$2:$A$11,0))</f>
        <v>Sudeste</v>
      </c>
      <c r="F1662" s="2" t="s">
        <v>265</v>
      </c>
      <c r="G1662" s="3" t="str">
        <f aca="false">INDEX(Produtos!$B$2:$B$11,MATCH(F1662,Produtos!$A$2:$A$11,0))&amp;" "&amp;INDEX(Produtos!$C$2:$C$11,MATCH(F1662,Produtos!$A$2:$A$11,0))</f>
        <v>Fone de Ouvido Headset</v>
      </c>
      <c r="H1662" s="2" t="n">
        <v>1</v>
      </c>
      <c r="I1662" s="5" t="n">
        <f aca="false">INDEX(Produtos!$D$2:$D$11,MATCH(F1662,Produtos!$A$2:$A$11,0))</f>
        <v>249.9</v>
      </c>
      <c r="J1662" s="5" t="n">
        <f aca="false">H1662*I1662</f>
        <v>249.9</v>
      </c>
      <c r="K1662" s="5" t="n">
        <f aca="false">INDEX(Produtos!$E$2:$E$11,MATCH(F1662,Produtos!$A$2:$A$11,0))</f>
        <v>145</v>
      </c>
      <c r="L1662" s="5" t="n">
        <f aca="false">H1662*K1662</f>
        <v>145</v>
      </c>
    </row>
    <row r="1663" customFormat="false" ht="15" hidden="false" customHeight="false" outlineLevel="0" collapsed="false">
      <c r="A1663" s="2" t="s">
        <v>1945</v>
      </c>
      <c r="B1663" s="8" t="n">
        <v>46163</v>
      </c>
      <c r="C1663" s="2" t="s">
        <v>195</v>
      </c>
      <c r="D1663" s="3" t="str">
        <f aca="false">INDEX(Vendedores!$C$2:$C$101,MATCH(C1663,Vendedores!$A$2:$A$101,0))</f>
        <v>L08</v>
      </c>
      <c r="E1663" s="3" t="str">
        <f aca="false">INDEX(Lojas!$E$2:$E$11,MATCH(D1663,Lojas!$A$2:$A$11,0))</f>
        <v>Nordeste</v>
      </c>
      <c r="F1663" s="2" t="s">
        <v>267</v>
      </c>
      <c r="G1663" s="3" t="str">
        <f aca="false">INDEX(Produtos!$B$2:$B$11,MATCH(F1663,Produtos!$A$2:$A$11,0))&amp;" "&amp;INDEX(Produtos!$C$2:$C$11,MATCH(F1663,Produtos!$A$2:$A$11,0))</f>
        <v>Carregador de Celular Tipo C</v>
      </c>
      <c r="H1663" s="2" t="n">
        <v>1</v>
      </c>
      <c r="I1663" s="5" t="n">
        <f aca="false">INDEX(Produtos!$D$2:$D$11,MATCH(F1663,Produtos!$A$2:$A$11,0))</f>
        <v>44.9</v>
      </c>
      <c r="J1663" s="5" t="n">
        <f aca="false">H1663*I1663</f>
        <v>44.9</v>
      </c>
      <c r="K1663" s="5" t="n">
        <f aca="false">INDEX(Produtos!$E$2:$E$11,MATCH(F1663,Produtos!$A$2:$A$11,0))</f>
        <v>18</v>
      </c>
      <c r="L1663" s="5" t="n">
        <f aca="false">H1663*K1663</f>
        <v>18</v>
      </c>
    </row>
    <row r="1664" customFormat="false" ht="15" hidden="false" customHeight="false" outlineLevel="0" collapsed="false">
      <c r="A1664" s="2" t="s">
        <v>1946</v>
      </c>
      <c r="B1664" s="8" t="n">
        <v>46164</v>
      </c>
      <c r="C1664" s="2" t="s">
        <v>243</v>
      </c>
      <c r="D1664" s="3" t="str">
        <f aca="false">INDEX(Vendedores!$C$2:$C$101,MATCH(C1664,Vendedores!$A$2:$A$101,0))</f>
        <v>L10</v>
      </c>
      <c r="E1664" s="3" t="str">
        <f aca="false">INDEX(Lojas!$E$2:$E$11,MATCH(D1664,Lojas!$A$2:$A$11,0))</f>
        <v>Nordeste</v>
      </c>
      <c r="F1664" s="2" t="s">
        <v>267</v>
      </c>
      <c r="G1664" s="3" t="str">
        <f aca="false">INDEX(Produtos!$B$2:$B$11,MATCH(F1664,Produtos!$A$2:$A$11,0))&amp;" "&amp;INDEX(Produtos!$C$2:$C$11,MATCH(F1664,Produtos!$A$2:$A$11,0))</f>
        <v>Carregador de Celular Tipo C</v>
      </c>
      <c r="H1664" s="2" t="n">
        <v>1</v>
      </c>
      <c r="I1664" s="5" t="n">
        <f aca="false">INDEX(Produtos!$D$2:$D$11,MATCH(F1664,Produtos!$A$2:$A$11,0))</f>
        <v>44.9</v>
      </c>
      <c r="J1664" s="5" t="n">
        <f aca="false">H1664*I1664</f>
        <v>44.9</v>
      </c>
      <c r="K1664" s="5" t="n">
        <f aca="false">INDEX(Produtos!$E$2:$E$11,MATCH(F1664,Produtos!$A$2:$A$11,0))</f>
        <v>18</v>
      </c>
      <c r="L1664" s="5" t="n">
        <f aca="false">H1664*K1664</f>
        <v>18</v>
      </c>
    </row>
    <row r="1665" customFormat="false" ht="15" hidden="false" customHeight="false" outlineLevel="0" collapsed="false">
      <c r="A1665" s="2" t="s">
        <v>1947</v>
      </c>
      <c r="B1665" s="8" t="n">
        <v>46164</v>
      </c>
      <c r="C1665" s="2" t="s">
        <v>129</v>
      </c>
      <c r="D1665" s="3" t="str">
        <f aca="false">INDEX(Vendedores!$C$2:$C$101,MATCH(C1665,Vendedores!$A$2:$A$101,0))</f>
        <v>L05</v>
      </c>
      <c r="E1665" s="3" t="str">
        <f aca="false">INDEX(Lojas!$E$2:$E$11,MATCH(D1665,Lojas!$A$2:$A$11,0))</f>
        <v>Sul</v>
      </c>
      <c r="F1665" s="2" t="s">
        <v>255</v>
      </c>
      <c r="G1665" s="3" t="str">
        <f aca="false">INDEX(Produtos!$B$2:$B$11,MATCH(F1665,Produtos!$A$2:$A$11,0))&amp;" "&amp;INDEX(Produtos!$C$2:$C$11,MATCH(F1665,Produtos!$A$2:$A$11,0))</f>
        <v>Notebook Positivo</v>
      </c>
      <c r="H1665" s="2" t="n">
        <v>1</v>
      </c>
      <c r="I1665" s="5" t="n">
        <f aca="false">INDEX(Produtos!$D$2:$D$11,MATCH(F1665,Produtos!$A$2:$A$11,0))</f>
        <v>2199</v>
      </c>
      <c r="J1665" s="5" t="n">
        <f aca="false">H1665*I1665</f>
        <v>2199</v>
      </c>
      <c r="K1665" s="5" t="n">
        <f aca="false">INDEX(Produtos!$E$2:$E$11,MATCH(F1665,Produtos!$A$2:$A$11,0))</f>
        <v>1550</v>
      </c>
      <c r="L1665" s="5" t="n">
        <f aca="false">H1665*K1665</f>
        <v>1550</v>
      </c>
    </row>
    <row r="1666" customFormat="false" ht="15" hidden="false" customHeight="false" outlineLevel="0" collapsed="false">
      <c r="A1666" s="2" t="s">
        <v>1948</v>
      </c>
      <c r="B1666" s="8" t="n">
        <v>46164</v>
      </c>
      <c r="C1666" s="2" t="s">
        <v>203</v>
      </c>
      <c r="D1666" s="3" t="str">
        <f aca="false">INDEX(Vendedores!$C$2:$C$101,MATCH(C1666,Vendedores!$A$2:$A$101,0))</f>
        <v>L08</v>
      </c>
      <c r="E1666" s="3" t="str">
        <f aca="false">INDEX(Lojas!$E$2:$E$11,MATCH(D1666,Lojas!$A$2:$A$11,0))</f>
        <v>Nordeste</v>
      </c>
      <c r="F1666" s="2" t="s">
        <v>273</v>
      </c>
      <c r="G1666" s="3" t="str">
        <f aca="false">INDEX(Produtos!$B$2:$B$11,MATCH(F1666,Produtos!$A$2:$A$11,0))&amp;" "&amp;INDEX(Produtos!$C$2:$C$11,MATCH(F1666,Produtos!$A$2:$A$11,0))</f>
        <v>Controle de Videogame PS4</v>
      </c>
      <c r="H1666" s="2" t="n">
        <v>1</v>
      </c>
      <c r="I1666" s="5" t="n">
        <f aca="false">INDEX(Produtos!$D$2:$D$11,MATCH(F1666,Produtos!$A$2:$A$11,0))</f>
        <v>299.9</v>
      </c>
      <c r="J1666" s="5" t="n">
        <f aca="false">H1666*I1666</f>
        <v>299.9</v>
      </c>
      <c r="K1666" s="5" t="n">
        <f aca="false">INDEX(Produtos!$E$2:$E$11,MATCH(F1666,Produtos!$A$2:$A$11,0))</f>
        <v>175</v>
      </c>
      <c r="L1666" s="5" t="n">
        <f aca="false">H1666*K1666</f>
        <v>175</v>
      </c>
    </row>
    <row r="1667" customFormat="false" ht="15" hidden="false" customHeight="false" outlineLevel="0" collapsed="false">
      <c r="A1667" s="2" t="s">
        <v>1949</v>
      </c>
      <c r="B1667" s="8" t="n">
        <v>46164</v>
      </c>
      <c r="C1667" s="2" t="s">
        <v>131</v>
      </c>
      <c r="D1667" s="3" t="str">
        <f aca="false">INDEX(Vendedores!$C$2:$C$101,MATCH(C1667,Vendedores!$A$2:$A$101,0))</f>
        <v>L05</v>
      </c>
      <c r="E1667" s="3" t="str">
        <f aca="false">INDEX(Lojas!$E$2:$E$11,MATCH(D1667,Lojas!$A$2:$A$11,0))</f>
        <v>Sul</v>
      </c>
      <c r="F1667" s="2" t="s">
        <v>275</v>
      </c>
      <c r="G1667" s="3" t="str">
        <f aca="false">INDEX(Produtos!$B$2:$B$11,MATCH(F1667,Produtos!$A$2:$A$11,0))&amp;" "&amp;INDEX(Produtos!$C$2:$C$11,MATCH(F1667,Produtos!$A$2:$A$11,0))</f>
        <v>Controle de Videogame PS5</v>
      </c>
      <c r="H1667" s="2" t="n">
        <v>1</v>
      </c>
      <c r="I1667" s="5" t="n">
        <f aca="false">INDEX(Produtos!$D$2:$D$11,MATCH(F1667,Produtos!$A$2:$A$11,0))</f>
        <v>379.9</v>
      </c>
      <c r="J1667" s="5" t="n">
        <f aca="false">H1667*I1667</f>
        <v>379.9</v>
      </c>
      <c r="K1667" s="5" t="n">
        <f aca="false">INDEX(Produtos!$E$2:$E$11,MATCH(F1667,Produtos!$A$2:$A$11,0))</f>
        <v>235</v>
      </c>
      <c r="L1667" s="5" t="n">
        <f aca="false">H1667*K1667</f>
        <v>235</v>
      </c>
    </row>
    <row r="1668" customFormat="false" ht="15" hidden="false" customHeight="false" outlineLevel="0" collapsed="false">
      <c r="A1668" s="2" t="s">
        <v>1950</v>
      </c>
      <c r="B1668" s="8" t="n">
        <v>46164</v>
      </c>
      <c r="C1668" s="2" t="s">
        <v>221</v>
      </c>
      <c r="D1668" s="3" t="str">
        <f aca="false">INDEX(Vendedores!$C$2:$C$101,MATCH(C1668,Vendedores!$A$2:$A$101,0))</f>
        <v>L09</v>
      </c>
      <c r="E1668" s="3" t="str">
        <f aca="false">INDEX(Lojas!$E$2:$E$11,MATCH(D1668,Lojas!$A$2:$A$11,0))</f>
        <v>Nordeste</v>
      </c>
      <c r="F1668" s="2" t="s">
        <v>270</v>
      </c>
      <c r="G1668" s="3" t="str">
        <f aca="false">INDEX(Produtos!$B$2:$B$11,MATCH(F1668,Produtos!$A$2:$A$11,0))&amp;" "&amp;INDEX(Produtos!$C$2:$C$11,MATCH(F1668,Produtos!$A$2:$A$11,0))</f>
        <v>Controle de Videogame Xbox</v>
      </c>
      <c r="H1668" s="2" t="n">
        <v>2</v>
      </c>
      <c r="I1668" s="5" t="n">
        <f aca="false">INDEX(Produtos!$D$2:$D$11,MATCH(F1668,Produtos!$A$2:$A$11,0))</f>
        <v>349.9</v>
      </c>
      <c r="J1668" s="5" t="n">
        <f aca="false">H1668*I1668</f>
        <v>699.8</v>
      </c>
      <c r="K1668" s="5" t="n">
        <f aca="false">INDEX(Produtos!$E$2:$E$11,MATCH(F1668,Produtos!$A$2:$A$11,0))</f>
        <v>215</v>
      </c>
      <c r="L1668" s="5" t="n">
        <f aca="false">H1668*K1668</f>
        <v>430</v>
      </c>
    </row>
    <row r="1669" customFormat="false" ht="15" hidden="false" customHeight="false" outlineLevel="0" collapsed="false">
      <c r="A1669" s="2" t="s">
        <v>1951</v>
      </c>
      <c r="B1669" s="8" t="n">
        <v>46164</v>
      </c>
      <c r="C1669" s="2" t="s">
        <v>112</v>
      </c>
      <c r="D1669" s="3" t="str">
        <f aca="false">INDEX(Vendedores!$C$2:$C$101,MATCH(C1669,Vendedores!$A$2:$A$101,0))</f>
        <v>L04</v>
      </c>
      <c r="E1669" s="3" t="str">
        <f aca="false">INDEX(Lojas!$E$2:$E$11,MATCH(D1669,Lojas!$A$2:$A$11,0))</f>
        <v>Sudeste</v>
      </c>
      <c r="F1669" s="2" t="s">
        <v>267</v>
      </c>
      <c r="G1669" s="3" t="str">
        <f aca="false">INDEX(Produtos!$B$2:$B$11,MATCH(F1669,Produtos!$A$2:$A$11,0))&amp;" "&amp;INDEX(Produtos!$C$2:$C$11,MATCH(F1669,Produtos!$A$2:$A$11,0))</f>
        <v>Carregador de Celular Tipo C</v>
      </c>
      <c r="H1669" s="2" t="n">
        <v>1</v>
      </c>
      <c r="I1669" s="5" t="n">
        <f aca="false">INDEX(Produtos!$D$2:$D$11,MATCH(F1669,Produtos!$A$2:$A$11,0))</f>
        <v>44.9</v>
      </c>
      <c r="J1669" s="5" t="n">
        <f aca="false">H1669*I1669</f>
        <v>44.9</v>
      </c>
      <c r="K1669" s="5" t="n">
        <f aca="false">INDEX(Produtos!$E$2:$E$11,MATCH(F1669,Produtos!$A$2:$A$11,0))</f>
        <v>18</v>
      </c>
      <c r="L1669" s="5" t="n">
        <f aca="false">H1669*K1669</f>
        <v>18</v>
      </c>
    </row>
    <row r="1670" customFormat="false" ht="15" hidden="false" customHeight="false" outlineLevel="0" collapsed="false">
      <c r="A1670" s="2" t="s">
        <v>1952</v>
      </c>
      <c r="B1670" s="8" t="n">
        <v>46164</v>
      </c>
      <c r="C1670" s="2" t="s">
        <v>54</v>
      </c>
      <c r="D1670" s="3" t="str">
        <f aca="false">INDEX(Vendedores!$C$2:$C$101,MATCH(C1670,Vendedores!$A$2:$A$101,0))</f>
        <v>L01</v>
      </c>
      <c r="E1670" s="3" t="str">
        <f aca="false">INDEX(Lojas!$E$2:$E$11,MATCH(D1670,Lojas!$A$2:$A$11,0))</f>
        <v>Sudeste</v>
      </c>
      <c r="F1670" s="2" t="s">
        <v>265</v>
      </c>
      <c r="G1670" s="3" t="str">
        <f aca="false">INDEX(Produtos!$B$2:$B$11,MATCH(F1670,Produtos!$A$2:$A$11,0))&amp;" "&amp;INDEX(Produtos!$C$2:$C$11,MATCH(F1670,Produtos!$A$2:$A$11,0))</f>
        <v>Fone de Ouvido Headset</v>
      </c>
      <c r="H1670" s="2" t="n">
        <v>1</v>
      </c>
      <c r="I1670" s="5" t="n">
        <f aca="false">INDEX(Produtos!$D$2:$D$11,MATCH(F1670,Produtos!$A$2:$A$11,0))</f>
        <v>249.9</v>
      </c>
      <c r="J1670" s="5" t="n">
        <f aca="false">H1670*I1670</f>
        <v>249.9</v>
      </c>
      <c r="K1670" s="5" t="n">
        <f aca="false">INDEX(Produtos!$E$2:$E$11,MATCH(F1670,Produtos!$A$2:$A$11,0))</f>
        <v>145</v>
      </c>
      <c r="L1670" s="5" t="n">
        <f aca="false">H1670*K1670</f>
        <v>145</v>
      </c>
    </row>
    <row r="1671" customFormat="false" ht="15" hidden="false" customHeight="false" outlineLevel="0" collapsed="false">
      <c r="A1671" s="2" t="s">
        <v>1953</v>
      </c>
      <c r="B1671" s="8" t="n">
        <v>46164</v>
      </c>
      <c r="C1671" s="2" t="s">
        <v>142</v>
      </c>
      <c r="D1671" s="3" t="str">
        <f aca="false">INDEX(Vendedores!$C$2:$C$101,MATCH(C1671,Vendedores!$A$2:$A$101,0))</f>
        <v>L05</v>
      </c>
      <c r="E1671" s="3" t="str">
        <f aca="false">INDEX(Lojas!$E$2:$E$11,MATCH(D1671,Lojas!$A$2:$A$11,0))</f>
        <v>Sul</v>
      </c>
      <c r="F1671" s="2" t="s">
        <v>262</v>
      </c>
      <c r="G1671" s="3" t="str">
        <f aca="false">INDEX(Produtos!$B$2:$B$11,MATCH(F1671,Produtos!$A$2:$A$11,0))&amp;" "&amp;INDEX(Produtos!$C$2:$C$11,MATCH(F1671,Produtos!$A$2:$A$11,0))</f>
        <v>Fone de Ouvido De Celular</v>
      </c>
      <c r="H1671" s="2" t="n">
        <v>1</v>
      </c>
      <c r="I1671" s="5" t="n">
        <f aca="false">INDEX(Produtos!$D$2:$D$11,MATCH(F1671,Produtos!$A$2:$A$11,0))</f>
        <v>59.9</v>
      </c>
      <c r="J1671" s="5" t="n">
        <f aca="false">H1671*I1671</f>
        <v>59.9</v>
      </c>
      <c r="K1671" s="5" t="n">
        <f aca="false">INDEX(Produtos!$E$2:$E$11,MATCH(F1671,Produtos!$A$2:$A$11,0))</f>
        <v>28</v>
      </c>
      <c r="L1671" s="5" t="n">
        <f aca="false">H1671*K1671</f>
        <v>28</v>
      </c>
    </row>
    <row r="1672" customFormat="false" ht="15" hidden="false" customHeight="false" outlineLevel="0" collapsed="false">
      <c r="A1672" s="2" t="s">
        <v>1954</v>
      </c>
      <c r="B1672" s="8" t="n">
        <v>46164</v>
      </c>
      <c r="C1672" s="2" t="s">
        <v>144</v>
      </c>
      <c r="D1672" s="3" t="str">
        <f aca="false">INDEX(Vendedores!$C$2:$C$101,MATCH(C1672,Vendedores!$A$2:$A$101,0))</f>
        <v>L05</v>
      </c>
      <c r="E1672" s="3" t="str">
        <f aca="false">INDEX(Lojas!$E$2:$E$11,MATCH(D1672,Lojas!$A$2:$A$11,0))</f>
        <v>Sul</v>
      </c>
      <c r="F1672" s="2" t="s">
        <v>273</v>
      </c>
      <c r="G1672" s="3" t="str">
        <f aca="false">INDEX(Produtos!$B$2:$B$11,MATCH(F1672,Produtos!$A$2:$A$11,0))&amp;" "&amp;INDEX(Produtos!$C$2:$C$11,MATCH(F1672,Produtos!$A$2:$A$11,0))</f>
        <v>Controle de Videogame PS4</v>
      </c>
      <c r="H1672" s="2" t="n">
        <v>1</v>
      </c>
      <c r="I1672" s="5" t="n">
        <f aca="false">INDEX(Produtos!$D$2:$D$11,MATCH(F1672,Produtos!$A$2:$A$11,0))</f>
        <v>299.9</v>
      </c>
      <c r="J1672" s="5" t="n">
        <f aca="false">H1672*I1672</f>
        <v>299.9</v>
      </c>
      <c r="K1672" s="5" t="n">
        <f aca="false">INDEX(Produtos!$E$2:$E$11,MATCH(F1672,Produtos!$A$2:$A$11,0))</f>
        <v>175</v>
      </c>
      <c r="L1672" s="5" t="n">
        <f aca="false">H1672*K1672</f>
        <v>175</v>
      </c>
    </row>
    <row r="1673" customFormat="false" ht="15" hidden="false" customHeight="false" outlineLevel="0" collapsed="false">
      <c r="A1673" s="2" t="s">
        <v>1955</v>
      </c>
      <c r="B1673" s="8" t="n">
        <v>46164</v>
      </c>
      <c r="C1673" s="2" t="s">
        <v>154</v>
      </c>
      <c r="D1673" s="3" t="str">
        <f aca="false">INDEX(Vendedores!$C$2:$C$101,MATCH(C1673,Vendedores!$A$2:$A$101,0))</f>
        <v>L06</v>
      </c>
      <c r="E1673" s="3" t="str">
        <f aca="false">INDEX(Lojas!$E$2:$E$11,MATCH(D1673,Lojas!$A$2:$A$11,0))</f>
        <v>Sul</v>
      </c>
      <c r="F1673" s="2" t="s">
        <v>270</v>
      </c>
      <c r="G1673" s="3" t="str">
        <f aca="false">INDEX(Produtos!$B$2:$B$11,MATCH(F1673,Produtos!$A$2:$A$11,0))&amp;" "&amp;INDEX(Produtos!$C$2:$C$11,MATCH(F1673,Produtos!$A$2:$A$11,0))</f>
        <v>Controle de Videogame Xbox</v>
      </c>
      <c r="H1673" s="2" t="n">
        <v>2</v>
      </c>
      <c r="I1673" s="5" t="n">
        <f aca="false">INDEX(Produtos!$D$2:$D$11,MATCH(F1673,Produtos!$A$2:$A$11,0))</f>
        <v>349.9</v>
      </c>
      <c r="J1673" s="5" t="n">
        <f aca="false">H1673*I1673</f>
        <v>699.8</v>
      </c>
      <c r="K1673" s="5" t="n">
        <f aca="false">INDEX(Produtos!$E$2:$E$11,MATCH(F1673,Produtos!$A$2:$A$11,0))</f>
        <v>215</v>
      </c>
      <c r="L1673" s="5" t="n">
        <f aca="false">H1673*K1673</f>
        <v>430</v>
      </c>
    </row>
    <row r="1674" customFormat="false" ht="15" hidden="false" customHeight="false" outlineLevel="0" collapsed="false">
      <c r="A1674" s="2" t="s">
        <v>1956</v>
      </c>
      <c r="B1674" s="8" t="n">
        <v>46164</v>
      </c>
      <c r="C1674" s="2" t="s">
        <v>114</v>
      </c>
      <c r="D1674" s="3" t="str">
        <f aca="false">INDEX(Vendedores!$C$2:$C$101,MATCH(C1674,Vendedores!$A$2:$A$101,0))</f>
        <v>L04</v>
      </c>
      <c r="E1674" s="3" t="str">
        <f aca="false">INDEX(Lojas!$E$2:$E$11,MATCH(D1674,Lojas!$A$2:$A$11,0))</f>
        <v>Sudeste</v>
      </c>
      <c r="F1674" s="2" t="s">
        <v>257</v>
      </c>
      <c r="G1674" s="3" t="str">
        <f aca="false">INDEX(Produtos!$B$2:$B$11,MATCH(F1674,Produtos!$A$2:$A$11,0))&amp;" "&amp;INDEX(Produtos!$C$2:$C$11,MATCH(F1674,Produtos!$A$2:$A$11,0))</f>
        <v>Celular Samsung</v>
      </c>
      <c r="H1674" s="2" t="n">
        <v>1</v>
      </c>
      <c r="I1674" s="5" t="n">
        <f aca="false">INDEX(Produtos!$D$2:$D$11,MATCH(F1674,Produtos!$A$2:$A$11,0))</f>
        <v>2499</v>
      </c>
      <c r="J1674" s="5" t="n">
        <f aca="false">H1674*I1674</f>
        <v>2499</v>
      </c>
      <c r="K1674" s="5" t="n">
        <f aca="false">INDEX(Produtos!$E$2:$E$11,MATCH(F1674,Produtos!$A$2:$A$11,0))</f>
        <v>1800</v>
      </c>
      <c r="L1674" s="5" t="n">
        <f aca="false">H1674*K1674</f>
        <v>1800</v>
      </c>
    </row>
    <row r="1675" customFormat="false" ht="15" hidden="false" customHeight="false" outlineLevel="0" collapsed="false">
      <c r="A1675" s="2" t="s">
        <v>1957</v>
      </c>
      <c r="B1675" s="8" t="n">
        <v>46164</v>
      </c>
      <c r="C1675" s="2" t="s">
        <v>166</v>
      </c>
      <c r="D1675" s="3" t="str">
        <f aca="false">INDEX(Vendedores!$C$2:$C$101,MATCH(C1675,Vendedores!$A$2:$A$101,0))</f>
        <v>L06</v>
      </c>
      <c r="E1675" s="3" t="str">
        <f aca="false">INDEX(Lojas!$E$2:$E$11,MATCH(D1675,Lojas!$A$2:$A$11,0))</f>
        <v>Sul</v>
      </c>
      <c r="F1675" s="2" t="s">
        <v>275</v>
      </c>
      <c r="G1675" s="3" t="str">
        <f aca="false">INDEX(Produtos!$B$2:$B$11,MATCH(F1675,Produtos!$A$2:$A$11,0))&amp;" "&amp;INDEX(Produtos!$C$2:$C$11,MATCH(F1675,Produtos!$A$2:$A$11,0))</f>
        <v>Controle de Videogame PS5</v>
      </c>
      <c r="H1675" s="2" t="n">
        <v>3</v>
      </c>
      <c r="I1675" s="5" t="n">
        <f aca="false">INDEX(Produtos!$D$2:$D$11,MATCH(F1675,Produtos!$A$2:$A$11,0))</f>
        <v>379.9</v>
      </c>
      <c r="J1675" s="5" t="n">
        <f aca="false">H1675*I1675</f>
        <v>1139.7</v>
      </c>
      <c r="K1675" s="5" t="n">
        <f aca="false">INDEX(Produtos!$E$2:$E$11,MATCH(F1675,Produtos!$A$2:$A$11,0))</f>
        <v>235</v>
      </c>
      <c r="L1675" s="5" t="n">
        <f aca="false">H1675*K1675</f>
        <v>705</v>
      </c>
    </row>
    <row r="1676" customFormat="false" ht="15" hidden="false" customHeight="false" outlineLevel="0" collapsed="false">
      <c r="A1676" s="2" t="s">
        <v>1958</v>
      </c>
      <c r="B1676" s="8" t="n">
        <v>46164</v>
      </c>
      <c r="C1676" s="2" t="s">
        <v>148</v>
      </c>
      <c r="D1676" s="3" t="str">
        <f aca="false">INDEX(Vendedores!$C$2:$C$101,MATCH(C1676,Vendedores!$A$2:$A$101,0))</f>
        <v>L06</v>
      </c>
      <c r="E1676" s="3" t="str">
        <f aca="false">INDEX(Lojas!$E$2:$E$11,MATCH(D1676,Lojas!$A$2:$A$11,0))</f>
        <v>Sul</v>
      </c>
      <c r="F1676" s="2" t="s">
        <v>275</v>
      </c>
      <c r="G1676" s="3" t="str">
        <f aca="false">INDEX(Produtos!$B$2:$B$11,MATCH(F1676,Produtos!$A$2:$A$11,0))&amp;" "&amp;INDEX(Produtos!$C$2:$C$11,MATCH(F1676,Produtos!$A$2:$A$11,0))</f>
        <v>Controle de Videogame PS5</v>
      </c>
      <c r="H1676" s="2" t="n">
        <v>1</v>
      </c>
      <c r="I1676" s="5" t="n">
        <f aca="false">INDEX(Produtos!$D$2:$D$11,MATCH(F1676,Produtos!$A$2:$A$11,0))</f>
        <v>379.9</v>
      </c>
      <c r="J1676" s="5" t="n">
        <f aca="false">H1676*I1676</f>
        <v>379.9</v>
      </c>
      <c r="K1676" s="5" t="n">
        <f aca="false">INDEX(Produtos!$E$2:$E$11,MATCH(F1676,Produtos!$A$2:$A$11,0))</f>
        <v>235</v>
      </c>
      <c r="L1676" s="5" t="n">
        <f aca="false">H1676*K1676</f>
        <v>235</v>
      </c>
    </row>
    <row r="1677" customFormat="false" ht="15" hidden="false" customHeight="false" outlineLevel="0" collapsed="false">
      <c r="A1677" s="2" t="s">
        <v>1959</v>
      </c>
      <c r="B1677" s="8" t="n">
        <v>46165</v>
      </c>
      <c r="C1677" s="2" t="s">
        <v>62</v>
      </c>
      <c r="D1677" s="3" t="str">
        <f aca="false">INDEX(Vendedores!$C$2:$C$101,MATCH(C1677,Vendedores!$A$2:$A$101,0))</f>
        <v>L01</v>
      </c>
      <c r="E1677" s="3" t="str">
        <f aca="false">INDEX(Lojas!$E$2:$E$11,MATCH(D1677,Lojas!$A$2:$A$11,0))</f>
        <v>Sudeste</v>
      </c>
      <c r="F1677" s="2" t="s">
        <v>273</v>
      </c>
      <c r="G1677" s="3" t="str">
        <f aca="false">INDEX(Produtos!$B$2:$B$11,MATCH(F1677,Produtos!$A$2:$A$11,0))&amp;" "&amp;INDEX(Produtos!$C$2:$C$11,MATCH(F1677,Produtos!$A$2:$A$11,0))</f>
        <v>Controle de Videogame PS4</v>
      </c>
      <c r="H1677" s="2" t="n">
        <v>1</v>
      </c>
      <c r="I1677" s="5" t="n">
        <f aca="false">INDEX(Produtos!$D$2:$D$11,MATCH(F1677,Produtos!$A$2:$A$11,0))</f>
        <v>299.9</v>
      </c>
      <c r="J1677" s="5" t="n">
        <f aca="false">H1677*I1677</f>
        <v>299.9</v>
      </c>
      <c r="K1677" s="5" t="n">
        <f aca="false">INDEX(Produtos!$E$2:$E$11,MATCH(F1677,Produtos!$A$2:$A$11,0))</f>
        <v>175</v>
      </c>
      <c r="L1677" s="5" t="n">
        <f aca="false">H1677*K1677</f>
        <v>175</v>
      </c>
    </row>
    <row r="1678" customFormat="false" ht="15" hidden="false" customHeight="false" outlineLevel="0" collapsed="false">
      <c r="A1678" s="2" t="s">
        <v>1960</v>
      </c>
      <c r="B1678" s="8" t="n">
        <v>46165</v>
      </c>
      <c r="C1678" s="2" t="s">
        <v>219</v>
      </c>
      <c r="D1678" s="3" t="str">
        <f aca="false">INDEX(Vendedores!$C$2:$C$101,MATCH(C1678,Vendedores!$A$2:$A$101,0))</f>
        <v>L09</v>
      </c>
      <c r="E1678" s="3" t="str">
        <f aca="false">INDEX(Lojas!$E$2:$E$11,MATCH(D1678,Lojas!$A$2:$A$11,0))</f>
        <v>Nordeste</v>
      </c>
      <c r="F1678" s="2" t="s">
        <v>265</v>
      </c>
      <c r="G1678" s="3" t="str">
        <f aca="false">INDEX(Produtos!$B$2:$B$11,MATCH(F1678,Produtos!$A$2:$A$11,0))&amp;" "&amp;INDEX(Produtos!$C$2:$C$11,MATCH(F1678,Produtos!$A$2:$A$11,0))</f>
        <v>Fone de Ouvido Headset</v>
      </c>
      <c r="H1678" s="2" t="n">
        <v>1</v>
      </c>
      <c r="I1678" s="5" t="n">
        <f aca="false">INDEX(Produtos!$D$2:$D$11,MATCH(F1678,Produtos!$A$2:$A$11,0))</f>
        <v>249.9</v>
      </c>
      <c r="J1678" s="5" t="n">
        <f aca="false">H1678*I1678</f>
        <v>249.9</v>
      </c>
      <c r="K1678" s="5" t="n">
        <f aca="false">INDEX(Produtos!$E$2:$E$11,MATCH(F1678,Produtos!$A$2:$A$11,0))</f>
        <v>145</v>
      </c>
      <c r="L1678" s="5" t="n">
        <f aca="false">H1678*K1678</f>
        <v>145</v>
      </c>
    </row>
    <row r="1679" customFormat="false" ht="15" hidden="false" customHeight="false" outlineLevel="0" collapsed="false">
      <c r="A1679" s="2" t="s">
        <v>1961</v>
      </c>
      <c r="B1679" s="8" t="n">
        <v>46165</v>
      </c>
      <c r="C1679" s="2" t="s">
        <v>211</v>
      </c>
      <c r="D1679" s="3" t="str">
        <f aca="false">INDEX(Vendedores!$C$2:$C$101,MATCH(C1679,Vendedores!$A$2:$A$101,0))</f>
        <v>L09</v>
      </c>
      <c r="E1679" s="3" t="str">
        <f aca="false">INDEX(Lojas!$E$2:$E$11,MATCH(D1679,Lojas!$A$2:$A$11,0))</f>
        <v>Nordeste</v>
      </c>
      <c r="F1679" s="2" t="s">
        <v>260</v>
      </c>
      <c r="G1679" s="3" t="str">
        <f aca="false">INDEX(Produtos!$B$2:$B$11,MATCH(F1679,Produtos!$A$2:$A$11,0))&amp;" "&amp;INDEX(Produtos!$C$2:$C$11,MATCH(F1679,Produtos!$A$2:$A$11,0))</f>
        <v>Celular Motorola</v>
      </c>
      <c r="H1679" s="2" t="n">
        <v>1</v>
      </c>
      <c r="I1679" s="5" t="n">
        <f aca="false">INDEX(Produtos!$D$2:$D$11,MATCH(F1679,Produtos!$A$2:$A$11,0))</f>
        <v>1799</v>
      </c>
      <c r="J1679" s="5" t="n">
        <f aca="false">H1679*I1679</f>
        <v>1799</v>
      </c>
      <c r="K1679" s="5" t="n">
        <f aca="false">INDEX(Produtos!$E$2:$E$11,MATCH(F1679,Produtos!$A$2:$A$11,0))</f>
        <v>1250</v>
      </c>
      <c r="L1679" s="5" t="n">
        <f aca="false">H1679*K1679</f>
        <v>1250</v>
      </c>
    </row>
    <row r="1680" customFormat="false" ht="15" hidden="false" customHeight="false" outlineLevel="0" collapsed="false">
      <c r="A1680" s="2" t="s">
        <v>1962</v>
      </c>
      <c r="B1680" s="8" t="n">
        <v>46165</v>
      </c>
      <c r="C1680" s="2" t="s">
        <v>156</v>
      </c>
      <c r="D1680" s="3" t="str">
        <f aca="false">INDEX(Vendedores!$C$2:$C$101,MATCH(C1680,Vendedores!$A$2:$A$101,0))</f>
        <v>L06</v>
      </c>
      <c r="E1680" s="3" t="str">
        <f aca="false">INDEX(Lojas!$E$2:$E$11,MATCH(D1680,Lojas!$A$2:$A$11,0))</f>
        <v>Sul</v>
      </c>
      <c r="F1680" s="2" t="s">
        <v>262</v>
      </c>
      <c r="G1680" s="3" t="str">
        <f aca="false">INDEX(Produtos!$B$2:$B$11,MATCH(F1680,Produtos!$A$2:$A$11,0))&amp;" "&amp;INDEX(Produtos!$C$2:$C$11,MATCH(F1680,Produtos!$A$2:$A$11,0))</f>
        <v>Fone de Ouvido De Celular</v>
      </c>
      <c r="H1680" s="2" t="n">
        <v>2</v>
      </c>
      <c r="I1680" s="5" t="n">
        <f aca="false">INDEX(Produtos!$D$2:$D$11,MATCH(F1680,Produtos!$A$2:$A$11,0))</f>
        <v>59.9</v>
      </c>
      <c r="J1680" s="5" t="n">
        <f aca="false">H1680*I1680</f>
        <v>119.8</v>
      </c>
      <c r="K1680" s="5" t="n">
        <f aca="false">INDEX(Produtos!$E$2:$E$11,MATCH(F1680,Produtos!$A$2:$A$11,0))</f>
        <v>28</v>
      </c>
      <c r="L1680" s="5" t="n">
        <f aca="false">H1680*K1680</f>
        <v>56</v>
      </c>
    </row>
    <row r="1681" customFormat="false" ht="15" hidden="false" customHeight="false" outlineLevel="0" collapsed="false">
      <c r="A1681" s="2" t="s">
        <v>1963</v>
      </c>
      <c r="B1681" s="8" t="n">
        <v>46165</v>
      </c>
      <c r="C1681" s="2" t="s">
        <v>243</v>
      </c>
      <c r="D1681" s="3" t="str">
        <f aca="false">INDEX(Vendedores!$C$2:$C$101,MATCH(C1681,Vendedores!$A$2:$A$101,0))</f>
        <v>L10</v>
      </c>
      <c r="E1681" s="3" t="str">
        <f aca="false">INDEX(Lojas!$E$2:$E$11,MATCH(D1681,Lojas!$A$2:$A$11,0))</f>
        <v>Nordeste</v>
      </c>
      <c r="F1681" s="2" t="s">
        <v>273</v>
      </c>
      <c r="G1681" s="3" t="str">
        <f aca="false">INDEX(Produtos!$B$2:$B$11,MATCH(F1681,Produtos!$A$2:$A$11,0))&amp;" "&amp;INDEX(Produtos!$C$2:$C$11,MATCH(F1681,Produtos!$A$2:$A$11,0))</f>
        <v>Controle de Videogame PS4</v>
      </c>
      <c r="H1681" s="2" t="n">
        <v>1</v>
      </c>
      <c r="I1681" s="5" t="n">
        <f aca="false">INDEX(Produtos!$D$2:$D$11,MATCH(F1681,Produtos!$A$2:$A$11,0))</f>
        <v>299.9</v>
      </c>
      <c r="J1681" s="5" t="n">
        <f aca="false">H1681*I1681</f>
        <v>299.9</v>
      </c>
      <c r="K1681" s="5" t="n">
        <f aca="false">INDEX(Produtos!$E$2:$E$11,MATCH(F1681,Produtos!$A$2:$A$11,0))</f>
        <v>175</v>
      </c>
      <c r="L1681" s="5" t="n">
        <f aca="false">H1681*K1681</f>
        <v>175</v>
      </c>
    </row>
    <row r="1682" customFormat="false" ht="15" hidden="false" customHeight="false" outlineLevel="0" collapsed="false">
      <c r="A1682" s="2" t="s">
        <v>1964</v>
      </c>
      <c r="B1682" s="8" t="n">
        <v>46165</v>
      </c>
      <c r="C1682" s="2" t="s">
        <v>137</v>
      </c>
      <c r="D1682" s="3" t="str">
        <f aca="false">INDEX(Vendedores!$C$2:$C$101,MATCH(C1682,Vendedores!$A$2:$A$101,0))</f>
        <v>L05</v>
      </c>
      <c r="E1682" s="3" t="str">
        <f aca="false">INDEX(Lojas!$E$2:$E$11,MATCH(D1682,Lojas!$A$2:$A$11,0))</f>
        <v>Sul</v>
      </c>
      <c r="F1682" s="2" t="s">
        <v>255</v>
      </c>
      <c r="G1682" s="3" t="str">
        <f aca="false">INDEX(Produtos!$B$2:$B$11,MATCH(F1682,Produtos!$A$2:$A$11,0))&amp;" "&amp;INDEX(Produtos!$C$2:$C$11,MATCH(F1682,Produtos!$A$2:$A$11,0))</f>
        <v>Notebook Positivo</v>
      </c>
      <c r="H1682" s="2" t="n">
        <v>1</v>
      </c>
      <c r="I1682" s="5" t="n">
        <f aca="false">INDEX(Produtos!$D$2:$D$11,MATCH(F1682,Produtos!$A$2:$A$11,0))</f>
        <v>2199</v>
      </c>
      <c r="J1682" s="5" t="n">
        <f aca="false">H1682*I1682</f>
        <v>2199</v>
      </c>
      <c r="K1682" s="5" t="n">
        <f aca="false">INDEX(Produtos!$E$2:$E$11,MATCH(F1682,Produtos!$A$2:$A$11,0))</f>
        <v>1550</v>
      </c>
      <c r="L1682" s="5" t="n">
        <f aca="false">H1682*K1682</f>
        <v>1550</v>
      </c>
    </row>
    <row r="1683" customFormat="false" ht="15" hidden="false" customHeight="false" outlineLevel="0" collapsed="false">
      <c r="A1683" s="2" t="s">
        <v>1965</v>
      </c>
      <c r="B1683" s="8" t="n">
        <v>46165</v>
      </c>
      <c r="C1683" s="2" t="s">
        <v>207</v>
      </c>
      <c r="D1683" s="3" t="str">
        <f aca="false">INDEX(Vendedores!$C$2:$C$101,MATCH(C1683,Vendedores!$A$2:$A$101,0))</f>
        <v>L09</v>
      </c>
      <c r="E1683" s="3" t="str">
        <f aca="false">INDEX(Lojas!$E$2:$E$11,MATCH(D1683,Lojas!$A$2:$A$11,0))</f>
        <v>Nordeste</v>
      </c>
      <c r="F1683" s="2" t="s">
        <v>267</v>
      </c>
      <c r="G1683" s="3" t="str">
        <f aca="false">INDEX(Produtos!$B$2:$B$11,MATCH(F1683,Produtos!$A$2:$A$11,0))&amp;" "&amp;INDEX(Produtos!$C$2:$C$11,MATCH(F1683,Produtos!$A$2:$A$11,0))</f>
        <v>Carregador de Celular Tipo C</v>
      </c>
      <c r="H1683" s="2" t="n">
        <v>2</v>
      </c>
      <c r="I1683" s="5" t="n">
        <f aca="false">INDEX(Produtos!$D$2:$D$11,MATCH(F1683,Produtos!$A$2:$A$11,0))</f>
        <v>44.9</v>
      </c>
      <c r="J1683" s="5" t="n">
        <f aca="false">H1683*I1683</f>
        <v>89.8</v>
      </c>
      <c r="K1683" s="5" t="n">
        <f aca="false">INDEX(Produtos!$E$2:$E$11,MATCH(F1683,Produtos!$A$2:$A$11,0))</f>
        <v>18</v>
      </c>
      <c r="L1683" s="5" t="n">
        <f aca="false">H1683*K1683</f>
        <v>36</v>
      </c>
    </row>
    <row r="1684" customFormat="false" ht="15" hidden="false" customHeight="false" outlineLevel="0" collapsed="false">
      <c r="A1684" s="2" t="s">
        <v>1966</v>
      </c>
      <c r="B1684" s="8" t="n">
        <v>46165</v>
      </c>
      <c r="C1684" s="2" t="s">
        <v>178</v>
      </c>
      <c r="D1684" s="3" t="str">
        <f aca="false">INDEX(Vendedores!$C$2:$C$101,MATCH(C1684,Vendedores!$A$2:$A$101,0))</f>
        <v>L07</v>
      </c>
      <c r="E1684" s="3" t="str">
        <f aca="false">INDEX(Lojas!$E$2:$E$11,MATCH(D1684,Lojas!$A$2:$A$11,0))</f>
        <v>Sul</v>
      </c>
      <c r="F1684" s="2" t="s">
        <v>252</v>
      </c>
      <c r="G1684" s="3" t="str">
        <f aca="false">INDEX(Produtos!$B$2:$B$11,MATCH(F1684,Produtos!$A$2:$A$11,0))&amp;" "&amp;INDEX(Produtos!$C$2:$C$11,MATCH(F1684,Produtos!$A$2:$A$11,0))</f>
        <v>Notebook Lenovo</v>
      </c>
      <c r="H1684" s="2" t="n">
        <v>1</v>
      </c>
      <c r="I1684" s="5" t="n">
        <f aca="false">INDEX(Produtos!$D$2:$D$11,MATCH(F1684,Produtos!$A$2:$A$11,0))</f>
        <v>3199</v>
      </c>
      <c r="J1684" s="5" t="n">
        <f aca="false">H1684*I1684</f>
        <v>3199</v>
      </c>
      <c r="K1684" s="5" t="n">
        <f aca="false">INDEX(Produtos!$E$2:$E$11,MATCH(F1684,Produtos!$A$2:$A$11,0))</f>
        <v>2350</v>
      </c>
      <c r="L1684" s="5" t="n">
        <f aca="false">H1684*K1684</f>
        <v>2350</v>
      </c>
    </row>
    <row r="1685" customFormat="false" ht="15" hidden="false" customHeight="false" outlineLevel="0" collapsed="false">
      <c r="A1685" s="2" t="s">
        <v>1967</v>
      </c>
      <c r="B1685" s="8" t="n">
        <v>46165</v>
      </c>
      <c r="C1685" s="2" t="s">
        <v>185</v>
      </c>
      <c r="D1685" s="3" t="str">
        <f aca="false">INDEX(Vendedores!$C$2:$C$101,MATCH(C1685,Vendedores!$A$2:$A$101,0))</f>
        <v>L08</v>
      </c>
      <c r="E1685" s="3" t="str">
        <f aca="false">INDEX(Lojas!$E$2:$E$11,MATCH(D1685,Lojas!$A$2:$A$11,0))</f>
        <v>Nordeste</v>
      </c>
      <c r="F1685" s="2" t="s">
        <v>267</v>
      </c>
      <c r="G1685" s="3" t="str">
        <f aca="false">INDEX(Produtos!$B$2:$B$11,MATCH(F1685,Produtos!$A$2:$A$11,0))&amp;" "&amp;INDEX(Produtos!$C$2:$C$11,MATCH(F1685,Produtos!$A$2:$A$11,0))</f>
        <v>Carregador de Celular Tipo C</v>
      </c>
      <c r="H1685" s="2" t="n">
        <v>3</v>
      </c>
      <c r="I1685" s="5" t="n">
        <f aca="false">INDEX(Produtos!$D$2:$D$11,MATCH(F1685,Produtos!$A$2:$A$11,0))</f>
        <v>44.9</v>
      </c>
      <c r="J1685" s="5" t="n">
        <f aca="false">H1685*I1685</f>
        <v>134.7</v>
      </c>
      <c r="K1685" s="5" t="n">
        <f aca="false">INDEX(Produtos!$E$2:$E$11,MATCH(F1685,Produtos!$A$2:$A$11,0))</f>
        <v>18</v>
      </c>
      <c r="L1685" s="5" t="n">
        <f aca="false">H1685*K1685</f>
        <v>54</v>
      </c>
    </row>
    <row r="1686" customFormat="false" ht="15" hidden="false" customHeight="false" outlineLevel="0" collapsed="false">
      <c r="A1686" s="2" t="s">
        <v>1968</v>
      </c>
      <c r="B1686" s="8" t="n">
        <v>46165</v>
      </c>
      <c r="C1686" s="2" t="s">
        <v>158</v>
      </c>
      <c r="D1686" s="3" t="str">
        <f aca="false">INDEX(Vendedores!$C$2:$C$101,MATCH(C1686,Vendedores!$A$2:$A$101,0))</f>
        <v>L06</v>
      </c>
      <c r="E1686" s="3" t="str">
        <f aca="false">INDEX(Lojas!$E$2:$E$11,MATCH(D1686,Lojas!$A$2:$A$11,0))</f>
        <v>Sul</v>
      </c>
      <c r="F1686" s="2" t="s">
        <v>252</v>
      </c>
      <c r="G1686" s="3" t="str">
        <f aca="false">INDEX(Produtos!$B$2:$B$11,MATCH(F1686,Produtos!$A$2:$A$11,0))&amp;" "&amp;INDEX(Produtos!$C$2:$C$11,MATCH(F1686,Produtos!$A$2:$A$11,0))</f>
        <v>Notebook Lenovo</v>
      </c>
      <c r="H1686" s="2" t="n">
        <v>2</v>
      </c>
      <c r="I1686" s="5" t="n">
        <f aca="false">INDEX(Produtos!$D$2:$D$11,MATCH(F1686,Produtos!$A$2:$A$11,0))</f>
        <v>3199</v>
      </c>
      <c r="J1686" s="5" t="n">
        <f aca="false">H1686*I1686</f>
        <v>6398</v>
      </c>
      <c r="K1686" s="5" t="n">
        <f aca="false">INDEX(Produtos!$E$2:$E$11,MATCH(F1686,Produtos!$A$2:$A$11,0))</f>
        <v>2350</v>
      </c>
      <c r="L1686" s="5" t="n">
        <f aca="false">H1686*K1686</f>
        <v>4700</v>
      </c>
    </row>
    <row r="1687" customFormat="false" ht="15" hidden="false" customHeight="false" outlineLevel="0" collapsed="false">
      <c r="A1687" s="2" t="s">
        <v>1969</v>
      </c>
      <c r="B1687" s="8" t="n">
        <v>46165</v>
      </c>
      <c r="C1687" s="2" t="s">
        <v>137</v>
      </c>
      <c r="D1687" s="3" t="str">
        <f aca="false">INDEX(Vendedores!$C$2:$C$101,MATCH(C1687,Vendedores!$A$2:$A$101,0))</f>
        <v>L05</v>
      </c>
      <c r="E1687" s="3" t="str">
        <f aca="false">INDEX(Lojas!$E$2:$E$11,MATCH(D1687,Lojas!$A$2:$A$11,0))</f>
        <v>Sul</v>
      </c>
      <c r="F1687" s="2" t="s">
        <v>262</v>
      </c>
      <c r="G1687" s="3" t="str">
        <f aca="false">INDEX(Produtos!$B$2:$B$11,MATCH(F1687,Produtos!$A$2:$A$11,0))&amp;" "&amp;INDEX(Produtos!$C$2:$C$11,MATCH(F1687,Produtos!$A$2:$A$11,0))</f>
        <v>Fone de Ouvido De Celular</v>
      </c>
      <c r="H1687" s="2" t="n">
        <v>2</v>
      </c>
      <c r="I1687" s="5" t="n">
        <f aca="false">INDEX(Produtos!$D$2:$D$11,MATCH(F1687,Produtos!$A$2:$A$11,0))</f>
        <v>59.9</v>
      </c>
      <c r="J1687" s="5" t="n">
        <f aca="false">H1687*I1687</f>
        <v>119.8</v>
      </c>
      <c r="K1687" s="5" t="n">
        <f aca="false">INDEX(Produtos!$E$2:$E$11,MATCH(F1687,Produtos!$A$2:$A$11,0))</f>
        <v>28</v>
      </c>
      <c r="L1687" s="5" t="n">
        <f aca="false">H1687*K1687</f>
        <v>56</v>
      </c>
    </row>
    <row r="1688" customFormat="false" ht="15" hidden="false" customHeight="false" outlineLevel="0" collapsed="false">
      <c r="A1688" s="2" t="s">
        <v>1970</v>
      </c>
      <c r="B1688" s="8" t="n">
        <v>46165</v>
      </c>
      <c r="C1688" s="2" t="s">
        <v>217</v>
      </c>
      <c r="D1688" s="3" t="str">
        <f aca="false">INDEX(Vendedores!$C$2:$C$101,MATCH(C1688,Vendedores!$A$2:$A$101,0))</f>
        <v>L09</v>
      </c>
      <c r="E1688" s="3" t="str">
        <f aca="false">INDEX(Lojas!$E$2:$E$11,MATCH(D1688,Lojas!$A$2:$A$11,0))</f>
        <v>Nordeste</v>
      </c>
      <c r="F1688" s="2" t="s">
        <v>260</v>
      </c>
      <c r="G1688" s="3" t="str">
        <f aca="false">INDEX(Produtos!$B$2:$B$11,MATCH(F1688,Produtos!$A$2:$A$11,0))&amp;" "&amp;INDEX(Produtos!$C$2:$C$11,MATCH(F1688,Produtos!$A$2:$A$11,0))</f>
        <v>Celular Motorola</v>
      </c>
      <c r="H1688" s="2" t="n">
        <v>1</v>
      </c>
      <c r="I1688" s="5" t="n">
        <f aca="false">INDEX(Produtos!$D$2:$D$11,MATCH(F1688,Produtos!$A$2:$A$11,0))</f>
        <v>1799</v>
      </c>
      <c r="J1688" s="5" t="n">
        <f aca="false">H1688*I1688</f>
        <v>1799</v>
      </c>
      <c r="K1688" s="5" t="n">
        <f aca="false">INDEX(Produtos!$E$2:$E$11,MATCH(F1688,Produtos!$A$2:$A$11,0))</f>
        <v>1250</v>
      </c>
      <c r="L1688" s="5" t="n">
        <f aca="false">H1688*K1688</f>
        <v>1250</v>
      </c>
    </row>
    <row r="1689" customFormat="false" ht="15" hidden="false" customHeight="false" outlineLevel="0" collapsed="false">
      <c r="A1689" s="2" t="s">
        <v>1971</v>
      </c>
      <c r="B1689" s="8" t="n">
        <v>46165</v>
      </c>
      <c r="C1689" s="2" t="s">
        <v>235</v>
      </c>
      <c r="D1689" s="3" t="str">
        <f aca="false">INDEX(Vendedores!$C$2:$C$101,MATCH(C1689,Vendedores!$A$2:$A$101,0))</f>
        <v>L10</v>
      </c>
      <c r="E1689" s="3" t="str">
        <f aca="false">INDEX(Lojas!$E$2:$E$11,MATCH(D1689,Lojas!$A$2:$A$11,0))</f>
        <v>Nordeste</v>
      </c>
      <c r="F1689" s="2" t="s">
        <v>255</v>
      </c>
      <c r="G1689" s="3" t="str">
        <f aca="false">INDEX(Produtos!$B$2:$B$11,MATCH(F1689,Produtos!$A$2:$A$11,0))&amp;" "&amp;INDEX(Produtos!$C$2:$C$11,MATCH(F1689,Produtos!$A$2:$A$11,0))</f>
        <v>Notebook Positivo</v>
      </c>
      <c r="H1689" s="2" t="n">
        <v>1</v>
      </c>
      <c r="I1689" s="5" t="n">
        <f aca="false">INDEX(Produtos!$D$2:$D$11,MATCH(F1689,Produtos!$A$2:$A$11,0))</f>
        <v>2199</v>
      </c>
      <c r="J1689" s="5" t="n">
        <f aca="false">H1689*I1689</f>
        <v>2199</v>
      </c>
      <c r="K1689" s="5" t="n">
        <f aca="false">INDEX(Produtos!$E$2:$E$11,MATCH(F1689,Produtos!$A$2:$A$11,0))</f>
        <v>1550</v>
      </c>
      <c r="L1689" s="5" t="n">
        <f aca="false">H1689*K1689</f>
        <v>1550</v>
      </c>
    </row>
    <row r="1690" customFormat="false" ht="15" hidden="false" customHeight="false" outlineLevel="0" collapsed="false">
      <c r="A1690" s="2" t="s">
        <v>1972</v>
      </c>
      <c r="B1690" s="8" t="n">
        <v>46165</v>
      </c>
      <c r="C1690" s="2" t="s">
        <v>187</v>
      </c>
      <c r="D1690" s="3" t="str">
        <f aca="false">INDEX(Vendedores!$C$2:$C$101,MATCH(C1690,Vendedores!$A$2:$A$101,0))</f>
        <v>L08</v>
      </c>
      <c r="E1690" s="3" t="str">
        <f aca="false">INDEX(Lojas!$E$2:$E$11,MATCH(D1690,Lojas!$A$2:$A$11,0))</f>
        <v>Nordeste</v>
      </c>
      <c r="F1690" s="2" t="s">
        <v>267</v>
      </c>
      <c r="G1690" s="3" t="str">
        <f aca="false">INDEX(Produtos!$B$2:$B$11,MATCH(F1690,Produtos!$A$2:$A$11,0))&amp;" "&amp;INDEX(Produtos!$C$2:$C$11,MATCH(F1690,Produtos!$A$2:$A$11,0))</f>
        <v>Carregador de Celular Tipo C</v>
      </c>
      <c r="H1690" s="2" t="n">
        <v>1</v>
      </c>
      <c r="I1690" s="5" t="n">
        <f aca="false">INDEX(Produtos!$D$2:$D$11,MATCH(F1690,Produtos!$A$2:$A$11,0))</f>
        <v>44.9</v>
      </c>
      <c r="J1690" s="5" t="n">
        <f aca="false">H1690*I1690</f>
        <v>44.9</v>
      </c>
      <c r="K1690" s="5" t="n">
        <f aca="false">INDEX(Produtos!$E$2:$E$11,MATCH(F1690,Produtos!$A$2:$A$11,0))</f>
        <v>18</v>
      </c>
      <c r="L1690" s="5" t="n">
        <f aca="false">H1690*K1690</f>
        <v>18</v>
      </c>
    </row>
    <row r="1691" customFormat="false" ht="15" hidden="false" customHeight="false" outlineLevel="0" collapsed="false">
      <c r="A1691" s="2" t="s">
        <v>1973</v>
      </c>
      <c r="B1691" s="8" t="n">
        <v>46165</v>
      </c>
      <c r="C1691" s="2" t="s">
        <v>148</v>
      </c>
      <c r="D1691" s="3" t="str">
        <f aca="false">INDEX(Vendedores!$C$2:$C$101,MATCH(C1691,Vendedores!$A$2:$A$101,0))</f>
        <v>L06</v>
      </c>
      <c r="E1691" s="3" t="str">
        <f aca="false">INDEX(Lojas!$E$2:$E$11,MATCH(D1691,Lojas!$A$2:$A$11,0))</f>
        <v>Sul</v>
      </c>
      <c r="F1691" s="2" t="s">
        <v>270</v>
      </c>
      <c r="G1691" s="3" t="str">
        <f aca="false">INDEX(Produtos!$B$2:$B$11,MATCH(F1691,Produtos!$A$2:$A$11,0))&amp;" "&amp;INDEX(Produtos!$C$2:$C$11,MATCH(F1691,Produtos!$A$2:$A$11,0))</f>
        <v>Controle de Videogame Xbox</v>
      </c>
      <c r="H1691" s="2" t="n">
        <v>1</v>
      </c>
      <c r="I1691" s="5" t="n">
        <f aca="false">INDEX(Produtos!$D$2:$D$11,MATCH(F1691,Produtos!$A$2:$A$11,0))</f>
        <v>349.9</v>
      </c>
      <c r="J1691" s="5" t="n">
        <f aca="false">H1691*I1691</f>
        <v>349.9</v>
      </c>
      <c r="K1691" s="5" t="n">
        <f aca="false">INDEX(Produtos!$E$2:$E$11,MATCH(F1691,Produtos!$A$2:$A$11,0))</f>
        <v>215</v>
      </c>
      <c r="L1691" s="5" t="n">
        <f aca="false">H1691*K1691</f>
        <v>215</v>
      </c>
    </row>
    <row r="1692" customFormat="false" ht="15" hidden="false" customHeight="false" outlineLevel="0" collapsed="false">
      <c r="A1692" s="2" t="s">
        <v>1974</v>
      </c>
      <c r="B1692" s="8" t="n">
        <v>46166</v>
      </c>
      <c r="C1692" s="2" t="s">
        <v>205</v>
      </c>
      <c r="D1692" s="3" t="str">
        <f aca="false">INDEX(Vendedores!$C$2:$C$101,MATCH(C1692,Vendedores!$A$2:$A$101,0))</f>
        <v>L09</v>
      </c>
      <c r="E1692" s="3" t="str">
        <f aca="false">INDEX(Lojas!$E$2:$E$11,MATCH(D1692,Lojas!$A$2:$A$11,0))</f>
        <v>Nordeste</v>
      </c>
      <c r="F1692" s="2" t="s">
        <v>262</v>
      </c>
      <c r="G1692" s="3" t="str">
        <f aca="false">INDEX(Produtos!$B$2:$B$11,MATCH(F1692,Produtos!$A$2:$A$11,0))&amp;" "&amp;INDEX(Produtos!$C$2:$C$11,MATCH(F1692,Produtos!$A$2:$A$11,0))</f>
        <v>Fone de Ouvido De Celular</v>
      </c>
      <c r="H1692" s="2" t="n">
        <v>2</v>
      </c>
      <c r="I1692" s="5" t="n">
        <f aca="false">INDEX(Produtos!$D$2:$D$11,MATCH(F1692,Produtos!$A$2:$A$11,0))</f>
        <v>59.9</v>
      </c>
      <c r="J1692" s="5" t="n">
        <f aca="false">H1692*I1692</f>
        <v>119.8</v>
      </c>
      <c r="K1692" s="5" t="n">
        <f aca="false">INDEX(Produtos!$E$2:$E$11,MATCH(F1692,Produtos!$A$2:$A$11,0))</f>
        <v>28</v>
      </c>
      <c r="L1692" s="5" t="n">
        <f aca="false">H1692*K1692</f>
        <v>56</v>
      </c>
    </row>
    <row r="1693" customFormat="false" ht="15" hidden="false" customHeight="false" outlineLevel="0" collapsed="false">
      <c r="A1693" s="2" t="s">
        <v>1975</v>
      </c>
      <c r="B1693" s="8" t="n">
        <v>46166</v>
      </c>
      <c r="C1693" s="2" t="s">
        <v>74</v>
      </c>
      <c r="D1693" s="3" t="str">
        <f aca="false">INDEX(Vendedores!$C$2:$C$101,MATCH(C1693,Vendedores!$A$2:$A$101,0))</f>
        <v>L02</v>
      </c>
      <c r="E1693" s="3" t="str">
        <f aca="false">INDEX(Lojas!$E$2:$E$11,MATCH(D1693,Lojas!$A$2:$A$11,0))</f>
        <v>Sudeste</v>
      </c>
      <c r="F1693" s="2" t="s">
        <v>273</v>
      </c>
      <c r="G1693" s="3" t="str">
        <f aca="false">INDEX(Produtos!$B$2:$B$11,MATCH(F1693,Produtos!$A$2:$A$11,0))&amp;" "&amp;INDEX(Produtos!$C$2:$C$11,MATCH(F1693,Produtos!$A$2:$A$11,0))</f>
        <v>Controle de Videogame PS4</v>
      </c>
      <c r="H1693" s="2" t="n">
        <v>1</v>
      </c>
      <c r="I1693" s="5" t="n">
        <f aca="false">INDEX(Produtos!$D$2:$D$11,MATCH(F1693,Produtos!$A$2:$A$11,0))</f>
        <v>299.9</v>
      </c>
      <c r="J1693" s="5" t="n">
        <f aca="false">H1693*I1693</f>
        <v>299.9</v>
      </c>
      <c r="K1693" s="5" t="n">
        <f aca="false">INDEX(Produtos!$E$2:$E$11,MATCH(F1693,Produtos!$A$2:$A$11,0))</f>
        <v>175</v>
      </c>
      <c r="L1693" s="5" t="n">
        <f aca="false">H1693*K1693</f>
        <v>175</v>
      </c>
    </row>
    <row r="1694" customFormat="false" ht="15" hidden="false" customHeight="false" outlineLevel="0" collapsed="false">
      <c r="A1694" s="2" t="s">
        <v>1976</v>
      </c>
      <c r="B1694" s="8" t="n">
        <v>46166</v>
      </c>
      <c r="C1694" s="2" t="s">
        <v>221</v>
      </c>
      <c r="D1694" s="3" t="str">
        <f aca="false">INDEX(Vendedores!$C$2:$C$101,MATCH(C1694,Vendedores!$A$2:$A$101,0))</f>
        <v>L09</v>
      </c>
      <c r="E1694" s="3" t="str">
        <f aca="false">INDEX(Lojas!$E$2:$E$11,MATCH(D1694,Lojas!$A$2:$A$11,0))</f>
        <v>Nordeste</v>
      </c>
      <c r="F1694" s="2" t="s">
        <v>267</v>
      </c>
      <c r="G1694" s="3" t="str">
        <f aca="false">INDEX(Produtos!$B$2:$B$11,MATCH(F1694,Produtos!$A$2:$A$11,0))&amp;" "&amp;INDEX(Produtos!$C$2:$C$11,MATCH(F1694,Produtos!$A$2:$A$11,0))</f>
        <v>Carregador de Celular Tipo C</v>
      </c>
      <c r="H1694" s="2" t="n">
        <v>1</v>
      </c>
      <c r="I1694" s="5" t="n">
        <f aca="false">INDEX(Produtos!$D$2:$D$11,MATCH(F1694,Produtos!$A$2:$A$11,0))</f>
        <v>44.9</v>
      </c>
      <c r="J1694" s="5" t="n">
        <f aca="false">H1694*I1694</f>
        <v>44.9</v>
      </c>
      <c r="K1694" s="5" t="n">
        <f aca="false">INDEX(Produtos!$E$2:$E$11,MATCH(F1694,Produtos!$A$2:$A$11,0))</f>
        <v>18</v>
      </c>
      <c r="L1694" s="5" t="n">
        <f aca="false">H1694*K1694</f>
        <v>18</v>
      </c>
    </row>
    <row r="1695" customFormat="false" ht="15" hidden="false" customHeight="false" outlineLevel="0" collapsed="false">
      <c r="A1695" s="2" t="s">
        <v>1977</v>
      </c>
      <c r="B1695" s="8" t="n">
        <v>46166</v>
      </c>
      <c r="C1695" s="2" t="s">
        <v>116</v>
      </c>
      <c r="D1695" s="3" t="str">
        <f aca="false">INDEX(Vendedores!$C$2:$C$101,MATCH(C1695,Vendedores!$A$2:$A$101,0))</f>
        <v>L04</v>
      </c>
      <c r="E1695" s="3" t="str">
        <f aca="false">INDEX(Lojas!$E$2:$E$11,MATCH(D1695,Lojas!$A$2:$A$11,0))</f>
        <v>Sudeste</v>
      </c>
      <c r="F1695" s="2" t="s">
        <v>252</v>
      </c>
      <c r="G1695" s="3" t="str">
        <f aca="false">INDEX(Produtos!$B$2:$B$11,MATCH(F1695,Produtos!$A$2:$A$11,0))&amp;" "&amp;INDEX(Produtos!$C$2:$C$11,MATCH(F1695,Produtos!$A$2:$A$11,0))</f>
        <v>Notebook Lenovo</v>
      </c>
      <c r="H1695" s="2" t="n">
        <v>1</v>
      </c>
      <c r="I1695" s="5" t="n">
        <f aca="false">INDEX(Produtos!$D$2:$D$11,MATCH(F1695,Produtos!$A$2:$A$11,0))</f>
        <v>3199</v>
      </c>
      <c r="J1695" s="5" t="n">
        <f aca="false">H1695*I1695</f>
        <v>3199</v>
      </c>
      <c r="K1695" s="5" t="n">
        <f aca="false">INDEX(Produtos!$E$2:$E$11,MATCH(F1695,Produtos!$A$2:$A$11,0))</f>
        <v>2350</v>
      </c>
      <c r="L1695" s="5" t="n">
        <f aca="false">H1695*K1695</f>
        <v>2350</v>
      </c>
    </row>
    <row r="1696" customFormat="false" ht="15" hidden="false" customHeight="false" outlineLevel="0" collapsed="false">
      <c r="A1696" s="2" t="s">
        <v>1978</v>
      </c>
      <c r="B1696" s="8" t="n">
        <v>46166</v>
      </c>
      <c r="C1696" s="2" t="s">
        <v>108</v>
      </c>
      <c r="D1696" s="3" t="str">
        <f aca="false">INDEX(Vendedores!$C$2:$C$101,MATCH(C1696,Vendedores!$A$2:$A$101,0))</f>
        <v>L03</v>
      </c>
      <c r="E1696" s="3" t="str">
        <f aca="false">INDEX(Lojas!$E$2:$E$11,MATCH(D1696,Lojas!$A$2:$A$11,0))</f>
        <v>Sudeste</v>
      </c>
      <c r="F1696" s="2" t="s">
        <v>267</v>
      </c>
      <c r="G1696" s="3" t="str">
        <f aca="false">INDEX(Produtos!$B$2:$B$11,MATCH(F1696,Produtos!$A$2:$A$11,0))&amp;" "&amp;INDEX(Produtos!$C$2:$C$11,MATCH(F1696,Produtos!$A$2:$A$11,0))</f>
        <v>Carregador de Celular Tipo C</v>
      </c>
      <c r="H1696" s="2" t="n">
        <v>2</v>
      </c>
      <c r="I1696" s="5" t="n">
        <f aca="false">INDEX(Produtos!$D$2:$D$11,MATCH(F1696,Produtos!$A$2:$A$11,0))</f>
        <v>44.9</v>
      </c>
      <c r="J1696" s="5" t="n">
        <f aca="false">H1696*I1696</f>
        <v>89.8</v>
      </c>
      <c r="K1696" s="5" t="n">
        <f aca="false">INDEX(Produtos!$E$2:$E$11,MATCH(F1696,Produtos!$A$2:$A$11,0))</f>
        <v>18</v>
      </c>
      <c r="L1696" s="5" t="n">
        <f aca="false">H1696*K1696</f>
        <v>36</v>
      </c>
    </row>
    <row r="1697" customFormat="false" ht="15" hidden="false" customHeight="false" outlineLevel="0" collapsed="false">
      <c r="A1697" s="2" t="s">
        <v>1979</v>
      </c>
      <c r="B1697" s="8" t="n">
        <v>46166</v>
      </c>
      <c r="C1697" s="2" t="s">
        <v>213</v>
      </c>
      <c r="D1697" s="3" t="str">
        <f aca="false">INDEX(Vendedores!$C$2:$C$101,MATCH(C1697,Vendedores!$A$2:$A$101,0))</f>
        <v>L09</v>
      </c>
      <c r="E1697" s="3" t="str">
        <f aca="false">INDEX(Lojas!$E$2:$E$11,MATCH(D1697,Lojas!$A$2:$A$11,0))</f>
        <v>Nordeste</v>
      </c>
      <c r="F1697" s="2" t="s">
        <v>267</v>
      </c>
      <c r="G1697" s="3" t="str">
        <f aca="false">INDEX(Produtos!$B$2:$B$11,MATCH(F1697,Produtos!$A$2:$A$11,0))&amp;" "&amp;INDEX(Produtos!$C$2:$C$11,MATCH(F1697,Produtos!$A$2:$A$11,0))</f>
        <v>Carregador de Celular Tipo C</v>
      </c>
      <c r="H1697" s="2" t="n">
        <v>1</v>
      </c>
      <c r="I1697" s="5" t="n">
        <f aca="false">INDEX(Produtos!$D$2:$D$11,MATCH(F1697,Produtos!$A$2:$A$11,0))</f>
        <v>44.9</v>
      </c>
      <c r="J1697" s="5" t="n">
        <f aca="false">H1697*I1697</f>
        <v>44.9</v>
      </c>
      <c r="K1697" s="5" t="n">
        <f aca="false">INDEX(Produtos!$E$2:$E$11,MATCH(F1697,Produtos!$A$2:$A$11,0))</f>
        <v>18</v>
      </c>
      <c r="L1697" s="5" t="n">
        <f aca="false">H1697*K1697</f>
        <v>18</v>
      </c>
    </row>
    <row r="1698" customFormat="false" ht="15" hidden="false" customHeight="false" outlineLevel="0" collapsed="false">
      <c r="A1698" s="2" t="s">
        <v>1980</v>
      </c>
      <c r="B1698" s="8" t="n">
        <v>46166</v>
      </c>
      <c r="C1698" s="2" t="s">
        <v>231</v>
      </c>
      <c r="D1698" s="3" t="str">
        <f aca="false">INDEX(Vendedores!$C$2:$C$101,MATCH(C1698,Vendedores!$A$2:$A$101,0))</f>
        <v>L10</v>
      </c>
      <c r="E1698" s="3" t="str">
        <f aca="false">INDEX(Lojas!$E$2:$E$11,MATCH(D1698,Lojas!$A$2:$A$11,0))</f>
        <v>Nordeste</v>
      </c>
      <c r="F1698" s="2" t="s">
        <v>265</v>
      </c>
      <c r="G1698" s="3" t="str">
        <f aca="false">INDEX(Produtos!$B$2:$B$11,MATCH(F1698,Produtos!$A$2:$A$11,0))&amp;" "&amp;INDEX(Produtos!$C$2:$C$11,MATCH(F1698,Produtos!$A$2:$A$11,0))</f>
        <v>Fone de Ouvido Headset</v>
      </c>
      <c r="H1698" s="2" t="n">
        <v>2</v>
      </c>
      <c r="I1698" s="5" t="n">
        <f aca="false">INDEX(Produtos!$D$2:$D$11,MATCH(F1698,Produtos!$A$2:$A$11,0))</f>
        <v>249.9</v>
      </c>
      <c r="J1698" s="5" t="n">
        <f aca="false">H1698*I1698</f>
        <v>499.8</v>
      </c>
      <c r="K1698" s="5" t="n">
        <f aca="false">INDEX(Produtos!$E$2:$E$11,MATCH(F1698,Produtos!$A$2:$A$11,0))</f>
        <v>145</v>
      </c>
      <c r="L1698" s="5" t="n">
        <f aca="false">H1698*K1698</f>
        <v>290</v>
      </c>
    </row>
    <row r="1699" customFormat="false" ht="15" hidden="false" customHeight="false" outlineLevel="0" collapsed="false">
      <c r="A1699" s="2" t="s">
        <v>1981</v>
      </c>
      <c r="B1699" s="8" t="n">
        <v>46166</v>
      </c>
      <c r="C1699" s="2" t="s">
        <v>172</v>
      </c>
      <c r="D1699" s="3" t="str">
        <f aca="false">INDEX(Vendedores!$C$2:$C$101,MATCH(C1699,Vendedores!$A$2:$A$101,0))</f>
        <v>L07</v>
      </c>
      <c r="E1699" s="3" t="str">
        <f aca="false">INDEX(Lojas!$E$2:$E$11,MATCH(D1699,Lojas!$A$2:$A$11,0))</f>
        <v>Sul</v>
      </c>
      <c r="F1699" s="2" t="s">
        <v>275</v>
      </c>
      <c r="G1699" s="3" t="str">
        <f aca="false">INDEX(Produtos!$B$2:$B$11,MATCH(F1699,Produtos!$A$2:$A$11,0))&amp;" "&amp;INDEX(Produtos!$C$2:$C$11,MATCH(F1699,Produtos!$A$2:$A$11,0))</f>
        <v>Controle de Videogame PS5</v>
      </c>
      <c r="H1699" s="2" t="n">
        <v>1</v>
      </c>
      <c r="I1699" s="5" t="n">
        <f aca="false">INDEX(Produtos!$D$2:$D$11,MATCH(F1699,Produtos!$A$2:$A$11,0))</f>
        <v>379.9</v>
      </c>
      <c r="J1699" s="5" t="n">
        <f aca="false">H1699*I1699</f>
        <v>379.9</v>
      </c>
      <c r="K1699" s="5" t="n">
        <f aca="false">INDEX(Produtos!$E$2:$E$11,MATCH(F1699,Produtos!$A$2:$A$11,0))</f>
        <v>235</v>
      </c>
      <c r="L1699" s="5" t="n">
        <f aca="false">H1699*K1699</f>
        <v>235</v>
      </c>
    </row>
    <row r="1700" customFormat="false" ht="15" hidden="false" customHeight="false" outlineLevel="0" collapsed="false">
      <c r="A1700" s="2" t="s">
        <v>1982</v>
      </c>
      <c r="B1700" s="8" t="n">
        <v>46166</v>
      </c>
      <c r="C1700" s="2" t="s">
        <v>178</v>
      </c>
      <c r="D1700" s="3" t="str">
        <f aca="false">INDEX(Vendedores!$C$2:$C$101,MATCH(C1700,Vendedores!$A$2:$A$101,0))</f>
        <v>L07</v>
      </c>
      <c r="E1700" s="3" t="str">
        <f aca="false">INDEX(Lojas!$E$2:$E$11,MATCH(D1700,Lojas!$A$2:$A$11,0))</f>
        <v>Sul</v>
      </c>
      <c r="F1700" s="2" t="s">
        <v>262</v>
      </c>
      <c r="G1700" s="3" t="str">
        <f aca="false">INDEX(Produtos!$B$2:$B$11,MATCH(F1700,Produtos!$A$2:$A$11,0))&amp;" "&amp;INDEX(Produtos!$C$2:$C$11,MATCH(F1700,Produtos!$A$2:$A$11,0))</f>
        <v>Fone de Ouvido De Celular</v>
      </c>
      <c r="H1700" s="2" t="n">
        <v>2</v>
      </c>
      <c r="I1700" s="5" t="n">
        <f aca="false">INDEX(Produtos!$D$2:$D$11,MATCH(F1700,Produtos!$A$2:$A$11,0))</f>
        <v>59.9</v>
      </c>
      <c r="J1700" s="5" t="n">
        <f aca="false">H1700*I1700</f>
        <v>119.8</v>
      </c>
      <c r="K1700" s="5" t="n">
        <f aca="false">INDEX(Produtos!$E$2:$E$11,MATCH(F1700,Produtos!$A$2:$A$11,0))</f>
        <v>28</v>
      </c>
      <c r="L1700" s="5" t="n">
        <f aca="false">H1700*K1700</f>
        <v>56</v>
      </c>
    </row>
    <row r="1701" customFormat="false" ht="15" hidden="false" customHeight="false" outlineLevel="0" collapsed="false">
      <c r="A1701" s="2" t="s">
        <v>1983</v>
      </c>
      <c r="B1701" s="8" t="n">
        <v>46166</v>
      </c>
      <c r="C1701" s="2" t="s">
        <v>191</v>
      </c>
      <c r="D1701" s="3" t="str">
        <f aca="false">INDEX(Vendedores!$C$2:$C$101,MATCH(C1701,Vendedores!$A$2:$A$101,0))</f>
        <v>L08</v>
      </c>
      <c r="E1701" s="3" t="str">
        <f aca="false">INDEX(Lojas!$E$2:$E$11,MATCH(D1701,Lojas!$A$2:$A$11,0))</f>
        <v>Nordeste</v>
      </c>
      <c r="F1701" s="2" t="s">
        <v>275</v>
      </c>
      <c r="G1701" s="3" t="str">
        <f aca="false">INDEX(Produtos!$B$2:$B$11,MATCH(F1701,Produtos!$A$2:$A$11,0))&amp;" "&amp;INDEX(Produtos!$C$2:$C$11,MATCH(F1701,Produtos!$A$2:$A$11,0))</f>
        <v>Controle de Videogame PS5</v>
      </c>
      <c r="H1701" s="2" t="n">
        <v>1</v>
      </c>
      <c r="I1701" s="5" t="n">
        <f aca="false">INDEX(Produtos!$D$2:$D$11,MATCH(F1701,Produtos!$A$2:$A$11,0))</f>
        <v>379.9</v>
      </c>
      <c r="J1701" s="5" t="n">
        <f aca="false">H1701*I1701</f>
        <v>379.9</v>
      </c>
      <c r="K1701" s="5" t="n">
        <f aca="false">INDEX(Produtos!$E$2:$E$11,MATCH(F1701,Produtos!$A$2:$A$11,0))</f>
        <v>235</v>
      </c>
      <c r="L1701" s="5" t="n">
        <f aca="false">H1701*K1701</f>
        <v>235</v>
      </c>
    </row>
    <row r="1702" customFormat="false" ht="15" hidden="false" customHeight="false" outlineLevel="0" collapsed="false">
      <c r="A1702" s="2" t="s">
        <v>1984</v>
      </c>
      <c r="B1702" s="8" t="n">
        <v>46166</v>
      </c>
      <c r="C1702" s="2" t="s">
        <v>201</v>
      </c>
      <c r="D1702" s="3" t="str">
        <f aca="false">INDEX(Vendedores!$C$2:$C$101,MATCH(C1702,Vendedores!$A$2:$A$101,0))</f>
        <v>L08</v>
      </c>
      <c r="E1702" s="3" t="str">
        <f aca="false">INDEX(Lojas!$E$2:$E$11,MATCH(D1702,Lojas!$A$2:$A$11,0))</f>
        <v>Nordeste</v>
      </c>
      <c r="F1702" s="2" t="s">
        <v>257</v>
      </c>
      <c r="G1702" s="3" t="str">
        <f aca="false">INDEX(Produtos!$B$2:$B$11,MATCH(F1702,Produtos!$A$2:$A$11,0))&amp;" "&amp;INDEX(Produtos!$C$2:$C$11,MATCH(F1702,Produtos!$A$2:$A$11,0))</f>
        <v>Celular Samsung</v>
      </c>
      <c r="H1702" s="2" t="n">
        <v>1</v>
      </c>
      <c r="I1702" s="5" t="n">
        <f aca="false">INDEX(Produtos!$D$2:$D$11,MATCH(F1702,Produtos!$A$2:$A$11,0))</f>
        <v>2499</v>
      </c>
      <c r="J1702" s="5" t="n">
        <f aca="false">H1702*I1702</f>
        <v>2499</v>
      </c>
      <c r="K1702" s="5" t="n">
        <f aca="false">INDEX(Produtos!$E$2:$E$11,MATCH(F1702,Produtos!$A$2:$A$11,0))</f>
        <v>1800</v>
      </c>
      <c r="L1702" s="5" t="n">
        <f aca="false">H1702*K1702</f>
        <v>1800</v>
      </c>
    </row>
    <row r="1703" customFormat="false" ht="15" hidden="false" customHeight="false" outlineLevel="0" collapsed="false">
      <c r="A1703" s="2" t="s">
        <v>1985</v>
      </c>
      <c r="B1703" s="8" t="n">
        <v>46166</v>
      </c>
      <c r="C1703" s="2" t="s">
        <v>104</v>
      </c>
      <c r="D1703" s="3" t="str">
        <f aca="false">INDEX(Vendedores!$C$2:$C$101,MATCH(C1703,Vendedores!$A$2:$A$101,0))</f>
        <v>L03</v>
      </c>
      <c r="E1703" s="3" t="str">
        <f aca="false">INDEX(Lojas!$E$2:$E$11,MATCH(D1703,Lojas!$A$2:$A$11,0))</f>
        <v>Sudeste</v>
      </c>
      <c r="F1703" s="2" t="s">
        <v>252</v>
      </c>
      <c r="G1703" s="3" t="str">
        <f aca="false">INDEX(Produtos!$B$2:$B$11,MATCH(F1703,Produtos!$A$2:$A$11,0))&amp;" "&amp;INDEX(Produtos!$C$2:$C$11,MATCH(F1703,Produtos!$A$2:$A$11,0))</f>
        <v>Notebook Lenovo</v>
      </c>
      <c r="H1703" s="2" t="n">
        <v>1</v>
      </c>
      <c r="I1703" s="5" t="n">
        <f aca="false">INDEX(Produtos!$D$2:$D$11,MATCH(F1703,Produtos!$A$2:$A$11,0))</f>
        <v>3199</v>
      </c>
      <c r="J1703" s="5" t="n">
        <f aca="false">H1703*I1703</f>
        <v>3199</v>
      </c>
      <c r="K1703" s="5" t="n">
        <f aca="false">INDEX(Produtos!$E$2:$E$11,MATCH(F1703,Produtos!$A$2:$A$11,0))</f>
        <v>2350</v>
      </c>
      <c r="L1703" s="5" t="n">
        <f aca="false">H1703*K1703</f>
        <v>2350</v>
      </c>
    </row>
    <row r="1704" customFormat="false" ht="15" hidden="false" customHeight="false" outlineLevel="0" collapsed="false">
      <c r="A1704" s="2" t="s">
        <v>1986</v>
      </c>
      <c r="B1704" s="8" t="n">
        <v>46167</v>
      </c>
      <c r="C1704" s="2" t="s">
        <v>183</v>
      </c>
      <c r="D1704" s="3" t="str">
        <f aca="false">INDEX(Vendedores!$C$2:$C$101,MATCH(C1704,Vendedores!$A$2:$A$101,0))</f>
        <v>L07</v>
      </c>
      <c r="E1704" s="3" t="str">
        <f aca="false">INDEX(Lojas!$E$2:$E$11,MATCH(D1704,Lojas!$A$2:$A$11,0))</f>
        <v>Sul</v>
      </c>
      <c r="F1704" s="2" t="s">
        <v>262</v>
      </c>
      <c r="G1704" s="3" t="str">
        <f aca="false">INDEX(Produtos!$B$2:$B$11,MATCH(F1704,Produtos!$A$2:$A$11,0))&amp;" "&amp;INDEX(Produtos!$C$2:$C$11,MATCH(F1704,Produtos!$A$2:$A$11,0))</f>
        <v>Fone de Ouvido De Celular</v>
      </c>
      <c r="H1704" s="2" t="n">
        <v>1</v>
      </c>
      <c r="I1704" s="5" t="n">
        <f aca="false">INDEX(Produtos!$D$2:$D$11,MATCH(F1704,Produtos!$A$2:$A$11,0))</f>
        <v>59.9</v>
      </c>
      <c r="J1704" s="5" t="n">
        <f aca="false">H1704*I1704</f>
        <v>59.9</v>
      </c>
      <c r="K1704" s="5" t="n">
        <f aca="false">INDEX(Produtos!$E$2:$E$11,MATCH(F1704,Produtos!$A$2:$A$11,0))</f>
        <v>28</v>
      </c>
      <c r="L1704" s="5" t="n">
        <f aca="false">H1704*K1704</f>
        <v>28</v>
      </c>
    </row>
    <row r="1705" customFormat="false" ht="15" hidden="false" customHeight="false" outlineLevel="0" collapsed="false">
      <c r="A1705" s="2" t="s">
        <v>1987</v>
      </c>
      <c r="B1705" s="8" t="n">
        <v>46167</v>
      </c>
      <c r="C1705" s="2" t="s">
        <v>64</v>
      </c>
      <c r="D1705" s="3" t="str">
        <f aca="false">INDEX(Vendedores!$C$2:$C$101,MATCH(C1705,Vendedores!$A$2:$A$101,0))</f>
        <v>L01</v>
      </c>
      <c r="E1705" s="3" t="str">
        <f aca="false">INDEX(Lojas!$E$2:$E$11,MATCH(D1705,Lojas!$A$2:$A$11,0))</f>
        <v>Sudeste</v>
      </c>
      <c r="F1705" s="2" t="s">
        <v>252</v>
      </c>
      <c r="G1705" s="3" t="str">
        <f aca="false">INDEX(Produtos!$B$2:$B$11,MATCH(F1705,Produtos!$A$2:$A$11,0))&amp;" "&amp;INDEX(Produtos!$C$2:$C$11,MATCH(F1705,Produtos!$A$2:$A$11,0))</f>
        <v>Notebook Lenovo</v>
      </c>
      <c r="H1705" s="2" t="n">
        <v>3</v>
      </c>
      <c r="I1705" s="5" t="n">
        <f aca="false">INDEX(Produtos!$D$2:$D$11,MATCH(F1705,Produtos!$A$2:$A$11,0))</f>
        <v>3199</v>
      </c>
      <c r="J1705" s="5" t="n">
        <f aca="false">H1705*I1705</f>
        <v>9597</v>
      </c>
      <c r="K1705" s="5" t="n">
        <f aca="false">INDEX(Produtos!$E$2:$E$11,MATCH(F1705,Produtos!$A$2:$A$11,0))</f>
        <v>2350</v>
      </c>
      <c r="L1705" s="5" t="n">
        <f aca="false">H1705*K1705</f>
        <v>7050</v>
      </c>
    </row>
    <row r="1706" customFormat="false" ht="15" hidden="false" customHeight="false" outlineLevel="0" collapsed="false">
      <c r="A1706" s="2" t="s">
        <v>1988</v>
      </c>
      <c r="B1706" s="8" t="n">
        <v>46167</v>
      </c>
      <c r="C1706" s="2" t="s">
        <v>92</v>
      </c>
      <c r="D1706" s="3" t="str">
        <f aca="false">INDEX(Vendedores!$C$2:$C$101,MATCH(C1706,Vendedores!$A$2:$A$101,0))</f>
        <v>L03</v>
      </c>
      <c r="E1706" s="3" t="str">
        <f aca="false">INDEX(Lojas!$E$2:$E$11,MATCH(D1706,Lojas!$A$2:$A$11,0))</f>
        <v>Sudeste</v>
      </c>
      <c r="F1706" s="2" t="s">
        <v>267</v>
      </c>
      <c r="G1706" s="3" t="str">
        <f aca="false">INDEX(Produtos!$B$2:$B$11,MATCH(F1706,Produtos!$A$2:$A$11,0))&amp;" "&amp;INDEX(Produtos!$C$2:$C$11,MATCH(F1706,Produtos!$A$2:$A$11,0))</f>
        <v>Carregador de Celular Tipo C</v>
      </c>
      <c r="H1706" s="2" t="n">
        <v>2</v>
      </c>
      <c r="I1706" s="5" t="n">
        <f aca="false">INDEX(Produtos!$D$2:$D$11,MATCH(F1706,Produtos!$A$2:$A$11,0))</f>
        <v>44.9</v>
      </c>
      <c r="J1706" s="5" t="n">
        <f aca="false">H1706*I1706</f>
        <v>89.8</v>
      </c>
      <c r="K1706" s="5" t="n">
        <f aca="false">INDEX(Produtos!$E$2:$E$11,MATCH(F1706,Produtos!$A$2:$A$11,0))</f>
        <v>18</v>
      </c>
      <c r="L1706" s="5" t="n">
        <f aca="false">H1706*K1706</f>
        <v>36</v>
      </c>
    </row>
    <row r="1707" customFormat="false" ht="15" hidden="false" customHeight="false" outlineLevel="0" collapsed="false">
      <c r="A1707" s="2" t="s">
        <v>1989</v>
      </c>
      <c r="B1707" s="8" t="n">
        <v>46167</v>
      </c>
      <c r="C1707" s="2" t="s">
        <v>108</v>
      </c>
      <c r="D1707" s="3" t="str">
        <f aca="false">INDEX(Vendedores!$C$2:$C$101,MATCH(C1707,Vendedores!$A$2:$A$101,0))</f>
        <v>L03</v>
      </c>
      <c r="E1707" s="3" t="str">
        <f aca="false">INDEX(Lojas!$E$2:$E$11,MATCH(D1707,Lojas!$A$2:$A$11,0))</f>
        <v>Sudeste</v>
      </c>
      <c r="F1707" s="2" t="s">
        <v>257</v>
      </c>
      <c r="G1707" s="3" t="str">
        <f aca="false">INDEX(Produtos!$B$2:$B$11,MATCH(F1707,Produtos!$A$2:$A$11,0))&amp;" "&amp;INDEX(Produtos!$C$2:$C$11,MATCH(F1707,Produtos!$A$2:$A$11,0))</f>
        <v>Celular Samsung</v>
      </c>
      <c r="H1707" s="2" t="n">
        <v>1</v>
      </c>
      <c r="I1707" s="5" t="n">
        <f aca="false">INDEX(Produtos!$D$2:$D$11,MATCH(F1707,Produtos!$A$2:$A$11,0))</f>
        <v>2499</v>
      </c>
      <c r="J1707" s="5" t="n">
        <f aca="false">H1707*I1707</f>
        <v>2499</v>
      </c>
      <c r="K1707" s="5" t="n">
        <f aca="false">INDEX(Produtos!$E$2:$E$11,MATCH(F1707,Produtos!$A$2:$A$11,0))</f>
        <v>1800</v>
      </c>
      <c r="L1707" s="5" t="n">
        <f aca="false">H1707*K1707</f>
        <v>1800</v>
      </c>
    </row>
    <row r="1708" customFormat="false" ht="15" hidden="false" customHeight="false" outlineLevel="0" collapsed="false">
      <c r="A1708" s="2" t="s">
        <v>1990</v>
      </c>
      <c r="B1708" s="8" t="n">
        <v>46167</v>
      </c>
      <c r="C1708" s="2" t="s">
        <v>116</v>
      </c>
      <c r="D1708" s="3" t="str">
        <f aca="false">INDEX(Vendedores!$C$2:$C$101,MATCH(C1708,Vendedores!$A$2:$A$101,0))</f>
        <v>L04</v>
      </c>
      <c r="E1708" s="3" t="str">
        <f aca="false">INDEX(Lojas!$E$2:$E$11,MATCH(D1708,Lojas!$A$2:$A$11,0))</f>
        <v>Sudeste</v>
      </c>
      <c r="F1708" s="2" t="s">
        <v>260</v>
      </c>
      <c r="G1708" s="3" t="str">
        <f aca="false">INDEX(Produtos!$B$2:$B$11,MATCH(F1708,Produtos!$A$2:$A$11,0))&amp;" "&amp;INDEX(Produtos!$C$2:$C$11,MATCH(F1708,Produtos!$A$2:$A$11,0))</f>
        <v>Celular Motorola</v>
      </c>
      <c r="H1708" s="2" t="n">
        <v>1</v>
      </c>
      <c r="I1708" s="5" t="n">
        <f aca="false">INDEX(Produtos!$D$2:$D$11,MATCH(F1708,Produtos!$A$2:$A$11,0))</f>
        <v>1799</v>
      </c>
      <c r="J1708" s="5" t="n">
        <f aca="false">H1708*I1708</f>
        <v>1799</v>
      </c>
      <c r="K1708" s="5" t="n">
        <f aca="false">INDEX(Produtos!$E$2:$E$11,MATCH(F1708,Produtos!$A$2:$A$11,0))</f>
        <v>1250</v>
      </c>
      <c r="L1708" s="5" t="n">
        <f aca="false">H1708*K1708</f>
        <v>1250</v>
      </c>
    </row>
    <row r="1709" customFormat="false" ht="15" hidden="false" customHeight="false" outlineLevel="0" collapsed="false">
      <c r="A1709" s="2" t="s">
        <v>1991</v>
      </c>
      <c r="B1709" s="8" t="n">
        <v>46167</v>
      </c>
      <c r="C1709" s="2" t="s">
        <v>209</v>
      </c>
      <c r="D1709" s="3" t="str">
        <f aca="false">INDEX(Vendedores!$C$2:$C$101,MATCH(C1709,Vendedores!$A$2:$A$101,0))</f>
        <v>L09</v>
      </c>
      <c r="E1709" s="3" t="str">
        <f aca="false">INDEX(Lojas!$E$2:$E$11,MATCH(D1709,Lojas!$A$2:$A$11,0))</f>
        <v>Nordeste</v>
      </c>
      <c r="F1709" s="2" t="s">
        <v>267</v>
      </c>
      <c r="G1709" s="3" t="str">
        <f aca="false">INDEX(Produtos!$B$2:$B$11,MATCH(F1709,Produtos!$A$2:$A$11,0))&amp;" "&amp;INDEX(Produtos!$C$2:$C$11,MATCH(F1709,Produtos!$A$2:$A$11,0))</f>
        <v>Carregador de Celular Tipo C</v>
      </c>
      <c r="H1709" s="2" t="n">
        <v>1</v>
      </c>
      <c r="I1709" s="5" t="n">
        <f aca="false">INDEX(Produtos!$D$2:$D$11,MATCH(F1709,Produtos!$A$2:$A$11,0))</f>
        <v>44.9</v>
      </c>
      <c r="J1709" s="5" t="n">
        <f aca="false">H1709*I1709</f>
        <v>44.9</v>
      </c>
      <c r="K1709" s="5" t="n">
        <f aca="false">INDEX(Produtos!$E$2:$E$11,MATCH(F1709,Produtos!$A$2:$A$11,0))</f>
        <v>18</v>
      </c>
      <c r="L1709" s="5" t="n">
        <f aca="false">H1709*K1709</f>
        <v>18</v>
      </c>
    </row>
    <row r="1710" customFormat="false" ht="15" hidden="false" customHeight="false" outlineLevel="0" collapsed="false">
      <c r="A1710" s="2" t="s">
        <v>1992</v>
      </c>
      <c r="B1710" s="8" t="n">
        <v>46167</v>
      </c>
      <c r="C1710" s="2" t="s">
        <v>133</v>
      </c>
      <c r="D1710" s="3" t="str">
        <f aca="false">INDEX(Vendedores!$C$2:$C$101,MATCH(C1710,Vendedores!$A$2:$A$101,0))</f>
        <v>L05</v>
      </c>
      <c r="E1710" s="3" t="str">
        <f aca="false">INDEX(Lojas!$E$2:$E$11,MATCH(D1710,Lojas!$A$2:$A$11,0))</f>
        <v>Sul</v>
      </c>
      <c r="F1710" s="2" t="s">
        <v>257</v>
      </c>
      <c r="G1710" s="3" t="str">
        <f aca="false">INDEX(Produtos!$B$2:$B$11,MATCH(F1710,Produtos!$A$2:$A$11,0))&amp;" "&amp;INDEX(Produtos!$C$2:$C$11,MATCH(F1710,Produtos!$A$2:$A$11,0))</f>
        <v>Celular Samsung</v>
      </c>
      <c r="H1710" s="2" t="n">
        <v>1</v>
      </c>
      <c r="I1710" s="5" t="n">
        <f aca="false">INDEX(Produtos!$D$2:$D$11,MATCH(F1710,Produtos!$A$2:$A$11,0))</f>
        <v>2499</v>
      </c>
      <c r="J1710" s="5" t="n">
        <f aca="false">H1710*I1710</f>
        <v>2499</v>
      </c>
      <c r="K1710" s="5" t="n">
        <f aca="false">INDEX(Produtos!$E$2:$E$11,MATCH(F1710,Produtos!$A$2:$A$11,0))</f>
        <v>1800</v>
      </c>
      <c r="L1710" s="5" t="n">
        <f aca="false">H1710*K1710</f>
        <v>1800</v>
      </c>
    </row>
    <row r="1711" customFormat="false" ht="15" hidden="false" customHeight="false" outlineLevel="0" collapsed="false">
      <c r="A1711" s="2" t="s">
        <v>1993</v>
      </c>
      <c r="B1711" s="8" t="n">
        <v>46167</v>
      </c>
      <c r="C1711" s="2" t="s">
        <v>205</v>
      </c>
      <c r="D1711" s="3" t="str">
        <f aca="false">INDEX(Vendedores!$C$2:$C$101,MATCH(C1711,Vendedores!$A$2:$A$101,0))</f>
        <v>L09</v>
      </c>
      <c r="E1711" s="3" t="str">
        <f aca="false">INDEX(Lojas!$E$2:$E$11,MATCH(D1711,Lojas!$A$2:$A$11,0))</f>
        <v>Nordeste</v>
      </c>
      <c r="F1711" s="2" t="s">
        <v>260</v>
      </c>
      <c r="G1711" s="3" t="str">
        <f aca="false">INDEX(Produtos!$B$2:$B$11,MATCH(F1711,Produtos!$A$2:$A$11,0))&amp;" "&amp;INDEX(Produtos!$C$2:$C$11,MATCH(F1711,Produtos!$A$2:$A$11,0))</f>
        <v>Celular Motorola</v>
      </c>
      <c r="H1711" s="2" t="n">
        <v>3</v>
      </c>
      <c r="I1711" s="5" t="n">
        <f aca="false">INDEX(Produtos!$D$2:$D$11,MATCH(F1711,Produtos!$A$2:$A$11,0))</f>
        <v>1799</v>
      </c>
      <c r="J1711" s="5" t="n">
        <f aca="false">H1711*I1711</f>
        <v>5397</v>
      </c>
      <c r="K1711" s="5" t="n">
        <f aca="false">INDEX(Produtos!$E$2:$E$11,MATCH(F1711,Produtos!$A$2:$A$11,0))</f>
        <v>1250</v>
      </c>
      <c r="L1711" s="5" t="n">
        <f aca="false">H1711*K1711</f>
        <v>3750</v>
      </c>
    </row>
    <row r="1712" customFormat="false" ht="15" hidden="false" customHeight="false" outlineLevel="0" collapsed="false">
      <c r="A1712" s="2" t="s">
        <v>1994</v>
      </c>
      <c r="B1712" s="8" t="n">
        <v>46167</v>
      </c>
      <c r="C1712" s="2" t="s">
        <v>142</v>
      </c>
      <c r="D1712" s="3" t="str">
        <f aca="false">INDEX(Vendedores!$C$2:$C$101,MATCH(C1712,Vendedores!$A$2:$A$101,0))</f>
        <v>L05</v>
      </c>
      <c r="E1712" s="3" t="str">
        <f aca="false">INDEX(Lojas!$E$2:$E$11,MATCH(D1712,Lojas!$A$2:$A$11,0))</f>
        <v>Sul</v>
      </c>
      <c r="F1712" s="2" t="s">
        <v>267</v>
      </c>
      <c r="G1712" s="3" t="str">
        <f aca="false">INDEX(Produtos!$B$2:$B$11,MATCH(F1712,Produtos!$A$2:$A$11,0))&amp;" "&amp;INDEX(Produtos!$C$2:$C$11,MATCH(F1712,Produtos!$A$2:$A$11,0))</f>
        <v>Carregador de Celular Tipo C</v>
      </c>
      <c r="H1712" s="2" t="n">
        <v>1</v>
      </c>
      <c r="I1712" s="5" t="n">
        <f aca="false">INDEX(Produtos!$D$2:$D$11,MATCH(F1712,Produtos!$A$2:$A$11,0))</f>
        <v>44.9</v>
      </c>
      <c r="J1712" s="5" t="n">
        <f aca="false">H1712*I1712</f>
        <v>44.9</v>
      </c>
      <c r="K1712" s="5" t="n">
        <f aca="false">INDEX(Produtos!$E$2:$E$11,MATCH(F1712,Produtos!$A$2:$A$11,0))</f>
        <v>18</v>
      </c>
      <c r="L1712" s="5" t="n">
        <f aca="false">H1712*K1712</f>
        <v>18</v>
      </c>
    </row>
    <row r="1713" customFormat="false" ht="15" hidden="false" customHeight="false" outlineLevel="0" collapsed="false">
      <c r="A1713" s="2" t="s">
        <v>1995</v>
      </c>
      <c r="B1713" s="8" t="n">
        <v>46167</v>
      </c>
      <c r="C1713" s="2" t="s">
        <v>243</v>
      </c>
      <c r="D1713" s="3" t="str">
        <f aca="false">INDEX(Vendedores!$C$2:$C$101,MATCH(C1713,Vendedores!$A$2:$A$101,0))</f>
        <v>L10</v>
      </c>
      <c r="E1713" s="3" t="str">
        <f aca="false">INDEX(Lojas!$E$2:$E$11,MATCH(D1713,Lojas!$A$2:$A$11,0))</f>
        <v>Nordeste</v>
      </c>
      <c r="F1713" s="2" t="s">
        <v>273</v>
      </c>
      <c r="G1713" s="3" t="str">
        <f aca="false">INDEX(Produtos!$B$2:$B$11,MATCH(F1713,Produtos!$A$2:$A$11,0))&amp;" "&amp;INDEX(Produtos!$C$2:$C$11,MATCH(F1713,Produtos!$A$2:$A$11,0))</f>
        <v>Controle de Videogame PS4</v>
      </c>
      <c r="H1713" s="2" t="n">
        <v>2</v>
      </c>
      <c r="I1713" s="5" t="n">
        <f aca="false">INDEX(Produtos!$D$2:$D$11,MATCH(F1713,Produtos!$A$2:$A$11,0))</f>
        <v>299.9</v>
      </c>
      <c r="J1713" s="5" t="n">
        <f aca="false">H1713*I1713</f>
        <v>599.8</v>
      </c>
      <c r="K1713" s="5" t="n">
        <f aca="false">INDEX(Produtos!$E$2:$E$11,MATCH(F1713,Produtos!$A$2:$A$11,0))</f>
        <v>175</v>
      </c>
      <c r="L1713" s="5" t="n">
        <f aca="false">H1713*K1713</f>
        <v>350</v>
      </c>
    </row>
    <row r="1714" customFormat="false" ht="15" hidden="false" customHeight="false" outlineLevel="0" collapsed="false">
      <c r="A1714" s="2" t="s">
        <v>1996</v>
      </c>
      <c r="B1714" s="8" t="n">
        <v>46167</v>
      </c>
      <c r="C1714" s="2" t="s">
        <v>68</v>
      </c>
      <c r="D1714" s="3" t="str">
        <f aca="false">INDEX(Vendedores!$C$2:$C$101,MATCH(C1714,Vendedores!$A$2:$A$101,0))</f>
        <v>L01</v>
      </c>
      <c r="E1714" s="3" t="str">
        <f aca="false">INDEX(Lojas!$E$2:$E$11,MATCH(D1714,Lojas!$A$2:$A$11,0))</f>
        <v>Sudeste</v>
      </c>
      <c r="F1714" s="2" t="s">
        <v>255</v>
      </c>
      <c r="G1714" s="3" t="str">
        <f aca="false">INDEX(Produtos!$B$2:$B$11,MATCH(F1714,Produtos!$A$2:$A$11,0))&amp;" "&amp;INDEX(Produtos!$C$2:$C$11,MATCH(F1714,Produtos!$A$2:$A$11,0))</f>
        <v>Notebook Positivo</v>
      </c>
      <c r="H1714" s="2" t="n">
        <v>1</v>
      </c>
      <c r="I1714" s="5" t="n">
        <f aca="false">INDEX(Produtos!$D$2:$D$11,MATCH(F1714,Produtos!$A$2:$A$11,0))</f>
        <v>2199</v>
      </c>
      <c r="J1714" s="5" t="n">
        <f aca="false">H1714*I1714</f>
        <v>2199</v>
      </c>
      <c r="K1714" s="5" t="n">
        <f aca="false">INDEX(Produtos!$E$2:$E$11,MATCH(F1714,Produtos!$A$2:$A$11,0))</f>
        <v>1550</v>
      </c>
      <c r="L1714" s="5" t="n">
        <f aca="false">H1714*K1714</f>
        <v>1550</v>
      </c>
    </row>
    <row r="1715" customFormat="false" ht="15" hidden="false" customHeight="false" outlineLevel="0" collapsed="false">
      <c r="A1715" s="2" t="s">
        <v>1997</v>
      </c>
      <c r="B1715" s="8" t="n">
        <v>46167</v>
      </c>
      <c r="C1715" s="2" t="s">
        <v>162</v>
      </c>
      <c r="D1715" s="3" t="str">
        <f aca="false">INDEX(Vendedores!$C$2:$C$101,MATCH(C1715,Vendedores!$A$2:$A$101,0))</f>
        <v>L06</v>
      </c>
      <c r="E1715" s="3" t="str">
        <f aca="false">INDEX(Lojas!$E$2:$E$11,MATCH(D1715,Lojas!$A$2:$A$11,0))</f>
        <v>Sul</v>
      </c>
      <c r="F1715" s="2" t="s">
        <v>260</v>
      </c>
      <c r="G1715" s="3" t="str">
        <f aca="false">INDEX(Produtos!$B$2:$B$11,MATCH(F1715,Produtos!$A$2:$A$11,0))&amp;" "&amp;INDEX(Produtos!$C$2:$C$11,MATCH(F1715,Produtos!$A$2:$A$11,0))</f>
        <v>Celular Motorola</v>
      </c>
      <c r="H1715" s="2" t="n">
        <v>1</v>
      </c>
      <c r="I1715" s="5" t="n">
        <f aca="false">INDEX(Produtos!$D$2:$D$11,MATCH(F1715,Produtos!$A$2:$A$11,0))</f>
        <v>1799</v>
      </c>
      <c r="J1715" s="5" t="n">
        <f aca="false">H1715*I1715</f>
        <v>1799</v>
      </c>
      <c r="K1715" s="5" t="n">
        <f aca="false">INDEX(Produtos!$E$2:$E$11,MATCH(F1715,Produtos!$A$2:$A$11,0))</f>
        <v>1250</v>
      </c>
      <c r="L1715" s="5" t="n">
        <f aca="false">H1715*K1715</f>
        <v>1250</v>
      </c>
    </row>
    <row r="1716" customFormat="false" ht="15" hidden="false" customHeight="false" outlineLevel="0" collapsed="false">
      <c r="A1716" s="2" t="s">
        <v>1998</v>
      </c>
      <c r="B1716" s="8" t="n">
        <v>46167</v>
      </c>
      <c r="C1716" s="2" t="s">
        <v>137</v>
      </c>
      <c r="D1716" s="3" t="str">
        <f aca="false">INDEX(Vendedores!$C$2:$C$101,MATCH(C1716,Vendedores!$A$2:$A$101,0))</f>
        <v>L05</v>
      </c>
      <c r="E1716" s="3" t="str">
        <f aca="false">INDEX(Lojas!$E$2:$E$11,MATCH(D1716,Lojas!$A$2:$A$11,0))</f>
        <v>Sul</v>
      </c>
      <c r="F1716" s="2" t="s">
        <v>262</v>
      </c>
      <c r="G1716" s="3" t="str">
        <f aca="false">INDEX(Produtos!$B$2:$B$11,MATCH(F1716,Produtos!$A$2:$A$11,0))&amp;" "&amp;INDEX(Produtos!$C$2:$C$11,MATCH(F1716,Produtos!$A$2:$A$11,0))</f>
        <v>Fone de Ouvido De Celular</v>
      </c>
      <c r="H1716" s="2" t="n">
        <v>3</v>
      </c>
      <c r="I1716" s="5" t="n">
        <f aca="false">INDEX(Produtos!$D$2:$D$11,MATCH(F1716,Produtos!$A$2:$A$11,0))</f>
        <v>59.9</v>
      </c>
      <c r="J1716" s="5" t="n">
        <f aca="false">H1716*I1716</f>
        <v>179.7</v>
      </c>
      <c r="K1716" s="5" t="n">
        <f aca="false">INDEX(Produtos!$E$2:$E$11,MATCH(F1716,Produtos!$A$2:$A$11,0))</f>
        <v>28</v>
      </c>
      <c r="L1716" s="5" t="n">
        <f aca="false">H1716*K1716</f>
        <v>84</v>
      </c>
    </row>
    <row r="1717" customFormat="false" ht="15" hidden="false" customHeight="false" outlineLevel="0" collapsed="false">
      <c r="A1717" s="2" t="s">
        <v>1999</v>
      </c>
      <c r="B1717" s="8" t="n">
        <v>46167</v>
      </c>
      <c r="C1717" s="2" t="s">
        <v>68</v>
      </c>
      <c r="D1717" s="3" t="str">
        <f aca="false">INDEX(Vendedores!$C$2:$C$101,MATCH(C1717,Vendedores!$A$2:$A$101,0))</f>
        <v>L01</v>
      </c>
      <c r="E1717" s="3" t="str">
        <f aca="false">INDEX(Lojas!$E$2:$E$11,MATCH(D1717,Lojas!$A$2:$A$11,0))</f>
        <v>Sudeste</v>
      </c>
      <c r="F1717" s="2" t="s">
        <v>252</v>
      </c>
      <c r="G1717" s="3" t="str">
        <f aca="false">INDEX(Produtos!$B$2:$B$11,MATCH(F1717,Produtos!$A$2:$A$11,0))&amp;" "&amp;INDEX(Produtos!$C$2:$C$11,MATCH(F1717,Produtos!$A$2:$A$11,0))</f>
        <v>Notebook Lenovo</v>
      </c>
      <c r="H1717" s="2" t="n">
        <v>3</v>
      </c>
      <c r="I1717" s="5" t="n">
        <f aca="false">INDEX(Produtos!$D$2:$D$11,MATCH(F1717,Produtos!$A$2:$A$11,0))</f>
        <v>3199</v>
      </c>
      <c r="J1717" s="5" t="n">
        <f aca="false">H1717*I1717</f>
        <v>9597</v>
      </c>
      <c r="K1717" s="5" t="n">
        <f aca="false">INDEX(Produtos!$E$2:$E$11,MATCH(F1717,Produtos!$A$2:$A$11,0))</f>
        <v>2350</v>
      </c>
      <c r="L1717" s="5" t="n">
        <f aca="false">H1717*K1717</f>
        <v>7050</v>
      </c>
    </row>
    <row r="1718" customFormat="false" ht="15" hidden="false" customHeight="false" outlineLevel="0" collapsed="false">
      <c r="A1718" s="2" t="s">
        <v>2000</v>
      </c>
      <c r="B1718" s="8" t="n">
        <v>46168</v>
      </c>
      <c r="C1718" s="2" t="s">
        <v>82</v>
      </c>
      <c r="D1718" s="3" t="str">
        <f aca="false">INDEX(Vendedores!$C$2:$C$101,MATCH(C1718,Vendedores!$A$2:$A$101,0))</f>
        <v>L02</v>
      </c>
      <c r="E1718" s="3" t="str">
        <f aca="false">INDEX(Lojas!$E$2:$E$11,MATCH(D1718,Lojas!$A$2:$A$11,0))</f>
        <v>Sudeste</v>
      </c>
      <c r="F1718" s="2" t="s">
        <v>275</v>
      </c>
      <c r="G1718" s="3" t="str">
        <f aca="false">INDEX(Produtos!$B$2:$B$11,MATCH(F1718,Produtos!$A$2:$A$11,0))&amp;" "&amp;INDEX(Produtos!$C$2:$C$11,MATCH(F1718,Produtos!$A$2:$A$11,0))</f>
        <v>Controle de Videogame PS5</v>
      </c>
      <c r="H1718" s="2" t="n">
        <v>2</v>
      </c>
      <c r="I1718" s="5" t="n">
        <f aca="false">INDEX(Produtos!$D$2:$D$11,MATCH(F1718,Produtos!$A$2:$A$11,0))</f>
        <v>379.9</v>
      </c>
      <c r="J1718" s="5" t="n">
        <f aca="false">H1718*I1718</f>
        <v>759.8</v>
      </c>
      <c r="K1718" s="5" t="n">
        <f aca="false">INDEX(Produtos!$E$2:$E$11,MATCH(F1718,Produtos!$A$2:$A$11,0))</f>
        <v>235</v>
      </c>
      <c r="L1718" s="5" t="n">
        <f aca="false">H1718*K1718</f>
        <v>470</v>
      </c>
    </row>
    <row r="1719" customFormat="false" ht="15" hidden="false" customHeight="false" outlineLevel="0" collapsed="false">
      <c r="A1719" s="2" t="s">
        <v>2001</v>
      </c>
      <c r="B1719" s="8" t="n">
        <v>46168</v>
      </c>
      <c r="C1719" s="2" t="s">
        <v>54</v>
      </c>
      <c r="D1719" s="3" t="str">
        <f aca="false">INDEX(Vendedores!$C$2:$C$101,MATCH(C1719,Vendedores!$A$2:$A$101,0))</f>
        <v>L01</v>
      </c>
      <c r="E1719" s="3" t="str">
        <f aca="false">INDEX(Lojas!$E$2:$E$11,MATCH(D1719,Lojas!$A$2:$A$11,0))</f>
        <v>Sudeste</v>
      </c>
      <c r="F1719" s="2" t="s">
        <v>270</v>
      </c>
      <c r="G1719" s="3" t="str">
        <f aca="false">INDEX(Produtos!$B$2:$B$11,MATCH(F1719,Produtos!$A$2:$A$11,0))&amp;" "&amp;INDEX(Produtos!$C$2:$C$11,MATCH(F1719,Produtos!$A$2:$A$11,0))</f>
        <v>Controle de Videogame Xbox</v>
      </c>
      <c r="H1719" s="2" t="n">
        <v>1</v>
      </c>
      <c r="I1719" s="5" t="n">
        <f aca="false">INDEX(Produtos!$D$2:$D$11,MATCH(F1719,Produtos!$A$2:$A$11,0))</f>
        <v>349.9</v>
      </c>
      <c r="J1719" s="5" t="n">
        <f aca="false">H1719*I1719</f>
        <v>349.9</v>
      </c>
      <c r="K1719" s="5" t="n">
        <f aca="false">INDEX(Produtos!$E$2:$E$11,MATCH(F1719,Produtos!$A$2:$A$11,0))</f>
        <v>215</v>
      </c>
      <c r="L1719" s="5" t="n">
        <f aca="false">H1719*K1719</f>
        <v>215</v>
      </c>
    </row>
    <row r="1720" customFormat="false" ht="15" hidden="false" customHeight="false" outlineLevel="0" collapsed="false">
      <c r="A1720" s="2" t="s">
        <v>2002</v>
      </c>
      <c r="B1720" s="8" t="n">
        <v>46168</v>
      </c>
      <c r="C1720" s="2" t="s">
        <v>178</v>
      </c>
      <c r="D1720" s="3" t="str">
        <f aca="false">INDEX(Vendedores!$C$2:$C$101,MATCH(C1720,Vendedores!$A$2:$A$101,0))</f>
        <v>L07</v>
      </c>
      <c r="E1720" s="3" t="str">
        <f aca="false">INDEX(Lojas!$E$2:$E$11,MATCH(D1720,Lojas!$A$2:$A$11,0))</f>
        <v>Sul</v>
      </c>
      <c r="F1720" s="2" t="s">
        <v>262</v>
      </c>
      <c r="G1720" s="3" t="str">
        <f aca="false">INDEX(Produtos!$B$2:$B$11,MATCH(F1720,Produtos!$A$2:$A$11,0))&amp;" "&amp;INDEX(Produtos!$C$2:$C$11,MATCH(F1720,Produtos!$A$2:$A$11,0))</f>
        <v>Fone de Ouvido De Celular</v>
      </c>
      <c r="H1720" s="2" t="n">
        <v>1</v>
      </c>
      <c r="I1720" s="5" t="n">
        <f aca="false">INDEX(Produtos!$D$2:$D$11,MATCH(F1720,Produtos!$A$2:$A$11,0))</f>
        <v>59.9</v>
      </c>
      <c r="J1720" s="5" t="n">
        <f aca="false">H1720*I1720</f>
        <v>59.9</v>
      </c>
      <c r="K1720" s="5" t="n">
        <f aca="false">INDEX(Produtos!$E$2:$E$11,MATCH(F1720,Produtos!$A$2:$A$11,0))</f>
        <v>28</v>
      </c>
      <c r="L1720" s="5" t="n">
        <f aca="false">H1720*K1720</f>
        <v>28</v>
      </c>
    </row>
    <row r="1721" customFormat="false" ht="15" hidden="false" customHeight="false" outlineLevel="0" collapsed="false">
      <c r="A1721" s="2" t="s">
        <v>2003</v>
      </c>
      <c r="B1721" s="8" t="n">
        <v>46168</v>
      </c>
      <c r="C1721" s="2" t="s">
        <v>98</v>
      </c>
      <c r="D1721" s="3" t="str">
        <f aca="false">INDEX(Vendedores!$C$2:$C$101,MATCH(C1721,Vendedores!$A$2:$A$101,0))</f>
        <v>L03</v>
      </c>
      <c r="E1721" s="3" t="str">
        <f aca="false">INDEX(Lojas!$E$2:$E$11,MATCH(D1721,Lojas!$A$2:$A$11,0))</f>
        <v>Sudeste</v>
      </c>
      <c r="F1721" s="2" t="s">
        <v>257</v>
      </c>
      <c r="G1721" s="3" t="str">
        <f aca="false">INDEX(Produtos!$B$2:$B$11,MATCH(F1721,Produtos!$A$2:$A$11,0))&amp;" "&amp;INDEX(Produtos!$C$2:$C$11,MATCH(F1721,Produtos!$A$2:$A$11,0))</f>
        <v>Celular Samsung</v>
      </c>
      <c r="H1721" s="2" t="n">
        <v>1</v>
      </c>
      <c r="I1721" s="5" t="n">
        <f aca="false">INDEX(Produtos!$D$2:$D$11,MATCH(F1721,Produtos!$A$2:$A$11,0))</f>
        <v>2499</v>
      </c>
      <c r="J1721" s="5" t="n">
        <f aca="false">H1721*I1721</f>
        <v>2499</v>
      </c>
      <c r="K1721" s="5" t="n">
        <f aca="false">INDEX(Produtos!$E$2:$E$11,MATCH(F1721,Produtos!$A$2:$A$11,0))</f>
        <v>1800</v>
      </c>
      <c r="L1721" s="5" t="n">
        <f aca="false">H1721*K1721</f>
        <v>1800</v>
      </c>
    </row>
    <row r="1722" customFormat="false" ht="15" hidden="false" customHeight="false" outlineLevel="0" collapsed="false">
      <c r="A1722" s="2" t="s">
        <v>2004</v>
      </c>
      <c r="B1722" s="8" t="n">
        <v>46168</v>
      </c>
      <c r="C1722" s="2" t="s">
        <v>108</v>
      </c>
      <c r="D1722" s="3" t="str">
        <f aca="false">INDEX(Vendedores!$C$2:$C$101,MATCH(C1722,Vendedores!$A$2:$A$101,0))</f>
        <v>L03</v>
      </c>
      <c r="E1722" s="3" t="str">
        <f aca="false">INDEX(Lojas!$E$2:$E$11,MATCH(D1722,Lojas!$A$2:$A$11,0))</f>
        <v>Sudeste</v>
      </c>
      <c r="F1722" s="2" t="s">
        <v>252</v>
      </c>
      <c r="G1722" s="3" t="str">
        <f aca="false">INDEX(Produtos!$B$2:$B$11,MATCH(F1722,Produtos!$A$2:$A$11,0))&amp;" "&amp;INDEX(Produtos!$C$2:$C$11,MATCH(F1722,Produtos!$A$2:$A$11,0))</f>
        <v>Notebook Lenovo</v>
      </c>
      <c r="H1722" s="2" t="n">
        <v>1</v>
      </c>
      <c r="I1722" s="5" t="n">
        <f aca="false">INDEX(Produtos!$D$2:$D$11,MATCH(F1722,Produtos!$A$2:$A$11,0))</f>
        <v>3199</v>
      </c>
      <c r="J1722" s="5" t="n">
        <f aca="false">H1722*I1722</f>
        <v>3199</v>
      </c>
      <c r="K1722" s="5" t="n">
        <f aca="false">INDEX(Produtos!$E$2:$E$11,MATCH(F1722,Produtos!$A$2:$A$11,0))</f>
        <v>2350</v>
      </c>
      <c r="L1722" s="5" t="n">
        <f aca="false">H1722*K1722</f>
        <v>2350</v>
      </c>
    </row>
    <row r="1723" customFormat="false" ht="15" hidden="false" customHeight="false" outlineLevel="0" collapsed="false">
      <c r="A1723" s="2" t="s">
        <v>2005</v>
      </c>
      <c r="B1723" s="8" t="n">
        <v>46168</v>
      </c>
      <c r="C1723" s="2" t="s">
        <v>197</v>
      </c>
      <c r="D1723" s="3" t="str">
        <f aca="false">INDEX(Vendedores!$C$2:$C$101,MATCH(C1723,Vendedores!$A$2:$A$101,0))</f>
        <v>L08</v>
      </c>
      <c r="E1723" s="3" t="str">
        <f aca="false">INDEX(Lojas!$E$2:$E$11,MATCH(D1723,Lojas!$A$2:$A$11,0))</f>
        <v>Nordeste</v>
      </c>
      <c r="F1723" s="2" t="s">
        <v>267</v>
      </c>
      <c r="G1723" s="3" t="str">
        <f aca="false">INDEX(Produtos!$B$2:$B$11,MATCH(F1723,Produtos!$A$2:$A$11,0))&amp;" "&amp;INDEX(Produtos!$C$2:$C$11,MATCH(F1723,Produtos!$A$2:$A$11,0))</f>
        <v>Carregador de Celular Tipo C</v>
      </c>
      <c r="H1723" s="2" t="n">
        <v>1</v>
      </c>
      <c r="I1723" s="5" t="n">
        <f aca="false">INDEX(Produtos!$D$2:$D$11,MATCH(F1723,Produtos!$A$2:$A$11,0))</f>
        <v>44.9</v>
      </c>
      <c r="J1723" s="5" t="n">
        <f aca="false">H1723*I1723</f>
        <v>44.9</v>
      </c>
      <c r="K1723" s="5" t="n">
        <f aca="false">INDEX(Produtos!$E$2:$E$11,MATCH(F1723,Produtos!$A$2:$A$11,0))</f>
        <v>18</v>
      </c>
      <c r="L1723" s="5" t="n">
        <f aca="false">H1723*K1723</f>
        <v>18</v>
      </c>
    </row>
    <row r="1724" customFormat="false" ht="15" hidden="false" customHeight="false" outlineLevel="0" collapsed="false">
      <c r="A1724" s="2" t="s">
        <v>2006</v>
      </c>
      <c r="B1724" s="8" t="n">
        <v>46168</v>
      </c>
      <c r="C1724" s="2" t="s">
        <v>174</v>
      </c>
      <c r="D1724" s="3" t="str">
        <f aca="false">INDEX(Vendedores!$C$2:$C$101,MATCH(C1724,Vendedores!$A$2:$A$101,0))</f>
        <v>L07</v>
      </c>
      <c r="E1724" s="3" t="str">
        <f aca="false">INDEX(Lojas!$E$2:$E$11,MATCH(D1724,Lojas!$A$2:$A$11,0))</f>
        <v>Sul</v>
      </c>
      <c r="F1724" s="2" t="s">
        <v>275</v>
      </c>
      <c r="G1724" s="3" t="str">
        <f aca="false">INDEX(Produtos!$B$2:$B$11,MATCH(F1724,Produtos!$A$2:$A$11,0))&amp;" "&amp;INDEX(Produtos!$C$2:$C$11,MATCH(F1724,Produtos!$A$2:$A$11,0))</f>
        <v>Controle de Videogame PS5</v>
      </c>
      <c r="H1724" s="2" t="n">
        <v>1</v>
      </c>
      <c r="I1724" s="5" t="n">
        <f aca="false">INDEX(Produtos!$D$2:$D$11,MATCH(F1724,Produtos!$A$2:$A$11,0))</f>
        <v>379.9</v>
      </c>
      <c r="J1724" s="5" t="n">
        <f aca="false">H1724*I1724</f>
        <v>379.9</v>
      </c>
      <c r="K1724" s="5" t="n">
        <f aca="false">INDEX(Produtos!$E$2:$E$11,MATCH(F1724,Produtos!$A$2:$A$11,0))</f>
        <v>235</v>
      </c>
      <c r="L1724" s="5" t="n">
        <f aca="false">H1724*K1724</f>
        <v>235</v>
      </c>
    </row>
    <row r="1725" customFormat="false" ht="15" hidden="false" customHeight="false" outlineLevel="0" collapsed="false">
      <c r="A1725" s="2" t="s">
        <v>2007</v>
      </c>
      <c r="B1725" s="8" t="n">
        <v>46168</v>
      </c>
      <c r="C1725" s="2" t="s">
        <v>58</v>
      </c>
      <c r="D1725" s="3" t="str">
        <f aca="false">INDEX(Vendedores!$C$2:$C$101,MATCH(C1725,Vendedores!$A$2:$A$101,0))</f>
        <v>L01</v>
      </c>
      <c r="E1725" s="3" t="str">
        <f aca="false">INDEX(Lojas!$E$2:$E$11,MATCH(D1725,Lojas!$A$2:$A$11,0))</f>
        <v>Sudeste</v>
      </c>
      <c r="F1725" s="2" t="s">
        <v>273</v>
      </c>
      <c r="G1725" s="3" t="str">
        <f aca="false">INDEX(Produtos!$B$2:$B$11,MATCH(F1725,Produtos!$A$2:$A$11,0))&amp;" "&amp;INDEX(Produtos!$C$2:$C$11,MATCH(F1725,Produtos!$A$2:$A$11,0))</f>
        <v>Controle de Videogame PS4</v>
      </c>
      <c r="H1725" s="2" t="n">
        <v>2</v>
      </c>
      <c r="I1725" s="5" t="n">
        <f aca="false">INDEX(Produtos!$D$2:$D$11,MATCH(F1725,Produtos!$A$2:$A$11,0))</f>
        <v>299.9</v>
      </c>
      <c r="J1725" s="5" t="n">
        <f aca="false">H1725*I1725</f>
        <v>599.8</v>
      </c>
      <c r="K1725" s="5" t="n">
        <f aca="false">INDEX(Produtos!$E$2:$E$11,MATCH(F1725,Produtos!$A$2:$A$11,0))</f>
        <v>175</v>
      </c>
      <c r="L1725" s="5" t="n">
        <f aca="false">H1725*K1725</f>
        <v>350</v>
      </c>
    </row>
    <row r="1726" customFormat="false" ht="15" hidden="false" customHeight="false" outlineLevel="0" collapsed="false">
      <c r="A1726" s="2" t="s">
        <v>2008</v>
      </c>
      <c r="B1726" s="8" t="n">
        <v>46169</v>
      </c>
      <c r="C1726" s="2" t="s">
        <v>189</v>
      </c>
      <c r="D1726" s="3" t="str">
        <f aca="false">INDEX(Vendedores!$C$2:$C$101,MATCH(C1726,Vendedores!$A$2:$A$101,0))</f>
        <v>L08</v>
      </c>
      <c r="E1726" s="3" t="str">
        <f aca="false">INDEX(Lojas!$E$2:$E$11,MATCH(D1726,Lojas!$A$2:$A$11,0))</f>
        <v>Nordeste</v>
      </c>
      <c r="F1726" s="2" t="s">
        <v>267</v>
      </c>
      <c r="G1726" s="3" t="str">
        <f aca="false">INDEX(Produtos!$B$2:$B$11,MATCH(F1726,Produtos!$A$2:$A$11,0))&amp;" "&amp;INDEX(Produtos!$C$2:$C$11,MATCH(F1726,Produtos!$A$2:$A$11,0))</f>
        <v>Carregador de Celular Tipo C</v>
      </c>
      <c r="H1726" s="2" t="n">
        <v>1</v>
      </c>
      <c r="I1726" s="5" t="n">
        <f aca="false">INDEX(Produtos!$D$2:$D$11,MATCH(F1726,Produtos!$A$2:$A$11,0))</f>
        <v>44.9</v>
      </c>
      <c r="J1726" s="5" t="n">
        <f aca="false">H1726*I1726</f>
        <v>44.9</v>
      </c>
      <c r="K1726" s="5" t="n">
        <f aca="false">INDEX(Produtos!$E$2:$E$11,MATCH(F1726,Produtos!$A$2:$A$11,0))</f>
        <v>18</v>
      </c>
      <c r="L1726" s="5" t="n">
        <f aca="false">H1726*K1726</f>
        <v>18</v>
      </c>
    </row>
    <row r="1727" customFormat="false" ht="15" hidden="false" customHeight="false" outlineLevel="0" collapsed="false">
      <c r="A1727" s="2" t="s">
        <v>2009</v>
      </c>
      <c r="B1727" s="8" t="n">
        <v>46169</v>
      </c>
      <c r="C1727" s="2" t="s">
        <v>54</v>
      </c>
      <c r="D1727" s="3" t="str">
        <f aca="false">INDEX(Vendedores!$C$2:$C$101,MATCH(C1727,Vendedores!$A$2:$A$101,0))</f>
        <v>L01</v>
      </c>
      <c r="E1727" s="3" t="str">
        <f aca="false">INDEX(Lojas!$E$2:$E$11,MATCH(D1727,Lojas!$A$2:$A$11,0))</f>
        <v>Sudeste</v>
      </c>
      <c r="F1727" s="2" t="s">
        <v>267</v>
      </c>
      <c r="G1727" s="3" t="str">
        <f aca="false">INDEX(Produtos!$B$2:$B$11,MATCH(F1727,Produtos!$A$2:$A$11,0))&amp;" "&amp;INDEX(Produtos!$C$2:$C$11,MATCH(F1727,Produtos!$A$2:$A$11,0))</f>
        <v>Carregador de Celular Tipo C</v>
      </c>
      <c r="H1727" s="2" t="n">
        <v>1</v>
      </c>
      <c r="I1727" s="5" t="n">
        <f aca="false">INDEX(Produtos!$D$2:$D$11,MATCH(F1727,Produtos!$A$2:$A$11,0))</f>
        <v>44.9</v>
      </c>
      <c r="J1727" s="5" t="n">
        <f aca="false">H1727*I1727</f>
        <v>44.9</v>
      </c>
      <c r="K1727" s="5" t="n">
        <f aca="false">INDEX(Produtos!$E$2:$E$11,MATCH(F1727,Produtos!$A$2:$A$11,0))</f>
        <v>18</v>
      </c>
      <c r="L1727" s="5" t="n">
        <f aca="false">H1727*K1727</f>
        <v>18</v>
      </c>
    </row>
    <row r="1728" customFormat="false" ht="15" hidden="false" customHeight="false" outlineLevel="0" collapsed="false">
      <c r="A1728" s="2" t="s">
        <v>2010</v>
      </c>
      <c r="B1728" s="8" t="n">
        <v>46169</v>
      </c>
      <c r="C1728" s="2" t="s">
        <v>64</v>
      </c>
      <c r="D1728" s="3" t="str">
        <f aca="false">INDEX(Vendedores!$C$2:$C$101,MATCH(C1728,Vendedores!$A$2:$A$101,0))</f>
        <v>L01</v>
      </c>
      <c r="E1728" s="3" t="str">
        <f aca="false">INDEX(Lojas!$E$2:$E$11,MATCH(D1728,Lojas!$A$2:$A$11,0))</f>
        <v>Sudeste</v>
      </c>
      <c r="F1728" s="2" t="s">
        <v>262</v>
      </c>
      <c r="G1728" s="3" t="str">
        <f aca="false">INDEX(Produtos!$B$2:$B$11,MATCH(F1728,Produtos!$A$2:$A$11,0))&amp;" "&amp;INDEX(Produtos!$C$2:$C$11,MATCH(F1728,Produtos!$A$2:$A$11,0))</f>
        <v>Fone de Ouvido De Celular</v>
      </c>
      <c r="H1728" s="2" t="n">
        <v>1</v>
      </c>
      <c r="I1728" s="5" t="n">
        <f aca="false">INDEX(Produtos!$D$2:$D$11,MATCH(F1728,Produtos!$A$2:$A$11,0))</f>
        <v>59.9</v>
      </c>
      <c r="J1728" s="5" t="n">
        <f aca="false">H1728*I1728</f>
        <v>59.9</v>
      </c>
      <c r="K1728" s="5" t="n">
        <f aca="false">INDEX(Produtos!$E$2:$E$11,MATCH(F1728,Produtos!$A$2:$A$11,0))</f>
        <v>28</v>
      </c>
      <c r="L1728" s="5" t="n">
        <f aca="false">H1728*K1728</f>
        <v>28</v>
      </c>
    </row>
    <row r="1729" customFormat="false" ht="15" hidden="false" customHeight="false" outlineLevel="0" collapsed="false">
      <c r="A1729" s="2" t="s">
        <v>2011</v>
      </c>
      <c r="B1729" s="8" t="n">
        <v>46169</v>
      </c>
      <c r="C1729" s="2" t="s">
        <v>174</v>
      </c>
      <c r="D1729" s="3" t="str">
        <f aca="false">INDEX(Vendedores!$C$2:$C$101,MATCH(C1729,Vendedores!$A$2:$A$101,0))</f>
        <v>L07</v>
      </c>
      <c r="E1729" s="3" t="str">
        <f aca="false">INDEX(Lojas!$E$2:$E$11,MATCH(D1729,Lojas!$A$2:$A$11,0))</f>
        <v>Sul</v>
      </c>
      <c r="F1729" s="2" t="s">
        <v>267</v>
      </c>
      <c r="G1729" s="3" t="str">
        <f aca="false">INDEX(Produtos!$B$2:$B$11,MATCH(F1729,Produtos!$A$2:$A$11,0))&amp;" "&amp;INDEX(Produtos!$C$2:$C$11,MATCH(F1729,Produtos!$A$2:$A$11,0))</f>
        <v>Carregador de Celular Tipo C</v>
      </c>
      <c r="H1729" s="2" t="n">
        <v>1</v>
      </c>
      <c r="I1729" s="5" t="n">
        <f aca="false">INDEX(Produtos!$D$2:$D$11,MATCH(F1729,Produtos!$A$2:$A$11,0))</f>
        <v>44.9</v>
      </c>
      <c r="J1729" s="5" t="n">
        <f aca="false">H1729*I1729</f>
        <v>44.9</v>
      </c>
      <c r="K1729" s="5" t="n">
        <f aca="false">INDEX(Produtos!$E$2:$E$11,MATCH(F1729,Produtos!$A$2:$A$11,0))</f>
        <v>18</v>
      </c>
      <c r="L1729" s="5" t="n">
        <f aca="false">H1729*K1729</f>
        <v>18</v>
      </c>
    </row>
    <row r="1730" customFormat="false" ht="15" hidden="false" customHeight="false" outlineLevel="0" collapsed="false">
      <c r="A1730" s="2" t="s">
        <v>2012</v>
      </c>
      <c r="B1730" s="8" t="n">
        <v>46169</v>
      </c>
      <c r="C1730" s="2" t="s">
        <v>131</v>
      </c>
      <c r="D1730" s="3" t="str">
        <f aca="false">INDEX(Vendedores!$C$2:$C$101,MATCH(C1730,Vendedores!$A$2:$A$101,0))</f>
        <v>L05</v>
      </c>
      <c r="E1730" s="3" t="str">
        <f aca="false">INDEX(Lojas!$E$2:$E$11,MATCH(D1730,Lojas!$A$2:$A$11,0))</f>
        <v>Sul</v>
      </c>
      <c r="F1730" s="2" t="s">
        <v>257</v>
      </c>
      <c r="G1730" s="3" t="str">
        <f aca="false">INDEX(Produtos!$B$2:$B$11,MATCH(F1730,Produtos!$A$2:$A$11,0))&amp;" "&amp;INDEX(Produtos!$C$2:$C$11,MATCH(F1730,Produtos!$A$2:$A$11,0))</f>
        <v>Celular Samsung</v>
      </c>
      <c r="H1730" s="2" t="n">
        <v>3</v>
      </c>
      <c r="I1730" s="5" t="n">
        <f aca="false">INDEX(Produtos!$D$2:$D$11,MATCH(F1730,Produtos!$A$2:$A$11,0))</f>
        <v>2499</v>
      </c>
      <c r="J1730" s="5" t="n">
        <f aca="false">H1730*I1730</f>
        <v>7497</v>
      </c>
      <c r="K1730" s="5" t="n">
        <f aca="false">INDEX(Produtos!$E$2:$E$11,MATCH(F1730,Produtos!$A$2:$A$11,0))</f>
        <v>1800</v>
      </c>
      <c r="L1730" s="5" t="n">
        <f aca="false">H1730*K1730</f>
        <v>5400</v>
      </c>
    </row>
    <row r="1731" customFormat="false" ht="15" hidden="false" customHeight="false" outlineLevel="0" collapsed="false">
      <c r="A1731" s="2" t="s">
        <v>2013</v>
      </c>
      <c r="B1731" s="8" t="n">
        <v>46169</v>
      </c>
      <c r="C1731" s="2" t="s">
        <v>241</v>
      </c>
      <c r="D1731" s="3" t="str">
        <f aca="false">INDEX(Vendedores!$C$2:$C$101,MATCH(C1731,Vendedores!$A$2:$A$101,0))</f>
        <v>L10</v>
      </c>
      <c r="E1731" s="3" t="str">
        <f aca="false">INDEX(Lojas!$E$2:$E$11,MATCH(D1731,Lojas!$A$2:$A$11,0))</f>
        <v>Nordeste</v>
      </c>
      <c r="F1731" s="2" t="s">
        <v>273</v>
      </c>
      <c r="G1731" s="3" t="str">
        <f aca="false">INDEX(Produtos!$B$2:$B$11,MATCH(F1731,Produtos!$A$2:$A$11,0))&amp;" "&amp;INDEX(Produtos!$C$2:$C$11,MATCH(F1731,Produtos!$A$2:$A$11,0))</f>
        <v>Controle de Videogame PS4</v>
      </c>
      <c r="H1731" s="2" t="n">
        <v>1</v>
      </c>
      <c r="I1731" s="5" t="n">
        <f aca="false">INDEX(Produtos!$D$2:$D$11,MATCH(F1731,Produtos!$A$2:$A$11,0))</f>
        <v>299.9</v>
      </c>
      <c r="J1731" s="5" t="n">
        <f aca="false">H1731*I1731</f>
        <v>299.9</v>
      </c>
      <c r="K1731" s="5" t="n">
        <f aca="false">INDEX(Produtos!$E$2:$E$11,MATCH(F1731,Produtos!$A$2:$A$11,0))</f>
        <v>175</v>
      </c>
      <c r="L1731" s="5" t="n">
        <f aca="false">H1731*K1731</f>
        <v>175</v>
      </c>
    </row>
    <row r="1732" customFormat="false" ht="15" hidden="false" customHeight="false" outlineLevel="0" collapsed="false">
      <c r="A1732" s="2" t="s">
        <v>2014</v>
      </c>
      <c r="B1732" s="8" t="n">
        <v>46169</v>
      </c>
      <c r="C1732" s="2" t="s">
        <v>86</v>
      </c>
      <c r="D1732" s="3" t="str">
        <f aca="false">INDEX(Vendedores!$C$2:$C$101,MATCH(C1732,Vendedores!$A$2:$A$101,0))</f>
        <v>L02</v>
      </c>
      <c r="E1732" s="3" t="str">
        <f aca="false">INDEX(Lojas!$E$2:$E$11,MATCH(D1732,Lojas!$A$2:$A$11,0))</f>
        <v>Sudeste</v>
      </c>
      <c r="F1732" s="2" t="s">
        <v>273</v>
      </c>
      <c r="G1732" s="3" t="str">
        <f aca="false">INDEX(Produtos!$B$2:$B$11,MATCH(F1732,Produtos!$A$2:$A$11,0))&amp;" "&amp;INDEX(Produtos!$C$2:$C$11,MATCH(F1732,Produtos!$A$2:$A$11,0))</f>
        <v>Controle de Videogame PS4</v>
      </c>
      <c r="H1732" s="2" t="n">
        <v>1</v>
      </c>
      <c r="I1732" s="5" t="n">
        <f aca="false">INDEX(Produtos!$D$2:$D$11,MATCH(F1732,Produtos!$A$2:$A$11,0))</f>
        <v>299.9</v>
      </c>
      <c r="J1732" s="5" t="n">
        <f aca="false">H1732*I1732</f>
        <v>299.9</v>
      </c>
      <c r="K1732" s="5" t="n">
        <f aca="false">INDEX(Produtos!$E$2:$E$11,MATCH(F1732,Produtos!$A$2:$A$11,0))</f>
        <v>175</v>
      </c>
      <c r="L1732" s="5" t="n">
        <f aca="false">H1732*K1732</f>
        <v>175</v>
      </c>
    </row>
    <row r="1733" customFormat="false" ht="15" hidden="false" customHeight="false" outlineLevel="0" collapsed="false">
      <c r="A1733" s="2" t="s">
        <v>2015</v>
      </c>
      <c r="B1733" s="8" t="n">
        <v>46169</v>
      </c>
      <c r="C1733" s="2" t="s">
        <v>199</v>
      </c>
      <c r="D1733" s="3" t="str">
        <f aca="false">INDEX(Vendedores!$C$2:$C$101,MATCH(C1733,Vendedores!$A$2:$A$101,0))</f>
        <v>L08</v>
      </c>
      <c r="E1733" s="3" t="str">
        <f aca="false">INDEX(Lojas!$E$2:$E$11,MATCH(D1733,Lojas!$A$2:$A$11,0))</f>
        <v>Nordeste</v>
      </c>
      <c r="F1733" s="2" t="s">
        <v>260</v>
      </c>
      <c r="G1733" s="3" t="str">
        <f aca="false">INDEX(Produtos!$B$2:$B$11,MATCH(F1733,Produtos!$A$2:$A$11,0))&amp;" "&amp;INDEX(Produtos!$C$2:$C$11,MATCH(F1733,Produtos!$A$2:$A$11,0))</f>
        <v>Celular Motorola</v>
      </c>
      <c r="H1733" s="2" t="n">
        <v>1</v>
      </c>
      <c r="I1733" s="5" t="n">
        <f aca="false">INDEX(Produtos!$D$2:$D$11,MATCH(F1733,Produtos!$A$2:$A$11,0))</f>
        <v>1799</v>
      </c>
      <c r="J1733" s="5" t="n">
        <f aca="false">H1733*I1733</f>
        <v>1799</v>
      </c>
      <c r="K1733" s="5" t="n">
        <f aca="false">INDEX(Produtos!$E$2:$E$11,MATCH(F1733,Produtos!$A$2:$A$11,0))</f>
        <v>1250</v>
      </c>
      <c r="L1733" s="5" t="n">
        <f aca="false">H1733*K1733</f>
        <v>1250</v>
      </c>
    </row>
    <row r="1734" customFormat="false" ht="15" hidden="false" customHeight="false" outlineLevel="0" collapsed="false">
      <c r="A1734" s="2" t="s">
        <v>2016</v>
      </c>
      <c r="B1734" s="8" t="n">
        <v>46169</v>
      </c>
      <c r="C1734" s="2" t="s">
        <v>96</v>
      </c>
      <c r="D1734" s="3" t="str">
        <f aca="false">INDEX(Vendedores!$C$2:$C$101,MATCH(C1734,Vendedores!$A$2:$A$101,0))</f>
        <v>L03</v>
      </c>
      <c r="E1734" s="3" t="str">
        <f aca="false">INDEX(Lojas!$E$2:$E$11,MATCH(D1734,Lojas!$A$2:$A$11,0))</f>
        <v>Sudeste</v>
      </c>
      <c r="F1734" s="2" t="s">
        <v>275</v>
      </c>
      <c r="G1734" s="3" t="str">
        <f aca="false">INDEX(Produtos!$B$2:$B$11,MATCH(F1734,Produtos!$A$2:$A$11,0))&amp;" "&amp;INDEX(Produtos!$C$2:$C$11,MATCH(F1734,Produtos!$A$2:$A$11,0))</f>
        <v>Controle de Videogame PS5</v>
      </c>
      <c r="H1734" s="2" t="n">
        <v>1</v>
      </c>
      <c r="I1734" s="5" t="n">
        <f aca="false">INDEX(Produtos!$D$2:$D$11,MATCH(F1734,Produtos!$A$2:$A$11,0))</f>
        <v>379.9</v>
      </c>
      <c r="J1734" s="5" t="n">
        <f aca="false">H1734*I1734</f>
        <v>379.9</v>
      </c>
      <c r="K1734" s="5" t="n">
        <f aca="false">INDEX(Produtos!$E$2:$E$11,MATCH(F1734,Produtos!$A$2:$A$11,0))</f>
        <v>235</v>
      </c>
      <c r="L1734" s="5" t="n">
        <f aca="false">H1734*K1734</f>
        <v>235</v>
      </c>
    </row>
    <row r="1735" customFormat="false" ht="15" hidden="false" customHeight="false" outlineLevel="0" collapsed="false">
      <c r="A1735" s="2" t="s">
        <v>2017</v>
      </c>
      <c r="B1735" s="8" t="n">
        <v>46169</v>
      </c>
      <c r="C1735" s="2" t="s">
        <v>120</v>
      </c>
      <c r="D1735" s="3" t="str">
        <f aca="false">INDEX(Vendedores!$C$2:$C$101,MATCH(C1735,Vendedores!$A$2:$A$101,0))</f>
        <v>L04</v>
      </c>
      <c r="E1735" s="3" t="str">
        <f aca="false">INDEX(Lojas!$E$2:$E$11,MATCH(D1735,Lojas!$A$2:$A$11,0))</f>
        <v>Sudeste</v>
      </c>
      <c r="F1735" s="2" t="s">
        <v>257</v>
      </c>
      <c r="G1735" s="3" t="str">
        <f aca="false">INDEX(Produtos!$B$2:$B$11,MATCH(F1735,Produtos!$A$2:$A$11,0))&amp;" "&amp;INDEX(Produtos!$C$2:$C$11,MATCH(F1735,Produtos!$A$2:$A$11,0))</f>
        <v>Celular Samsung</v>
      </c>
      <c r="H1735" s="2" t="n">
        <v>1</v>
      </c>
      <c r="I1735" s="5" t="n">
        <f aca="false">INDEX(Produtos!$D$2:$D$11,MATCH(F1735,Produtos!$A$2:$A$11,0))</f>
        <v>2499</v>
      </c>
      <c r="J1735" s="5" t="n">
        <f aca="false">H1735*I1735</f>
        <v>2499</v>
      </c>
      <c r="K1735" s="5" t="n">
        <f aca="false">INDEX(Produtos!$E$2:$E$11,MATCH(F1735,Produtos!$A$2:$A$11,0))</f>
        <v>1800</v>
      </c>
      <c r="L1735" s="5" t="n">
        <f aca="false">H1735*K1735</f>
        <v>1800</v>
      </c>
    </row>
    <row r="1736" customFormat="false" ht="15" hidden="false" customHeight="false" outlineLevel="0" collapsed="false">
      <c r="A1736" s="2" t="s">
        <v>2018</v>
      </c>
      <c r="B1736" s="8" t="n">
        <v>46169</v>
      </c>
      <c r="C1736" s="2" t="s">
        <v>164</v>
      </c>
      <c r="D1736" s="3" t="str">
        <f aca="false">INDEX(Vendedores!$C$2:$C$101,MATCH(C1736,Vendedores!$A$2:$A$101,0))</f>
        <v>L06</v>
      </c>
      <c r="E1736" s="3" t="str">
        <f aca="false">INDEX(Lojas!$E$2:$E$11,MATCH(D1736,Lojas!$A$2:$A$11,0))</f>
        <v>Sul</v>
      </c>
      <c r="F1736" s="2" t="s">
        <v>262</v>
      </c>
      <c r="G1736" s="3" t="str">
        <f aca="false">INDEX(Produtos!$B$2:$B$11,MATCH(F1736,Produtos!$A$2:$A$11,0))&amp;" "&amp;INDEX(Produtos!$C$2:$C$11,MATCH(F1736,Produtos!$A$2:$A$11,0))</f>
        <v>Fone de Ouvido De Celular</v>
      </c>
      <c r="H1736" s="2" t="n">
        <v>2</v>
      </c>
      <c r="I1736" s="5" t="n">
        <f aca="false">INDEX(Produtos!$D$2:$D$11,MATCH(F1736,Produtos!$A$2:$A$11,0))</f>
        <v>59.9</v>
      </c>
      <c r="J1736" s="5" t="n">
        <f aca="false">H1736*I1736</f>
        <v>119.8</v>
      </c>
      <c r="K1736" s="5" t="n">
        <f aca="false">INDEX(Produtos!$E$2:$E$11,MATCH(F1736,Produtos!$A$2:$A$11,0))</f>
        <v>28</v>
      </c>
      <c r="L1736" s="5" t="n">
        <f aca="false">H1736*K1736</f>
        <v>56</v>
      </c>
    </row>
    <row r="1737" customFormat="false" ht="15" hidden="false" customHeight="false" outlineLevel="0" collapsed="false">
      <c r="A1737" s="2" t="s">
        <v>2019</v>
      </c>
      <c r="B1737" s="8" t="n">
        <v>46169</v>
      </c>
      <c r="C1737" s="2" t="s">
        <v>98</v>
      </c>
      <c r="D1737" s="3" t="str">
        <f aca="false">INDEX(Vendedores!$C$2:$C$101,MATCH(C1737,Vendedores!$A$2:$A$101,0))</f>
        <v>L03</v>
      </c>
      <c r="E1737" s="3" t="str">
        <f aca="false">INDEX(Lojas!$E$2:$E$11,MATCH(D1737,Lojas!$A$2:$A$11,0))</f>
        <v>Sudeste</v>
      </c>
      <c r="F1737" s="2" t="s">
        <v>255</v>
      </c>
      <c r="G1737" s="3" t="str">
        <f aca="false">INDEX(Produtos!$B$2:$B$11,MATCH(F1737,Produtos!$A$2:$A$11,0))&amp;" "&amp;INDEX(Produtos!$C$2:$C$11,MATCH(F1737,Produtos!$A$2:$A$11,0))</f>
        <v>Notebook Positivo</v>
      </c>
      <c r="H1737" s="2" t="n">
        <v>1</v>
      </c>
      <c r="I1737" s="5" t="n">
        <f aca="false">INDEX(Produtos!$D$2:$D$11,MATCH(F1737,Produtos!$A$2:$A$11,0))</f>
        <v>2199</v>
      </c>
      <c r="J1737" s="5" t="n">
        <f aca="false">H1737*I1737</f>
        <v>2199</v>
      </c>
      <c r="K1737" s="5" t="n">
        <f aca="false">INDEX(Produtos!$E$2:$E$11,MATCH(F1737,Produtos!$A$2:$A$11,0))</f>
        <v>1550</v>
      </c>
      <c r="L1737" s="5" t="n">
        <f aca="false">H1737*K1737</f>
        <v>1550</v>
      </c>
    </row>
    <row r="1738" customFormat="false" ht="15" hidden="false" customHeight="false" outlineLevel="0" collapsed="false">
      <c r="A1738" s="2" t="s">
        <v>2020</v>
      </c>
      <c r="B1738" s="8" t="n">
        <v>46169</v>
      </c>
      <c r="C1738" s="2" t="s">
        <v>179</v>
      </c>
      <c r="D1738" s="3" t="str">
        <f aca="false">INDEX(Vendedores!$C$2:$C$101,MATCH(C1738,Vendedores!$A$2:$A$101,0))</f>
        <v>L07</v>
      </c>
      <c r="E1738" s="3" t="str">
        <f aca="false">INDEX(Lojas!$E$2:$E$11,MATCH(D1738,Lojas!$A$2:$A$11,0))</f>
        <v>Sul</v>
      </c>
      <c r="F1738" s="2" t="s">
        <v>275</v>
      </c>
      <c r="G1738" s="3" t="str">
        <f aca="false">INDEX(Produtos!$B$2:$B$11,MATCH(F1738,Produtos!$A$2:$A$11,0))&amp;" "&amp;INDEX(Produtos!$C$2:$C$11,MATCH(F1738,Produtos!$A$2:$A$11,0))</f>
        <v>Controle de Videogame PS5</v>
      </c>
      <c r="H1738" s="2" t="n">
        <v>1</v>
      </c>
      <c r="I1738" s="5" t="n">
        <f aca="false">INDEX(Produtos!$D$2:$D$11,MATCH(F1738,Produtos!$A$2:$A$11,0))</f>
        <v>379.9</v>
      </c>
      <c r="J1738" s="5" t="n">
        <f aca="false">H1738*I1738</f>
        <v>379.9</v>
      </c>
      <c r="K1738" s="5" t="n">
        <f aca="false">INDEX(Produtos!$E$2:$E$11,MATCH(F1738,Produtos!$A$2:$A$11,0))</f>
        <v>235</v>
      </c>
      <c r="L1738" s="5" t="n">
        <f aca="false">H1738*K1738</f>
        <v>235</v>
      </c>
    </row>
    <row r="1739" customFormat="false" ht="15" hidden="false" customHeight="false" outlineLevel="0" collapsed="false">
      <c r="A1739" s="2" t="s">
        <v>2021</v>
      </c>
      <c r="B1739" s="8" t="n">
        <v>46169</v>
      </c>
      <c r="C1739" s="2" t="s">
        <v>182</v>
      </c>
      <c r="D1739" s="3" t="str">
        <f aca="false">INDEX(Vendedores!$C$2:$C$101,MATCH(C1739,Vendedores!$A$2:$A$101,0))</f>
        <v>L07</v>
      </c>
      <c r="E1739" s="3" t="str">
        <f aca="false">INDEX(Lojas!$E$2:$E$11,MATCH(D1739,Lojas!$A$2:$A$11,0))</f>
        <v>Sul</v>
      </c>
      <c r="F1739" s="2" t="s">
        <v>252</v>
      </c>
      <c r="G1739" s="3" t="str">
        <f aca="false">INDEX(Produtos!$B$2:$B$11,MATCH(F1739,Produtos!$A$2:$A$11,0))&amp;" "&amp;INDEX(Produtos!$C$2:$C$11,MATCH(F1739,Produtos!$A$2:$A$11,0))</f>
        <v>Notebook Lenovo</v>
      </c>
      <c r="H1739" s="2" t="n">
        <v>1</v>
      </c>
      <c r="I1739" s="5" t="n">
        <f aca="false">INDEX(Produtos!$D$2:$D$11,MATCH(F1739,Produtos!$A$2:$A$11,0))</f>
        <v>3199</v>
      </c>
      <c r="J1739" s="5" t="n">
        <f aca="false">H1739*I1739</f>
        <v>3199</v>
      </c>
      <c r="K1739" s="5" t="n">
        <f aca="false">INDEX(Produtos!$E$2:$E$11,MATCH(F1739,Produtos!$A$2:$A$11,0))</f>
        <v>2350</v>
      </c>
      <c r="L1739" s="5" t="n">
        <f aca="false">H1739*K1739</f>
        <v>2350</v>
      </c>
    </row>
    <row r="1740" customFormat="false" ht="15" hidden="false" customHeight="false" outlineLevel="0" collapsed="false">
      <c r="A1740" s="2" t="s">
        <v>2022</v>
      </c>
      <c r="B1740" s="8" t="n">
        <v>46169</v>
      </c>
      <c r="C1740" s="2" t="s">
        <v>50</v>
      </c>
      <c r="D1740" s="3" t="str">
        <f aca="false">INDEX(Vendedores!$C$2:$C$101,MATCH(C1740,Vendedores!$A$2:$A$101,0))</f>
        <v>L01</v>
      </c>
      <c r="E1740" s="3" t="str">
        <f aca="false">INDEX(Lojas!$E$2:$E$11,MATCH(D1740,Lojas!$A$2:$A$11,0))</f>
        <v>Sudeste</v>
      </c>
      <c r="F1740" s="2" t="s">
        <v>252</v>
      </c>
      <c r="G1740" s="3" t="str">
        <f aca="false">INDEX(Produtos!$B$2:$B$11,MATCH(F1740,Produtos!$A$2:$A$11,0))&amp;" "&amp;INDEX(Produtos!$C$2:$C$11,MATCH(F1740,Produtos!$A$2:$A$11,0))</f>
        <v>Notebook Lenovo</v>
      </c>
      <c r="H1740" s="2" t="n">
        <v>1</v>
      </c>
      <c r="I1740" s="5" t="n">
        <f aca="false">INDEX(Produtos!$D$2:$D$11,MATCH(F1740,Produtos!$A$2:$A$11,0))</f>
        <v>3199</v>
      </c>
      <c r="J1740" s="5" t="n">
        <f aca="false">H1740*I1740</f>
        <v>3199</v>
      </c>
      <c r="K1740" s="5" t="n">
        <f aca="false">INDEX(Produtos!$E$2:$E$11,MATCH(F1740,Produtos!$A$2:$A$11,0))</f>
        <v>2350</v>
      </c>
      <c r="L1740" s="5" t="n">
        <f aca="false">H1740*K1740</f>
        <v>2350</v>
      </c>
    </row>
    <row r="1741" customFormat="false" ht="15" hidden="false" customHeight="false" outlineLevel="0" collapsed="false">
      <c r="A1741" s="2" t="s">
        <v>2023</v>
      </c>
      <c r="B1741" s="8" t="n">
        <v>46169</v>
      </c>
      <c r="C1741" s="2" t="s">
        <v>221</v>
      </c>
      <c r="D1741" s="3" t="str">
        <f aca="false">INDEX(Vendedores!$C$2:$C$101,MATCH(C1741,Vendedores!$A$2:$A$101,0))</f>
        <v>L09</v>
      </c>
      <c r="E1741" s="3" t="str">
        <f aca="false">INDEX(Lojas!$E$2:$E$11,MATCH(D1741,Lojas!$A$2:$A$11,0))</f>
        <v>Nordeste</v>
      </c>
      <c r="F1741" s="2" t="s">
        <v>267</v>
      </c>
      <c r="G1741" s="3" t="str">
        <f aca="false">INDEX(Produtos!$B$2:$B$11,MATCH(F1741,Produtos!$A$2:$A$11,0))&amp;" "&amp;INDEX(Produtos!$C$2:$C$11,MATCH(F1741,Produtos!$A$2:$A$11,0))</f>
        <v>Carregador de Celular Tipo C</v>
      </c>
      <c r="H1741" s="2" t="n">
        <v>1</v>
      </c>
      <c r="I1741" s="5" t="n">
        <f aca="false">INDEX(Produtos!$D$2:$D$11,MATCH(F1741,Produtos!$A$2:$A$11,0))</f>
        <v>44.9</v>
      </c>
      <c r="J1741" s="5" t="n">
        <f aca="false">H1741*I1741</f>
        <v>44.9</v>
      </c>
      <c r="K1741" s="5" t="n">
        <f aca="false">INDEX(Produtos!$E$2:$E$11,MATCH(F1741,Produtos!$A$2:$A$11,0))</f>
        <v>18</v>
      </c>
      <c r="L1741" s="5" t="n">
        <f aca="false">H1741*K1741</f>
        <v>18</v>
      </c>
    </row>
    <row r="1742" customFormat="false" ht="15" hidden="false" customHeight="false" outlineLevel="0" collapsed="false">
      <c r="A1742" s="2" t="s">
        <v>2024</v>
      </c>
      <c r="B1742" s="8" t="n">
        <v>46170</v>
      </c>
      <c r="C1742" s="2" t="s">
        <v>237</v>
      </c>
      <c r="D1742" s="3" t="str">
        <f aca="false">INDEX(Vendedores!$C$2:$C$101,MATCH(C1742,Vendedores!$A$2:$A$101,0))</f>
        <v>L10</v>
      </c>
      <c r="E1742" s="3" t="str">
        <f aca="false">INDEX(Lojas!$E$2:$E$11,MATCH(D1742,Lojas!$A$2:$A$11,0))</f>
        <v>Nordeste</v>
      </c>
      <c r="F1742" s="2" t="s">
        <v>267</v>
      </c>
      <c r="G1742" s="3" t="str">
        <f aca="false">INDEX(Produtos!$B$2:$B$11,MATCH(F1742,Produtos!$A$2:$A$11,0))&amp;" "&amp;INDEX(Produtos!$C$2:$C$11,MATCH(F1742,Produtos!$A$2:$A$11,0))</f>
        <v>Carregador de Celular Tipo C</v>
      </c>
      <c r="H1742" s="2" t="n">
        <v>1</v>
      </c>
      <c r="I1742" s="5" t="n">
        <f aca="false">INDEX(Produtos!$D$2:$D$11,MATCH(F1742,Produtos!$A$2:$A$11,0))</f>
        <v>44.9</v>
      </c>
      <c r="J1742" s="5" t="n">
        <f aca="false">H1742*I1742</f>
        <v>44.9</v>
      </c>
      <c r="K1742" s="5" t="n">
        <f aca="false">INDEX(Produtos!$E$2:$E$11,MATCH(F1742,Produtos!$A$2:$A$11,0))</f>
        <v>18</v>
      </c>
      <c r="L1742" s="5" t="n">
        <f aca="false">H1742*K1742</f>
        <v>18</v>
      </c>
    </row>
    <row r="1743" customFormat="false" ht="15" hidden="false" customHeight="false" outlineLevel="0" collapsed="false">
      <c r="A1743" s="2" t="s">
        <v>2025</v>
      </c>
      <c r="B1743" s="8" t="n">
        <v>46170</v>
      </c>
      <c r="C1743" s="2" t="s">
        <v>176</v>
      </c>
      <c r="D1743" s="3" t="str">
        <f aca="false">INDEX(Vendedores!$C$2:$C$101,MATCH(C1743,Vendedores!$A$2:$A$101,0))</f>
        <v>L07</v>
      </c>
      <c r="E1743" s="3" t="str">
        <f aca="false">INDEX(Lojas!$E$2:$E$11,MATCH(D1743,Lojas!$A$2:$A$11,0))</f>
        <v>Sul</v>
      </c>
      <c r="F1743" s="2" t="s">
        <v>262</v>
      </c>
      <c r="G1743" s="3" t="str">
        <f aca="false">INDEX(Produtos!$B$2:$B$11,MATCH(F1743,Produtos!$A$2:$A$11,0))&amp;" "&amp;INDEX(Produtos!$C$2:$C$11,MATCH(F1743,Produtos!$A$2:$A$11,0))</f>
        <v>Fone de Ouvido De Celular</v>
      </c>
      <c r="H1743" s="2" t="n">
        <v>2</v>
      </c>
      <c r="I1743" s="5" t="n">
        <f aca="false">INDEX(Produtos!$D$2:$D$11,MATCH(F1743,Produtos!$A$2:$A$11,0))</f>
        <v>59.9</v>
      </c>
      <c r="J1743" s="5" t="n">
        <f aca="false">H1743*I1743</f>
        <v>119.8</v>
      </c>
      <c r="K1743" s="5" t="n">
        <f aca="false">INDEX(Produtos!$E$2:$E$11,MATCH(F1743,Produtos!$A$2:$A$11,0))</f>
        <v>28</v>
      </c>
      <c r="L1743" s="5" t="n">
        <f aca="false">H1743*K1743</f>
        <v>56</v>
      </c>
    </row>
    <row r="1744" customFormat="false" ht="15" hidden="false" customHeight="false" outlineLevel="0" collapsed="false">
      <c r="A1744" s="2" t="s">
        <v>2026</v>
      </c>
      <c r="B1744" s="8" t="n">
        <v>46170</v>
      </c>
      <c r="C1744" s="2" t="s">
        <v>174</v>
      </c>
      <c r="D1744" s="3" t="str">
        <f aca="false">INDEX(Vendedores!$C$2:$C$101,MATCH(C1744,Vendedores!$A$2:$A$101,0))</f>
        <v>L07</v>
      </c>
      <c r="E1744" s="3" t="str">
        <f aca="false">INDEX(Lojas!$E$2:$E$11,MATCH(D1744,Lojas!$A$2:$A$11,0))</f>
        <v>Sul</v>
      </c>
      <c r="F1744" s="2" t="s">
        <v>267</v>
      </c>
      <c r="G1744" s="3" t="str">
        <f aca="false">INDEX(Produtos!$B$2:$B$11,MATCH(F1744,Produtos!$A$2:$A$11,0))&amp;" "&amp;INDEX(Produtos!$C$2:$C$11,MATCH(F1744,Produtos!$A$2:$A$11,0))</f>
        <v>Carregador de Celular Tipo C</v>
      </c>
      <c r="H1744" s="2" t="n">
        <v>1</v>
      </c>
      <c r="I1744" s="5" t="n">
        <f aca="false">INDEX(Produtos!$D$2:$D$11,MATCH(F1744,Produtos!$A$2:$A$11,0))</f>
        <v>44.9</v>
      </c>
      <c r="J1744" s="5" t="n">
        <f aca="false">H1744*I1744</f>
        <v>44.9</v>
      </c>
      <c r="K1744" s="5" t="n">
        <f aca="false">INDEX(Produtos!$E$2:$E$11,MATCH(F1744,Produtos!$A$2:$A$11,0))</f>
        <v>18</v>
      </c>
      <c r="L1744" s="5" t="n">
        <f aca="false">H1744*K1744</f>
        <v>18</v>
      </c>
    </row>
    <row r="1745" customFormat="false" ht="15" hidden="false" customHeight="false" outlineLevel="0" collapsed="false">
      <c r="A1745" s="2" t="s">
        <v>2027</v>
      </c>
      <c r="B1745" s="8" t="n">
        <v>46170</v>
      </c>
      <c r="C1745" s="2" t="s">
        <v>52</v>
      </c>
      <c r="D1745" s="3" t="str">
        <f aca="false">INDEX(Vendedores!$C$2:$C$101,MATCH(C1745,Vendedores!$A$2:$A$101,0))</f>
        <v>L01</v>
      </c>
      <c r="E1745" s="3" t="str">
        <f aca="false">INDEX(Lojas!$E$2:$E$11,MATCH(D1745,Lojas!$A$2:$A$11,0))</f>
        <v>Sudeste</v>
      </c>
      <c r="F1745" s="2" t="s">
        <v>252</v>
      </c>
      <c r="G1745" s="3" t="str">
        <f aca="false">INDEX(Produtos!$B$2:$B$11,MATCH(F1745,Produtos!$A$2:$A$11,0))&amp;" "&amp;INDEX(Produtos!$C$2:$C$11,MATCH(F1745,Produtos!$A$2:$A$11,0))</f>
        <v>Notebook Lenovo</v>
      </c>
      <c r="H1745" s="2" t="n">
        <v>1</v>
      </c>
      <c r="I1745" s="5" t="n">
        <f aca="false">INDEX(Produtos!$D$2:$D$11,MATCH(F1745,Produtos!$A$2:$A$11,0))</f>
        <v>3199</v>
      </c>
      <c r="J1745" s="5" t="n">
        <f aca="false">H1745*I1745</f>
        <v>3199</v>
      </c>
      <c r="K1745" s="5" t="n">
        <f aca="false">INDEX(Produtos!$E$2:$E$11,MATCH(F1745,Produtos!$A$2:$A$11,0))</f>
        <v>2350</v>
      </c>
      <c r="L1745" s="5" t="n">
        <f aca="false">H1745*K1745</f>
        <v>2350</v>
      </c>
    </row>
    <row r="1746" customFormat="false" ht="15" hidden="false" customHeight="false" outlineLevel="0" collapsed="false">
      <c r="A1746" s="2" t="s">
        <v>2028</v>
      </c>
      <c r="B1746" s="8" t="n">
        <v>46170</v>
      </c>
      <c r="C1746" s="2" t="s">
        <v>182</v>
      </c>
      <c r="D1746" s="3" t="str">
        <f aca="false">INDEX(Vendedores!$C$2:$C$101,MATCH(C1746,Vendedores!$A$2:$A$101,0))</f>
        <v>L07</v>
      </c>
      <c r="E1746" s="3" t="str">
        <f aca="false">INDEX(Lojas!$E$2:$E$11,MATCH(D1746,Lojas!$A$2:$A$11,0))</f>
        <v>Sul</v>
      </c>
      <c r="F1746" s="2" t="s">
        <v>267</v>
      </c>
      <c r="G1746" s="3" t="str">
        <f aca="false">INDEX(Produtos!$B$2:$B$11,MATCH(F1746,Produtos!$A$2:$A$11,0))&amp;" "&amp;INDEX(Produtos!$C$2:$C$11,MATCH(F1746,Produtos!$A$2:$A$11,0))</f>
        <v>Carregador de Celular Tipo C</v>
      </c>
      <c r="H1746" s="2" t="n">
        <v>2</v>
      </c>
      <c r="I1746" s="5" t="n">
        <f aca="false">INDEX(Produtos!$D$2:$D$11,MATCH(F1746,Produtos!$A$2:$A$11,0))</f>
        <v>44.9</v>
      </c>
      <c r="J1746" s="5" t="n">
        <f aca="false">H1746*I1746</f>
        <v>89.8</v>
      </c>
      <c r="K1746" s="5" t="n">
        <f aca="false">INDEX(Produtos!$E$2:$E$11,MATCH(F1746,Produtos!$A$2:$A$11,0))</f>
        <v>18</v>
      </c>
      <c r="L1746" s="5" t="n">
        <f aca="false">H1746*K1746</f>
        <v>36</v>
      </c>
    </row>
    <row r="1747" customFormat="false" ht="15" hidden="false" customHeight="false" outlineLevel="0" collapsed="false">
      <c r="A1747" s="2" t="s">
        <v>2029</v>
      </c>
      <c r="B1747" s="8" t="n">
        <v>46170</v>
      </c>
      <c r="C1747" s="2" t="s">
        <v>98</v>
      </c>
      <c r="D1747" s="3" t="str">
        <f aca="false">INDEX(Vendedores!$C$2:$C$101,MATCH(C1747,Vendedores!$A$2:$A$101,0))</f>
        <v>L03</v>
      </c>
      <c r="E1747" s="3" t="str">
        <f aca="false">INDEX(Lojas!$E$2:$E$11,MATCH(D1747,Lojas!$A$2:$A$11,0))</f>
        <v>Sudeste</v>
      </c>
      <c r="F1747" s="2" t="s">
        <v>252</v>
      </c>
      <c r="G1747" s="3" t="str">
        <f aca="false">INDEX(Produtos!$B$2:$B$11,MATCH(F1747,Produtos!$A$2:$A$11,0))&amp;" "&amp;INDEX(Produtos!$C$2:$C$11,MATCH(F1747,Produtos!$A$2:$A$11,0))</f>
        <v>Notebook Lenovo</v>
      </c>
      <c r="H1747" s="2" t="n">
        <v>1</v>
      </c>
      <c r="I1747" s="5" t="n">
        <f aca="false">INDEX(Produtos!$D$2:$D$11,MATCH(F1747,Produtos!$A$2:$A$11,0))</f>
        <v>3199</v>
      </c>
      <c r="J1747" s="5" t="n">
        <f aca="false">H1747*I1747</f>
        <v>3199</v>
      </c>
      <c r="K1747" s="5" t="n">
        <f aca="false">INDEX(Produtos!$E$2:$E$11,MATCH(F1747,Produtos!$A$2:$A$11,0))</f>
        <v>2350</v>
      </c>
      <c r="L1747" s="5" t="n">
        <f aca="false">H1747*K1747</f>
        <v>2350</v>
      </c>
    </row>
    <row r="1748" customFormat="false" ht="15" hidden="false" customHeight="false" outlineLevel="0" collapsed="false">
      <c r="A1748" s="2" t="s">
        <v>2030</v>
      </c>
      <c r="B1748" s="8" t="n">
        <v>46170</v>
      </c>
      <c r="C1748" s="2" t="s">
        <v>233</v>
      </c>
      <c r="D1748" s="3" t="str">
        <f aca="false">INDEX(Vendedores!$C$2:$C$101,MATCH(C1748,Vendedores!$A$2:$A$101,0))</f>
        <v>L10</v>
      </c>
      <c r="E1748" s="3" t="str">
        <f aca="false">INDEX(Lojas!$E$2:$E$11,MATCH(D1748,Lojas!$A$2:$A$11,0))</f>
        <v>Nordeste</v>
      </c>
      <c r="F1748" s="2" t="s">
        <v>257</v>
      </c>
      <c r="G1748" s="3" t="str">
        <f aca="false">INDEX(Produtos!$B$2:$B$11,MATCH(F1748,Produtos!$A$2:$A$11,0))&amp;" "&amp;INDEX(Produtos!$C$2:$C$11,MATCH(F1748,Produtos!$A$2:$A$11,0))</f>
        <v>Celular Samsung</v>
      </c>
      <c r="H1748" s="2" t="n">
        <v>1</v>
      </c>
      <c r="I1748" s="5" t="n">
        <f aca="false">INDEX(Produtos!$D$2:$D$11,MATCH(F1748,Produtos!$A$2:$A$11,0))</f>
        <v>2499</v>
      </c>
      <c r="J1748" s="5" t="n">
        <f aca="false">H1748*I1748</f>
        <v>2499</v>
      </c>
      <c r="K1748" s="5" t="n">
        <f aca="false">INDEX(Produtos!$E$2:$E$11,MATCH(F1748,Produtos!$A$2:$A$11,0))</f>
        <v>1800</v>
      </c>
      <c r="L1748" s="5" t="n">
        <f aca="false">H1748*K1748</f>
        <v>1800</v>
      </c>
    </row>
    <row r="1749" customFormat="false" ht="15" hidden="false" customHeight="false" outlineLevel="0" collapsed="false">
      <c r="A1749" s="2" t="s">
        <v>2031</v>
      </c>
      <c r="B1749" s="8" t="n">
        <v>46170</v>
      </c>
      <c r="C1749" s="2" t="s">
        <v>129</v>
      </c>
      <c r="D1749" s="3" t="str">
        <f aca="false">INDEX(Vendedores!$C$2:$C$101,MATCH(C1749,Vendedores!$A$2:$A$101,0))</f>
        <v>L05</v>
      </c>
      <c r="E1749" s="3" t="str">
        <f aca="false">INDEX(Lojas!$E$2:$E$11,MATCH(D1749,Lojas!$A$2:$A$11,0))</f>
        <v>Sul</v>
      </c>
      <c r="F1749" s="2" t="s">
        <v>265</v>
      </c>
      <c r="G1749" s="3" t="str">
        <f aca="false">INDEX(Produtos!$B$2:$B$11,MATCH(F1749,Produtos!$A$2:$A$11,0))&amp;" "&amp;INDEX(Produtos!$C$2:$C$11,MATCH(F1749,Produtos!$A$2:$A$11,0))</f>
        <v>Fone de Ouvido Headset</v>
      </c>
      <c r="H1749" s="2" t="n">
        <v>1</v>
      </c>
      <c r="I1749" s="5" t="n">
        <f aca="false">INDEX(Produtos!$D$2:$D$11,MATCH(F1749,Produtos!$A$2:$A$11,0))</f>
        <v>249.9</v>
      </c>
      <c r="J1749" s="5" t="n">
        <f aca="false">H1749*I1749</f>
        <v>249.9</v>
      </c>
      <c r="K1749" s="5" t="n">
        <f aca="false">INDEX(Produtos!$E$2:$E$11,MATCH(F1749,Produtos!$A$2:$A$11,0))</f>
        <v>145</v>
      </c>
      <c r="L1749" s="5" t="n">
        <f aca="false">H1749*K1749</f>
        <v>145</v>
      </c>
    </row>
    <row r="1750" customFormat="false" ht="15" hidden="false" customHeight="false" outlineLevel="0" collapsed="false">
      <c r="A1750" s="2" t="s">
        <v>2032</v>
      </c>
      <c r="B1750" s="8" t="n">
        <v>46170</v>
      </c>
      <c r="C1750" s="2" t="s">
        <v>199</v>
      </c>
      <c r="D1750" s="3" t="str">
        <f aca="false">INDEX(Vendedores!$C$2:$C$101,MATCH(C1750,Vendedores!$A$2:$A$101,0))</f>
        <v>L08</v>
      </c>
      <c r="E1750" s="3" t="str">
        <f aca="false">INDEX(Lojas!$E$2:$E$11,MATCH(D1750,Lojas!$A$2:$A$11,0))</f>
        <v>Nordeste</v>
      </c>
      <c r="F1750" s="2" t="s">
        <v>257</v>
      </c>
      <c r="G1750" s="3" t="str">
        <f aca="false">INDEX(Produtos!$B$2:$B$11,MATCH(F1750,Produtos!$A$2:$A$11,0))&amp;" "&amp;INDEX(Produtos!$C$2:$C$11,MATCH(F1750,Produtos!$A$2:$A$11,0))</f>
        <v>Celular Samsung</v>
      </c>
      <c r="H1750" s="2" t="n">
        <v>1</v>
      </c>
      <c r="I1750" s="5" t="n">
        <f aca="false">INDEX(Produtos!$D$2:$D$11,MATCH(F1750,Produtos!$A$2:$A$11,0))</f>
        <v>2499</v>
      </c>
      <c r="J1750" s="5" t="n">
        <f aca="false">H1750*I1750</f>
        <v>2499</v>
      </c>
      <c r="K1750" s="5" t="n">
        <f aca="false">INDEX(Produtos!$E$2:$E$11,MATCH(F1750,Produtos!$A$2:$A$11,0))</f>
        <v>1800</v>
      </c>
      <c r="L1750" s="5" t="n">
        <f aca="false">H1750*K1750</f>
        <v>1800</v>
      </c>
    </row>
    <row r="1751" customFormat="false" ht="15" hidden="false" customHeight="false" outlineLevel="0" collapsed="false">
      <c r="A1751" s="2" t="s">
        <v>2033</v>
      </c>
      <c r="B1751" s="8" t="n">
        <v>46170</v>
      </c>
      <c r="C1751" s="2" t="s">
        <v>166</v>
      </c>
      <c r="D1751" s="3" t="str">
        <f aca="false">INDEX(Vendedores!$C$2:$C$101,MATCH(C1751,Vendedores!$A$2:$A$101,0))</f>
        <v>L06</v>
      </c>
      <c r="E1751" s="3" t="str">
        <f aca="false">INDEX(Lojas!$E$2:$E$11,MATCH(D1751,Lojas!$A$2:$A$11,0))</f>
        <v>Sul</v>
      </c>
      <c r="F1751" s="2" t="s">
        <v>270</v>
      </c>
      <c r="G1751" s="3" t="str">
        <f aca="false">INDEX(Produtos!$B$2:$B$11,MATCH(F1751,Produtos!$A$2:$A$11,0))&amp;" "&amp;INDEX(Produtos!$C$2:$C$11,MATCH(F1751,Produtos!$A$2:$A$11,0))</f>
        <v>Controle de Videogame Xbox</v>
      </c>
      <c r="H1751" s="2" t="n">
        <v>1</v>
      </c>
      <c r="I1751" s="5" t="n">
        <f aca="false">INDEX(Produtos!$D$2:$D$11,MATCH(F1751,Produtos!$A$2:$A$11,0))</f>
        <v>349.9</v>
      </c>
      <c r="J1751" s="5" t="n">
        <f aca="false">H1751*I1751</f>
        <v>349.9</v>
      </c>
      <c r="K1751" s="5" t="n">
        <f aca="false">INDEX(Produtos!$E$2:$E$11,MATCH(F1751,Produtos!$A$2:$A$11,0))</f>
        <v>215</v>
      </c>
      <c r="L1751" s="5" t="n">
        <f aca="false">H1751*K1751</f>
        <v>215</v>
      </c>
    </row>
    <row r="1752" customFormat="false" ht="15" hidden="false" customHeight="false" outlineLevel="0" collapsed="false">
      <c r="A1752" s="2" t="s">
        <v>2034</v>
      </c>
      <c r="B1752" s="8" t="n">
        <v>46170</v>
      </c>
      <c r="C1752" s="2" t="s">
        <v>66</v>
      </c>
      <c r="D1752" s="3" t="str">
        <f aca="false">INDEX(Vendedores!$C$2:$C$101,MATCH(C1752,Vendedores!$A$2:$A$101,0))</f>
        <v>L01</v>
      </c>
      <c r="E1752" s="3" t="str">
        <f aca="false">INDEX(Lojas!$E$2:$E$11,MATCH(D1752,Lojas!$A$2:$A$11,0))</f>
        <v>Sudeste</v>
      </c>
      <c r="F1752" s="2" t="s">
        <v>267</v>
      </c>
      <c r="G1752" s="3" t="str">
        <f aca="false">INDEX(Produtos!$B$2:$B$11,MATCH(F1752,Produtos!$A$2:$A$11,0))&amp;" "&amp;INDEX(Produtos!$C$2:$C$11,MATCH(F1752,Produtos!$A$2:$A$11,0))</f>
        <v>Carregador de Celular Tipo C</v>
      </c>
      <c r="H1752" s="2" t="n">
        <v>1</v>
      </c>
      <c r="I1752" s="5" t="n">
        <f aca="false">INDEX(Produtos!$D$2:$D$11,MATCH(F1752,Produtos!$A$2:$A$11,0))</f>
        <v>44.9</v>
      </c>
      <c r="J1752" s="5" t="n">
        <f aca="false">H1752*I1752</f>
        <v>44.9</v>
      </c>
      <c r="K1752" s="5" t="n">
        <f aca="false">INDEX(Produtos!$E$2:$E$11,MATCH(F1752,Produtos!$A$2:$A$11,0))</f>
        <v>18</v>
      </c>
      <c r="L1752" s="5" t="n">
        <f aca="false">H1752*K1752</f>
        <v>18</v>
      </c>
    </row>
    <row r="1753" customFormat="false" ht="15" hidden="false" customHeight="false" outlineLevel="0" collapsed="false">
      <c r="A1753" s="2" t="s">
        <v>2035</v>
      </c>
      <c r="B1753" s="8" t="n">
        <v>46170</v>
      </c>
      <c r="C1753" s="2" t="s">
        <v>58</v>
      </c>
      <c r="D1753" s="3" t="str">
        <f aca="false">INDEX(Vendedores!$C$2:$C$101,MATCH(C1753,Vendedores!$A$2:$A$101,0))</f>
        <v>L01</v>
      </c>
      <c r="E1753" s="3" t="str">
        <f aca="false">INDEX(Lojas!$E$2:$E$11,MATCH(D1753,Lojas!$A$2:$A$11,0))</f>
        <v>Sudeste</v>
      </c>
      <c r="F1753" s="2" t="s">
        <v>252</v>
      </c>
      <c r="G1753" s="3" t="str">
        <f aca="false">INDEX(Produtos!$B$2:$B$11,MATCH(F1753,Produtos!$A$2:$A$11,0))&amp;" "&amp;INDEX(Produtos!$C$2:$C$11,MATCH(F1753,Produtos!$A$2:$A$11,0))</f>
        <v>Notebook Lenovo</v>
      </c>
      <c r="H1753" s="2" t="n">
        <v>1</v>
      </c>
      <c r="I1753" s="5" t="n">
        <f aca="false">INDEX(Produtos!$D$2:$D$11,MATCH(F1753,Produtos!$A$2:$A$11,0))</f>
        <v>3199</v>
      </c>
      <c r="J1753" s="5" t="n">
        <f aca="false">H1753*I1753</f>
        <v>3199</v>
      </c>
      <c r="K1753" s="5" t="n">
        <f aca="false">INDEX(Produtos!$E$2:$E$11,MATCH(F1753,Produtos!$A$2:$A$11,0))</f>
        <v>2350</v>
      </c>
      <c r="L1753" s="5" t="n">
        <f aca="false">H1753*K1753</f>
        <v>2350</v>
      </c>
    </row>
    <row r="1754" customFormat="false" ht="15" hidden="false" customHeight="false" outlineLevel="0" collapsed="false">
      <c r="A1754" s="2" t="s">
        <v>2036</v>
      </c>
      <c r="B1754" s="8" t="n">
        <v>46170</v>
      </c>
      <c r="C1754" s="2" t="s">
        <v>160</v>
      </c>
      <c r="D1754" s="3" t="str">
        <f aca="false">INDEX(Vendedores!$C$2:$C$101,MATCH(C1754,Vendedores!$A$2:$A$101,0))</f>
        <v>L06</v>
      </c>
      <c r="E1754" s="3" t="str">
        <f aca="false">INDEX(Lojas!$E$2:$E$11,MATCH(D1754,Lojas!$A$2:$A$11,0))</f>
        <v>Sul</v>
      </c>
      <c r="F1754" s="2" t="s">
        <v>267</v>
      </c>
      <c r="G1754" s="3" t="str">
        <f aca="false">INDEX(Produtos!$B$2:$B$11,MATCH(F1754,Produtos!$A$2:$A$11,0))&amp;" "&amp;INDEX(Produtos!$C$2:$C$11,MATCH(F1754,Produtos!$A$2:$A$11,0))</f>
        <v>Carregador de Celular Tipo C</v>
      </c>
      <c r="H1754" s="2" t="n">
        <v>3</v>
      </c>
      <c r="I1754" s="5" t="n">
        <f aca="false">INDEX(Produtos!$D$2:$D$11,MATCH(F1754,Produtos!$A$2:$A$11,0))</f>
        <v>44.9</v>
      </c>
      <c r="J1754" s="5" t="n">
        <f aca="false">H1754*I1754</f>
        <v>134.7</v>
      </c>
      <c r="K1754" s="5" t="n">
        <f aca="false">INDEX(Produtos!$E$2:$E$11,MATCH(F1754,Produtos!$A$2:$A$11,0))</f>
        <v>18</v>
      </c>
      <c r="L1754" s="5" t="n">
        <f aca="false">H1754*K1754</f>
        <v>54</v>
      </c>
    </row>
    <row r="1755" customFormat="false" ht="15" hidden="false" customHeight="false" outlineLevel="0" collapsed="false">
      <c r="A1755" s="2" t="s">
        <v>2037</v>
      </c>
      <c r="B1755" s="8" t="n">
        <v>46170</v>
      </c>
      <c r="C1755" s="2" t="s">
        <v>152</v>
      </c>
      <c r="D1755" s="3" t="str">
        <f aca="false">INDEX(Vendedores!$C$2:$C$101,MATCH(C1755,Vendedores!$A$2:$A$101,0))</f>
        <v>L06</v>
      </c>
      <c r="E1755" s="3" t="str">
        <f aca="false">INDEX(Lojas!$E$2:$E$11,MATCH(D1755,Lojas!$A$2:$A$11,0))</f>
        <v>Sul</v>
      </c>
      <c r="F1755" s="2" t="s">
        <v>270</v>
      </c>
      <c r="G1755" s="3" t="str">
        <f aca="false">INDEX(Produtos!$B$2:$B$11,MATCH(F1755,Produtos!$A$2:$A$11,0))&amp;" "&amp;INDEX(Produtos!$C$2:$C$11,MATCH(F1755,Produtos!$A$2:$A$11,0))</f>
        <v>Controle de Videogame Xbox</v>
      </c>
      <c r="H1755" s="2" t="n">
        <v>1</v>
      </c>
      <c r="I1755" s="5" t="n">
        <f aca="false">INDEX(Produtos!$D$2:$D$11,MATCH(F1755,Produtos!$A$2:$A$11,0))</f>
        <v>349.9</v>
      </c>
      <c r="J1755" s="5" t="n">
        <f aca="false">H1755*I1755</f>
        <v>349.9</v>
      </c>
      <c r="K1755" s="5" t="n">
        <f aca="false">INDEX(Produtos!$E$2:$E$11,MATCH(F1755,Produtos!$A$2:$A$11,0))</f>
        <v>215</v>
      </c>
      <c r="L1755" s="5" t="n">
        <f aca="false">H1755*K1755</f>
        <v>215</v>
      </c>
    </row>
    <row r="1756" customFormat="false" ht="15" hidden="false" customHeight="false" outlineLevel="0" collapsed="false">
      <c r="A1756" s="2" t="s">
        <v>2038</v>
      </c>
      <c r="B1756" s="8" t="n">
        <v>46170</v>
      </c>
      <c r="C1756" s="2" t="s">
        <v>180</v>
      </c>
      <c r="D1756" s="3" t="str">
        <f aca="false">INDEX(Vendedores!$C$2:$C$101,MATCH(C1756,Vendedores!$A$2:$A$101,0))</f>
        <v>L07</v>
      </c>
      <c r="E1756" s="3" t="str">
        <f aca="false">INDEX(Lojas!$E$2:$E$11,MATCH(D1756,Lojas!$A$2:$A$11,0))</f>
        <v>Sul</v>
      </c>
      <c r="F1756" s="2" t="s">
        <v>262</v>
      </c>
      <c r="G1756" s="3" t="str">
        <f aca="false">INDEX(Produtos!$B$2:$B$11,MATCH(F1756,Produtos!$A$2:$A$11,0))&amp;" "&amp;INDEX(Produtos!$C$2:$C$11,MATCH(F1756,Produtos!$A$2:$A$11,0))</f>
        <v>Fone de Ouvido De Celular</v>
      </c>
      <c r="H1756" s="2" t="n">
        <v>1</v>
      </c>
      <c r="I1756" s="5" t="n">
        <f aca="false">INDEX(Produtos!$D$2:$D$11,MATCH(F1756,Produtos!$A$2:$A$11,0))</f>
        <v>59.9</v>
      </c>
      <c r="J1756" s="5" t="n">
        <f aca="false">H1756*I1756</f>
        <v>59.9</v>
      </c>
      <c r="K1756" s="5" t="n">
        <f aca="false">INDEX(Produtos!$E$2:$E$11,MATCH(F1756,Produtos!$A$2:$A$11,0))</f>
        <v>28</v>
      </c>
      <c r="L1756" s="5" t="n">
        <f aca="false">H1756*K1756</f>
        <v>28</v>
      </c>
    </row>
    <row r="1757" customFormat="false" ht="15" hidden="false" customHeight="false" outlineLevel="0" collapsed="false">
      <c r="A1757" s="2" t="s">
        <v>2039</v>
      </c>
      <c r="B1757" s="8" t="n">
        <v>46170</v>
      </c>
      <c r="C1757" s="2" t="s">
        <v>72</v>
      </c>
      <c r="D1757" s="3" t="str">
        <f aca="false">INDEX(Vendedores!$C$2:$C$101,MATCH(C1757,Vendedores!$A$2:$A$101,0))</f>
        <v>L02</v>
      </c>
      <c r="E1757" s="3" t="str">
        <f aca="false">INDEX(Lojas!$E$2:$E$11,MATCH(D1757,Lojas!$A$2:$A$11,0))</f>
        <v>Sudeste</v>
      </c>
      <c r="F1757" s="2" t="s">
        <v>273</v>
      </c>
      <c r="G1757" s="3" t="str">
        <f aca="false">INDEX(Produtos!$B$2:$B$11,MATCH(F1757,Produtos!$A$2:$A$11,0))&amp;" "&amp;INDEX(Produtos!$C$2:$C$11,MATCH(F1757,Produtos!$A$2:$A$11,0))</f>
        <v>Controle de Videogame PS4</v>
      </c>
      <c r="H1757" s="2" t="n">
        <v>1</v>
      </c>
      <c r="I1757" s="5" t="n">
        <f aca="false">INDEX(Produtos!$D$2:$D$11,MATCH(F1757,Produtos!$A$2:$A$11,0))</f>
        <v>299.9</v>
      </c>
      <c r="J1757" s="5" t="n">
        <f aca="false">H1757*I1757</f>
        <v>299.9</v>
      </c>
      <c r="K1757" s="5" t="n">
        <f aca="false">INDEX(Produtos!$E$2:$E$11,MATCH(F1757,Produtos!$A$2:$A$11,0))</f>
        <v>175</v>
      </c>
      <c r="L1757" s="5" t="n">
        <f aca="false">H1757*K1757</f>
        <v>175</v>
      </c>
    </row>
    <row r="1758" customFormat="false" ht="15" hidden="false" customHeight="false" outlineLevel="0" collapsed="false">
      <c r="A1758" s="2" t="s">
        <v>2040</v>
      </c>
      <c r="B1758" s="8" t="n">
        <v>46171</v>
      </c>
      <c r="C1758" s="2" t="s">
        <v>201</v>
      </c>
      <c r="D1758" s="3" t="str">
        <f aca="false">INDEX(Vendedores!$C$2:$C$101,MATCH(C1758,Vendedores!$A$2:$A$101,0))</f>
        <v>L08</v>
      </c>
      <c r="E1758" s="3" t="str">
        <f aca="false">INDEX(Lojas!$E$2:$E$11,MATCH(D1758,Lojas!$A$2:$A$11,0))</f>
        <v>Nordeste</v>
      </c>
      <c r="F1758" s="2" t="s">
        <v>273</v>
      </c>
      <c r="G1758" s="3" t="str">
        <f aca="false">INDEX(Produtos!$B$2:$B$11,MATCH(F1758,Produtos!$A$2:$A$11,0))&amp;" "&amp;INDEX(Produtos!$C$2:$C$11,MATCH(F1758,Produtos!$A$2:$A$11,0))</f>
        <v>Controle de Videogame PS4</v>
      </c>
      <c r="H1758" s="2" t="n">
        <v>1</v>
      </c>
      <c r="I1758" s="5" t="n">
        <f aca="false">INDEX(Produtos!$D$2:$D$11,MATCH(F1758,Produtos!$A$2:$A$11,0))</f>
        <v>299.9</v>
      </c>
      <c r="J1758" s="5" t="n">
        <f aca="false">H1758*I1758</f>
        <v>299.9</v>
      </c>
      <c r="K1758" s="5" t="n">
        <f aca="false">INDEX(Produtos!$E$2:$E$11,MATCH(F1758,Produtos!$A$2:$A$11,0))</f>
        <v>175</v>
      </c>
      <c r="L1758" s="5" t="n">
        <f aca="false">H1758*K1758</f>
        <v>175</v>
      </c>
    </row>
    <row r="1759" customFormat="false" ht="15" hidden="false" customHeight="false" outlineLevel="0" collapsed="false">
      <c r="A1759" s="2" t="s">
        <v>2041</v>
      </c>
      <c r="B1759" s="8" t="n">
        <v>46171</v>
      </c>
      <c r="C1759" s="2" t="s">
        <v>164</v>
      </c>
      <c r="D1759" s="3" t="str">
        <f aca="false">INDEX(Vendedores!$C$2:$C$101,MATCH(C1759,Vendedores!$A$2:$A$101,0))</f>
        <v>L06</v>
      </c>
      <c r="E1759" s="3" t="str">
        <f aca="false">INDEX(Lojas!$E$2:$E$11,MATCH(D1759,Lojas!$A$2:$A$11,0))</f>
        <v>Sul</v>
      </c>
      <c r="F1759" s="2" t="s">
        <v>255</v>
      </c>
      <c r="G1759" s="3" t="str">
        <f aca="false">INDEX(Produtos!$B$2:$B$11,MATCH(F1759,Produtos!$A$2:$A$11,0))&amp;" "&amp;INDEX(Produtos!$C$2:$C$11,MATCH(F1759,Produtos!$A$2:$A$11,0))</f>
        <v>Notebook Positivo</v>
      </c>
      <c r="H1759" s="2" t="n">
        <v>3</v>
      </c>
      <c r="I1759" s="5" t="n">
        <f aca="false">INDEX(Produtos!$D$2:$D$11,MATCH(F1759,Produtos!$A$2:$A$11,0))</f>
        <v>2199</v>
      </c>
      <c r="J1759" s="5" t="n">
        <f aca="false">H1759*I1759</f>
        <v>6597</v>
      </c>
      <c r="K1759" s="5" t="n">
        <f aca="false">INDEX(Produtos!$E$2:$E$11,MATCH(F1759,Produtos!$A$2:$A$11,0))</f>
        <v>1550</v>
      </c>
      <c r="L1759" s="5" t="n">
        <f aca="false">H1759*K1759</f>
        <v>4650</v>
      </c>
    </row>
    <row r="1760" customFormat="false" ht="15" hidden="false" customHeight="false" outlineLevel="0" collapsed="false">
      <c r="A1760" s="2" t="s">
        <v>2042</v>
      </c>
      <c r="B1760" s="8" t="n">
        <v>46171</v>
      </c>
      <c r="C1760" s="2" t="s">
        <v>221</v>
      </c>
      <c r="D1760" s="3" t="str">
        <f aca="false">INDEX(Vendedores!$C$2:$C$101,MATCH(C1760,Vendedores!$A$2:$A$101,0))</f>
        <v>L09</v>
      </c>
      <c r="E1760" s="3" t="str">
        <f aca="false">INDEX(Lojas!$E$2:$E$11,MATCH(D1760,Lojas!$A$2:$A$11,0))</f>
        <v>Nordeste</v>
      </c>
      <c r="F1760" s="2" t="s">
        <v>260</v>
      </c>
      <c r="G1760" s="3" t="str">
        <f aca="false">INDEX(Produtos!$B$2:$B$11,MATCH(F1760,Produtos!$A$2:$A$11,0))&amp;" "&amp;INDEX(Produtos!$C$2:$C$11,MATCH(F1760,Produtos!$A$2:$A$11,0))</f>
        <v>Celular Motorola</v>
      </c>
      <c r="H1760" s="2" t="n">
        <v>2</v>
      </c>
      <c r="I1760" s="5" t="n">
        <f aca="false">INDEX(Produtos!$D$2:$D$11,MATCH(F1760,Produtos!$A$2:$A$11,0))</f>
        <v>1799</v>
      </c>
      <c r="J1760" s="5" t="n">
        <f aca="false">H1760*I1760</f>
        <v>3598</v>
      </c>
      <c r="K1760" s="5" t="n">
        <f aca="false">INDEX(Produtos!$E$2:$E$11,MATCH(F1760,Produtos!$A$2:$A$11,0))</f>
        <v>1250</v>
      </c>
      <c r="L1760" s="5" t="n">
        <f aca="false">H1760*K1760</f>
        <v>2500</v>
      </c>
    </row>
    <row r="1761" customFormat="false" ht="15" hidden="false" customHeight="false" outlineLevel="0" collapsed="false">
      <c r="A1761" s="2" t="s">
        <v>2043</v>
      </c>
      <c r="B1761" s="8" t="n">
        <v>46171</v>
      </c>
      <c r="C1761" s="2" t="s">
        <v>62</v>
      </c>
      <c r="D1761" s="3" t="str">
        <f aca="false">INDEX(Vendedores!$C$2:$C$101,MATCH(C1761,Vendedores!$A$2:$A$101,0))</f>
        <v>L01</v>
      </c>
      <c r="E1761" s="3" t="str">
        <f aca="false">INDEX(Lojas!$E$2:$E$11,MATCH(D1761,Lojas!$A$2:$A$11,0))</f>
        <v>Sudeste</v>
      </c>
      <c r="F1761" s="2" t="s">
        <v>257</v>
      </c>
      <c r="G1761" s="3" t="str">
        <f aca="false">INDEX(Produtos!$B$2:$B$11,MATCH(F1761,Produtos!$A$2:$A$11,0))&amp;" "&amp;INDEX(Produtos!$C$2:$C$11,MATCH(F1761,Produtos!$A$2:$A$11,0))</f>
        <v>Celular Samsung</v>
      </c>
      <c r="H1761" s="2" t="n">
        <v>2</v>
      </c>
      <c r="I1761" s="5" t="n">
        <f aca="false">INDEX(Produtos!$D$2:$D$11,MATCH(F1761,Produtos!$A$2:$A$11,0))</f>
        <v>2499</v>
      </c>
      <c r="J1761" s="5" t="n">
        <f aca="false">H1761*I1761</f>
        <v>4998</v>
      </c>
      <c r="K1761" s="5" t="n">
        <f aca="false">INDEX(Produtos!$E$2:$E$11,MATCH(F1761,Produtos!$A$2:$A$11,0))</f>
        <v>1800</v>
      </c>
      <c r="L1761" s="5" t="n">
        <f aca="false">H1761*K1761</f>
        <v>3600</v>
      </c>
    </row>
    <row r="1762" customFormat="false" ht="15" hidden="false" customHeight="false" outlineLevel="0" collapsed="false">
      <c r="A1762" s="2" t="s">
        <v>2044</v>
      </c>
      <c r="B1762" s="8" t="n">
        <v>46171</v>
      </c>
      <c r="C1762" s="2" t="s">
        <v>229</v>
      </c>
      <c r="D1762" s="3" t="str">
        <f aca="false">INDEX(Vendedores!$C$2:$C$101,MATCH(C1762,Vendedores!$A$2:$A$101,0))</f>
        <v>L10</v>
      </c>
      <c r="E1762" s="3" t="str">
        <f aca="false">INDEX(Lojas!$E$2:$E$11,MATCH(D1762,Lojas!$A$2:$A$11,0))</f>
        <v>Nordeste</v>
      </c>
      <c r="F1762" s="2" t="s">
        <v>273</v>
      </c>
      <c r="G1762" s="3" t="str">
        <f aca="false">INDEX(Produtos!$B$2:$B$11,MATCH(F1762,Produtos!$A$2:$A$11,0))&amp;" "&amp;INDEX(Produtos!$C$2:$C$11,MATCH(F1762,Produtos!$A$2:$A$11,0))</f>
        <v>Controle de Videogame PS4</v>
      </c>
      <c r="H1762" s="2" t="n">
        <v>1</v>
      </c>
      <c r="I1762" s="5" t="n">
        <f aca="false">INDEX(Produtos!$D$2:$D$11,MATCH(F1762,Produtos!$A$2:$A$11,0))</f>
        <v>299.9</v>
      </c>
      <c r="J1762" s="5" t="n">
        <f aca="false">H1762*I1762</f>
        <v>299.9</v>
      </c>
      <c r="K1762" s="5" t="n">
        <f aca="false">INDEX(Produtos!$E$2:$E$11,MATCH(F1762,Produtos!$A$2:$A$11,0))</f>
        <v>175</v>
      </c>
      <c r="L1762" s="5" t="n">
        <f aca="false">H1762*K1762</f>
        <v>175</v>
      </c>
    </row>
    <row r="1763" customFormat="false" ht="15" hidden="false" customHeight="false" outlineLevel="0" collapsed="false">
      <c r="A1763" s="2" t="s">
        <v>2045</v>
      </c>
      <c r="B1763" s="8" t="n">
        <v>46171</v>
      </c>
      <c r="C1763" s="2" t="s">
        <v>178</v>
      </c>
      <c r="D1763" s="3" t="str">
        <f aca="false">INDEX(Vendedores!$C$2:$C$101,MATCH(C1763,Vendedores!$A$2:$A$101,0))</f>
        <v>L07</v>
      </c>
      <c r="E1763" s="3" t="str">
        <f aca="false">INDEX(Lojas!$E$2:$E$11,MATCH(D1763,Lojas!$A$2:$A$11,0))</f>
        <v>Sul</v>
      </c>
      <c r="F1763" s="2" t="s">
        <v>270</v>
      </c>
      <c r="G1763" s="3" t="str">
        <f aca="false">INDEX(Produtos!$B$2:$B$11,MATCH(F1763,Produtos!$A$2:$A$11,0))&amp;" "&amp;INDEX(Produtos!$C$2:$C$11,MATCH(F1763,Produtos!$A$2:$A$11,0))</f>
        <v>Controle de Videogame Xbox</v>
      </c>
      <c r="H1763" s="2" t="n">
        <v>1</v>
      </c>
      <c r="I1763" s="5" t="n">
        <f aca="false">INDEX(Produtos!$D$2:$D$11,MATCH(F1763,Produtos!$A$2:$A$11,0))</f>
        <v>349.9</v>
      </c>
      <c r="J1763" s="5" t="n">
        <f aca="false">H1763*I1763</f>
        <v>349.9</v>
      </c>
      <c r="K1763" s="5" t="n">
        <f aca="false">INDEX(Produtos!$E$2:$E$11,MATCH(F1763,Produtos!$A$2:$A$11,0))</f>
        <v>215</v>
      </c>
      <c r="L1763" s="5" t="n">
        <f aca="false">H1763*K1763</f>
        <v>215</v>
      </c>
    </row>
    <row r="1764" customFormat="false" ht="15" hidden="false" customHeight="false" outlineLevel="0" collapsed="false">
      <c r="A1764" s="2" t="s">
        <v>2046</v>
      </c>
      <c r="B1764" s="8" t="n">
        <v>46171</v>
      </c>
      <c r="C1764" s="2" t="s">
        <v>199</v>
      </c>
      <c r="D1764" s="3" t="str">
        <f aca="false">INDEX(Vendedores!$C$2:$C$101,MATCH(C1764,Vendedores!$A$2:$A$101,0))</f>
        <v>L08</v>
      </c>
      <c r="E1764" s="3" t="str">
        <f aca="false">INDEX(Lojas!$E$2:$E$11,MATCH(D1764,Lojas!$A$2:$A$11,0))</f>
        <v>Nordeste</v>
      </c>
      <c r="F1764" s="2" t="s">
        <v>252</v>
      </c>
      <c r="G1764" s="3" t="str">
        <f aca="false">INDEX(Produtos!$B$2:$B$11,MATCH(F1764,Produtos!$A$2:$A$11,0))&amp;" "&amp;INDEX(Produtos!$C$2:$C$11,MATCH(F1764,Produtos!$A$2:$A$11,0))</f>
        <v>Notebook Lenovo</v>
      </c>
      <c r="H1764" s="2" t="n">
        <v>1</v>
      </c>
      <c r="I1764" s="5" t="n">
        <f aca="false">INDEX(Produtos!$D$2:$D$11,MATCH(F1764,Produtos!$A$2:$A$11,0))</f>
        <v>3199</v>
      </c>
      <c r="J1764" s="5" t="n">
        <f aca="false">H1764*I1764</f>
        <v>3199</v>
      </c>
      <c r="K1764" s="5" t="n">
        <f aca="false">INDEX(Produtos!$E$2:$E$11,MATCH(F1764,Produtos!$A$2:$A$11,0))</f>
        <v>2350</v>
      </c>
      <c r="L1764" s="5" t="n">
        <f aca="false">H1764*K1764</f>
        <v>2350</v>
      </c>
    </row>
    <row r="1765" customFormat="false" ht="15" hidden="false" customHeight="false" outlineLevel="0" collapsed="false">
      <c r="A1765" s="2" t="s">
        <v>2047</v>
      </c>
      <c r="B1765" s="8" t="n">
        <v>46171</v>
      </c>
      <c r="C1765" s="2" t="s">
        <v>144</v>
      </c>
      <c r="D1765" s="3" t="str">
        <f aca="false">INDEX(Vendedores!$C$2:$C$101,MATCH(C1765,Vendedores!$A$2:$A$101,0))</f>
        <v>L05</v>
      </c>
      <c r="E1765" s="3" t="str">
        <f aca="false">INDEX(Lojas!$E$2:$E$11,MATCH(D1765,Lojas!$A$2:$A$11,0))</f>
        <v>Sul</v>
      </c>
      <c r="F1765" s="2" t="s">
        <v>273</v>
      </c>
      <c r="G1765" s="3" t="str">
        <f aca="false">INDEX(Produtos!$B$2:$B$11,MATCH(F1765,Produtos!$A$2:$A$11,0))&amp;" "&amp;INDEX(Produtos!$C$2:$C$11,MATCH(F1765,Produtos!$A$2:$A$11,0))</f>
        <v>Controle de Videogame PS4</v>
      </c>
      <c r="H1765" s="2" t="n">
        <v>1</v>
      </c>
      <c r="I1765" s="5" t="n">
        <f aca="false">INDEX(Produtos!$D$2:$D$11,MATCH(F1765,Produtos!$A$2:$A$11,0))</f>
        <v>299.9</v>
      </c>
      <c r="J1765" s="5" t="n">
        <f aca="false">H1765*I1765</f>
        <v>299.9</v>
      </c>
      <c r="K1765" s="5" t="n">
        <f aca="false">INDEX(Produtos!$E$2:$E$11,MATCH(F1765,Produtos!$A$2:$A$11,0))</f>
        <v>175</v>
      </c>
      <c r="L1765" s="5" t="n">
        <f aca="false">H1765*K1765</f>
        <v>175</v>
      </c>
    </row>
    <row r="1766" customFormat="false" ht="15" hidden="false" customHeight="false" outlineLevel="0" collapsed="false">
      <c r="A1766" s="2" t="s">
        <v>2048</v>
      </c>
      <c r="B1766" s="8" t="n">
        <v>46171</v>
      </c>
      <c r="C1766" s="2" t="s">
        <v>213</v>
      </c>
      <c r="D1766" s="3" t="str">
        <f aca="false">INDEX(Vendedores!$C$2:$C$101,MATCH(C1766,Vendedores!$A$2:$A$101,0))</f>
        <v>L09</v>
      </c>
      <c r="E1766" s="3" t="str">
        <f aca="false">INDEX(Lojas!$E$2:$E$11,MATCH(D1766,Lojas!$A$2:$A$11,0))</f>
        <v>Nordeste</v>
      </c>
      <c r="F1766" s="2" t="s">
        <v>255</v>
      </c>
      <c r="G1766" s="3" t="str">
        <f aca="false">INDEX(Produtos!$B$2:$B$11,MATCH(F1766,Produtos!$A$2:$A$11,0))&amp;" "&amp;INDEX(Produtos!$C$2:$C$11,MATCH(F1766,Produtos!$A$2:$A$11,0))</f>
        <v>Notebook Positivo</v>
      </c>
      <c r="H1766" s="2" t="n">
        <v>1</v>
      </c>
      <c r="I1766" s="5" t="n">
        <f aca="false">INDEX(Produtos!$D$2:$D$11,MATCH(F1766,Produtos!$A$2:$A$11,0))</f>
        <v>2199</v>
      </c>
      <c r="J1766" s="5" t="n">
        <f aca="false">H1766*I1766</f>
        <v>2199</v>
      </c>
      <c r="K1766" s="5" t="n">
        <f aca="false">INDEX(Produtos!$E$2:$E$11,MATCH(F1766,Produtos!$A$2:$A$11,0))</f>
        <v>1550</v>
      </c>
      <c r="L1766" s="5" t="n">
        <f aca="false">H1766*K1766</f>
        <v>1550</v>
      </c>
    </row>
    <row r="1767" customFormat="false" ht="15" hidden="false" customHeight="false" outlineLevel="0" collapsed="false">
      <c r="A1767" s="2" t="s">
        <v>2049</v>
      </c>
      <c r="B1767" s="8" t="n">
        <v>46171</v>
      </c>
      <c r="C1767" s="2" t="s">
        <v>137</v>
      </c>
      <c r="D1767" s="3" t="str">
        <f aca="false">INDEX(Vendedores!$C$2:$C$101,MATCH(C1767,Vendedores!$A$2:$A$101,0))</f>
        <v>L05</v>
      </c>
      <c r="E1767" s="3" t="str">
        <f aca="false">INDEX(Lojas!$E$2:$E$11,MATCH(D1767,Lojas!$A$2:$A$11,0))</f>
        <v>Sul</v>
      </c>
      <c r="F1767" s="2" t="s">
        <v>267</v>
      </c>
      <c r="G1767" s="3" t="str">
        <f aca="false">INDEX(Produtos!$B$2:$B$11,MATCH(F1767,Produtos!$A$2:$A$11,0))&amp;" "&amp;INDEX(Produtos!$C$2:$C$11,MATCH(F1767,Produtos!$A$2:$A$11,0))</f>
        <v>Carregador de Celular Tipo C</v>
      </c>
      <c r="H1767" s="2" t="n">
        <v>1</v>
      </c>
      <c r="I1767" s="5" t="n">
        <f aca="false">INDEX(Produtos!$D$2:$D$11,MATCH(F1767,Produtos!$A$2:$A$11,0))</f>
        <v>44.9</v>
      </c>
      <c r="J1767" s="5" t="n">
        <f aca="false">H1767*I1767</f>
        <v>44.9</v>
      </c>
      <c r="K1767" s="5" t="n">
        <f aca="false">INDEX(Produtos!$E$2:$E$11,MATCH(F1767,Produtos!$A$2:$A$11,0))</f>
        <v>18</v>
      </c>
      <c r="L1767" s="5" t="n">
        <f aca="false">H1767*K1767</f>
        <v>18</v>
      </c>
    </row>
    <row r="1768" customFormat="false" ht="15" hidden="false" customHeight="false" outlineLevel="0" collapsed="false">
      <c r="A1768" s="2" t="s">
        <v>2050</v>
      </c>
      <c r="B1768" s="8" t="n">
        <v>46171</v>
      </c>
      <c r="C1768" s="2" t="s">
        <v>62</v>
      </c>
      <c r="D1768" s="3" t="str">
        <f aca="false">INDEX(Vendedores!$C$2:$C$101,MATCH(C1768,Vendedores!$A$2:$A$101,0))</f>
        <v>L01</v>
      </c>
      <c r="E1768" s="3" t="str">
        <f aca="false">INDEX(Lojas!$E$2:$E$11,MATCH(D1768,Lojas!$A$2:$A$11,0))</f>
        <v>Sudeste</v>
      </c>
      <c r="F1768" s="2" t="s">
        <v>273</v>
      </c>
      <c r="G1768" s="3" t="str">
        <f aca="false">INDEX(Produtos!$B$2:$B$11,MATCH(F1768,Produtos!$A$2:$A$11,0))&amp;" "&amp;INDEX(Produtos!$C$2:$C$11,MATCH(F1768,Produtos!$A$2:$A$11,0))</f>
        <v>Controle de Videogame PS4</v>
      </c>
      <c r="H1768" s="2" t="n">
        <v>2</v>
      </c>
      <c r="I1768" s="5" t="n">
        <f aca="false">INDEX(Produtos!$D$2:$D$11,MATCH(F1768,Produtos!$A$2:$A$11,0))</f>
        <v>299.9</v>
      </c>
      <c r="J1768" s="5" t="n">
        <f aca="false">H1768*I1768</f>
        <v>599.8</v>
      </c>
      <c r="K1768" s="5" t="n">
        <f aca="false">INDEX(Produtos!$E$2:$E$11,MATCH(F1768,Produtos!$A$2:$A$11,0))</f>
        <v>175</v>
      </c>
      <c r="L1768" s="5" t="n">
        <f aca="false">H1768*K1768</f>
        <v>350</v>
      </c>
    </row>
    <row r="1769" customFormat="false" ht="15" hidden="false" customHeight="false" outlineLevel="0" collapsed="false">
      <c r="A1769" s="2" t="s">
        <v>2051</v>
      </c>
      <c r="B1769" s="8" t="n">
        <v>46172</v>
      </c>
      <c r="C1769" s="2" t="s">
        <v>104</v>
      </c>
      <c r="D1769" s="3" t="str">
        <f aca="false">INDEX(Vendedores!$C$2:$C$101,MATCH(C1769,Vendedores!$A$2:$A$101,0))</f>
        <v>L03</v>
      </c>
      <c r="E1769" s="3" t="str">
        <f aca="false">INDEX(Lojas!$E$2:$E$11,MATCH(D1769,Lojas!$A$2:$A$11,0))</f>
        <v>Sudeste</v>
      </c>
      <c r="F1769" s="2" t="s">
        <v>262</v>
      </c>
      <c r="G1769" s="3" t="str">
        <f aca="false">INDEX(Produtos!$B$2:$B$11,MATCH(F1769,Produtos!$A$2:$A$11,0))&amp;" "&amp;INDEX(Produtos!$C$2:$C$11,MATCH(F1769,Produtos!$A$2:$A$11,0))</f>
        <v>Fone de Ouvido De Celular</v>
      </c>
      <c r="H1769" s="2" t="n">
        <v>1</v>
      </c>
      <c r="I1769" s="5" t="n">
        <f aca="false">INDEX(Produtos!$D$2:$D$11,MATCH(F1769,Produtos!$A$2:$A$11,0))</f>
        <v>59.9</v>
      </c>
      <c r="J1769" s="5" t="n">
        <f aca="false">H1769*I1769</f>
        <v>59.9</v>
      </c>
      <c r="K1769" s="5" t="n">
        <f aca="false">INDEX(Produtos!$E$2:$E$11,MATCH(F1769,Produtos!$A$2:$A$11,0))</f>
        <v>28</v>
      </c>
      <c r="L1769" s="5" t="n">
        <f aca="false">H1769*K1769</f>
        <v>28</v>
      </c>
    </row>
    <row r="1770" customFormat="false" ht="15" hidden="false" customHeight="false" outlineLevel="0" collapsed="false">
      <c r="A1770" s="2" t="s">
        <v>2052</v>
      </c>
      <c r="B1770" s="8" t="n">
        <v>46172</v>
      </c>
      <c r="C1770" s="2" t="s">
        <v>215</v>
      </c>
      <c r="D1770" s="3" t="str">
        <f aca="false">INDEX(Vendedores!$C$2:$C$101,MATCH(C1770,Vendedores!$A$2:$A$101,0))</f>
        <v>L09</v>
      </c>
      <c r="E1770" s="3" t="str">
        <f aca="false">INDEX(Lojas!$E$2:$E$11,MATCH(D1770,Lojas!$A$2:$A$11,0))</f>
        <v>Nordeste</v>
      </c>
      <c r="F1770" s="2" t="s">
        <v>260</v>
      </c>
      <c r="G1770" s="3" t="str">
        <f aca="false">INDEX(Produtos!$B$2:$B$11,MATCH(F1770,Produtos!$A$2:$A$11,0))&amp;" "&amp;INDEX(Produtos!$C$2:$C$11,MATCH(F1770,Produtos!$A$2:$A$11,0))</f>
        <v>Celular Motorola</v>
      </c>
      <c r="H1770" s="2" t="n">
        <v>1</v>
      </c>
      <c r="I1770" s="5" t="n">
        <f aca="false">INDEX(Produtos!$D$2:$D$11,MATCH(F1770,Produtos!$A$2:$A$11,0))</f>
        <v>1799</v>
      </c>
      <c r="J1770" s="5" t="n">
        <f aca="false">H1770*I1770</f>
        <v>1799</v>
      </c>
      <c r="K1770" s="5" t="n">
        <f aca="false">INDEX(Produtos!$E$2:$E$11,MATCH(F1770,Produtos!$A$2:$A$11,0))</f>
        <v>1250</v>
      </c>
      <c r="L1770" s="5" t="n">
        <f aca="false">H1770*K1770</f>
        <v>1250</v>
      </c>
    </row>
    <row r="1771" customFormat="false" ht="15" hidden="false" customHeight="false" outlineLevel="0" collapsed="false">
      <c r="A1771" s="2" t="s">
        <v>2053</v>
      </c>
      <c r="B1771" s="8" t="n">
        <v>46172</v>
      </c>
      <c r="C1771" s="2" t="s">
        <v>205</v>
      </c>
      <c r="D1771" s="3" t="str">
        <f aca="false">INDEX(Vendedores!$C$2:$C$101,MATCH(C1771,Vendedores!$A$2:$A$101,0))</f>
        <v>L09</v>
      </c>
      <c r="E1771" s="3" t="str">
        <f aca="false">INDEX(Lojas!$E$2:$E$11,MATCH(D1771,Lojas!$A$2:$A$11,0))</f>
        <v>Nordeste</v>
      </c>
      <c r="F1771" s="2" t="s">
        <v>273</v>
      </c>
      <c r="G1771" s="3" t="str">
        <f aca="false">INDEX(Produtos!$B$2:$B$11,MATCH(F1771,Produtos!$A$2:$A$11,0))&amp;" "&amp;INDEX(Produtos!$C$2:$C$11,MATCH(F1771,Produtos!$A$2:$A$11,0))</f>
        <v>Controle de Videogame PS4</v>
      </c>
      <c r="H1771" s="2" t="n">
        <v>2</v>
      </c>
      <c r="I1771" s="5" t="n">
        <f aca="false">INDEX(Produtos!$D$2:$D$11,MATCH(F1771,Produtos!$A$2:$A$11,0))</f>
        <v>299.9</v>
      </c>
      <c r="J1771" s="5" t="n">
        <f aca="false">H1771*I1771</f>
        <v>599.8</v>
      </c>
      <c r="K1771" s="5" t="n">
        <f aca="false">INDEX(Produtos!$E$2:$E$11,MATCH(F1771,Produtos!$A$2:$A$11,0))</f>
        <v>175</v>
      </c>
      <c r="L1771" s="5" t="n">
        <f aca="false">H1771*K1771</f>
        <v>350</v>
      </c>
    </row>
    <row r="1772" customFormat="false" ht="15" hidden="false" customHeight="false" outlineLevel="0" collapsed="false">
      <c r="A1772" s="2" t="s">
        <v>2054</v>
      </c>
      <c r="B1772" s="8" t="n">
        <v>46172</v>
      </c>
      <c r="C1772" s="2" t="s">
        <v>102</v>
      </c>
      <c r="D1772" s="3" t="str">
        <f aca="false">INDEX(Vendedores!$C$2:$C$101,MATCH(C1772,Vendedores!$A$2:$A$101,0))</f>
        <v>L03</v>
      </c>
      <c r="E1772" s="3" t="str">
        <f aca="false">INDEX(Lojas!$E$2:$E$11,MATCH(D1772,Lojas!$A$2:$A$11,0))</f>
        <v>Sudeste</v>
      </c>
      <c r="F1772" s="2" t="s">
        <v>257</v>
      </c>
      <c r="G1772" s="3" t="str">
        <f aca="false">INDEX(Produtos!$B$2:$B$11,MATCH(F1772,Produtos!$A$2:$A$11,0))&amp;" "&amp;INDEX(Produtos!$C$2:$C$11,MATCH(F1772,Produtos!$A$2:$A$11,0))</f>
        <v>Celular Samsung</v>
      </c>
      <c r="H1772" s="2" t="n">
        <v>1</v>
      </c>
      <c r="I1772" s="5" t="n">
        <f aca="false">INDEX(Produtos!$D$2:$D$11,MATCH(F1772,Produtos!$A$2:$A$11,0))</f>
        <v>2499</v>
      </c>
      <c r="J1772" s="5" t="n">
        <f aca="false">H1772*I1772</f>
        <v>2499</v>
      </c>
      <c r="K1772" s="5" t="n">
        <f aca="false">INDEX(Produtos!$E$2:$E$11,MATCH(F1772,Produtos!$A$2:$A$11,0))</f>
        <v>1800</v>
      </c>
      <c r="L1772" s="5" t="n">
        <f aca="false">H1772*K1772</f>
        <v>1800</v>
      </c>
    </row>
    <row r="1773" customFormat="false" ht="15" hidden="false" customHeight="false" outlineLevel="0" collapsed="false">
      <c r="A1773" s="2" t="s">
        <v>2055</v>
      </c>
      <c r="B1773" s="8" t="n">
        <v>46172</v>
      </c>
      <c r="C1773" s="2" t="s">
        <v>203</v>
      </c>
      <c r="D1773" s="3" t="str">
        <f aca="false">INDEX(Vendedores!$C$2:$C$101,MATCH(C1773,Vendedores!$A$2:$A$101,0))</f>
        <v>L08</v>
      </c>
      <c r="E1773" s="3" t="str">
        <f aca="false">INDEX(Lojas!$E$2:$E$11,MATCH(D1773,Lojas!$A$2:$A$11,0))</f>
        <v>Nordeste</v>
      </c>
      <c r="F1773" s="2" t="s">
        <v>273</v>
      </c>
      <c r="G1773" s="3" t="str">
        <f aca="false">INDEX(Produtos!$B$2:$B$11,MATCH(F1773,Produtos!$A$2:$A$11,0))&amp;" "&amp;INDEX(Produtos!$C$2:$C$11,MATCH(F1773,Produtos!$A$2:$A$11,0))</f>
        <v>Controle de Videogame PS4</v>
      </c>
      <c r="H1773" s="2" t="n">
        <v>1</v>
      </c>
      <c r="I1773" s="5" t="n">
        <f aca="false">INDEX(Produtos!$D$2:$D$11,MATCH(F1773,Produtos!$A$2:$A$11,0))</f>
        <v>299.9</v>
      </c>
      <c r="J1773" s="5" t="n">
        <f aca="false">H1773*I1773</f>
        <v>299.9</v>
      </c>
      <c r="K1773" s="5" t="n">
        <f aca="false">INDEX(Produtos!$E$2:$E$11,MATCH(F1773,Produtos!$A$2:$A$11,0))</f>
        <v>175</v>
      </c>
      <c r="L1773" s="5" t="n">
        <f aca="false">H1773*K1773</f>
        <v>175</v>
      </c>
    </row>
    <row r="1774" customFormat="false" ht="15" hidden="false" customHeight="false" outlineLevel="0" collapsed="false">
      <c r="A1774" s="2" t="s">
        <v>2056</v>
      </c>
      <c r="B1774" s="8" t="n">
        <v>46172</v>
      </c>
      <c r="C1774" s="2" t="s">
        <v>70</v>
      </c>
      <c r="D1774" s="3" t="str">
        <f aca="false">INDEX(Vendedores!$C$2:$C$101,MATCH(C1774,Vendedores!$A$2:$A$101,0))</f>
        <v>L02</v>
      </c>
      <c r="E1774" s="3" t="str">
        <f aca="false">INDEX(Lojas!$E$2:$E$11,MATCH(D1774,Lojas!$A$2:$A$11,0))</f>
        <v>Sudeste</v>
      </c>
      <c r="F1774" s="2" t="s">
        <v>265</v>
      </c>
      <c r="G1774" s="3" t="str">
        <f aca="false">INDEX(Produtos!$B$2:$B$11,MATCH(F1774,Produtos!$A$2:$A$11,0))&amp;" "&amp;INDEX(Produtos!$C$2:$C$11,MATCH(F1774,Produtos!$A$2:$A$11,0))</f>
        <v>Fone de Ouvido Headset</v>
      </c>
      <c r="H1774" s="2" t="n">
        <v>2</v>
      </c>
      <c r="I1774" s="5" t="n">
        <f aca="false">INDEX(Produtos!$D$2:$D$11,MATCH(F1774,Produtos!$A$2:$A$11,0))</f>
        <v>249.9</v>
      </c>
      <c r="J1774" s="5" t="n">
        <f aca="false">H1774*I1774</f>
        <v>499.8</v>
      </c>
      <c r="K1774" s="5" t="n">
        <f aca="false">INDEX(Produtos!$E$2:$E$11,MATCH(F1774,Produtos!$A$2:$A$11,0))</f>
        <v>145</v>
      </c>
      <c r="L1774" s="5" t="n">
        <f aca="false">H1774*K1774</f>
        <v>290</v>
      </c>
    </row>
    <row r="1775" customFormat="false" ht="15" hidden="false" customHeight="false" outlineLevel="0" collapsed="false">
      <c r="A1775" s="2" t="s">
        <v>2057</v>
      </c>
      <c r="B1775" s="8" t="n">
        <v>46172</v>
      </c>
      <c r="C1775" s="2" t="s">
        <v>76</v>
      </c>
      <c r="D1775" s="3" t="str">
        <f aca="false">INDEX(Vendedores!$C$2:$C$101,MATCH(C1775,Vendedores!$A$2:$A$101,0))</f>
        <v>L02</v>
      </c>
      <c r="E1775" s="3" t="str">
        <f aca="false">INDEX(Lojas!$E$2:$E$11,MATCH(D1775,Lojas!$A$2:$A$11,0))</f>
        <v>Sudeste</v>
      </c>
      <c r="F1775" s="2" t="s">
        <v>257</v>
      </c>
      <c r="G1775" s="3" t="str">
        <f aca="false">INDEX(Produtos!$B$2:$B$11,MATCH(F1775,Produtos!$A$2:$A$11,0))&amp;" "&amp;INDEX(Produtos!$C$2:$C$11,MATCH(F1775,Produtos!$A$2:$A$11,0))</f>
        <v>Celular Samsung</v>
      </c>
      <c r="H1775" s="2" t="n">
        <v>1</v>
      </c>
      <c r="I1775" s="5" t="n">
        <f aca="false">INDEX(Produtos!$D$2:$D$11,MATCH(F1775,Produtos!$A$2:$A$11,0))</f>
        <v>2499</v>
      </c>
      <c r="J1775" s="5" t="n">
        <f aca="false">H1775*I1775</f>
        <v>2499</v>
      </c>
      <c r="K1775" s="5" t="n">
        <f aca="false">INDEX(Produtos!$E$2:$E$11,MATCH(F1775,Produtos!$A$2:$A$11,0))</f>
        <v>1800</v>
      </c>
      <c r="L1775" s="5" t="n">
        <f aca="false">H1775*K1775</f>
        <v>1800</v>
      </c>
    </row>
    <row r="1776" customFormat="false" ht="15" hidden="false" customHeight="false" outlineLevel="0" collapsed="false">
      <c r="A1776" s="2" t="s">
        <v>2058</v>
      </c>
      <c r="B1776" s="8" t="n">
        <v>46172</v>
      </c>
      <c r="C1776" s="2" t="s">
        <v>158</v>
      </c>
      <c r="D1776" s="3" t="str">
        <f aca="false">INDEX(Vendedores!$C$2:$C$101,MATCH(C1776,Vendedores!$A$2:$A$101,0))</f>
        <v>L06</v>
      </c>
      <c r="E1776" s="3" t="str">
        <f aca="false">INDEX(Lojas!$E$2:$E$11,MATCH(D1776,Lojas!$A$2:$A$11,0))</f>
        <v>Sul</v>
      </c>
      <c r="F1776" s="2" t="s">
        <v>270</v>
      </c>
      <c r="G1776" s="3" t="str">
        <f aca="false">INDEX(Produtos!$B$2:$B$11,MATCH(F1776,Produtos!$A$2:$A$11,0))&amp;" "&amp;INDEX(Produtos!$C$2:$C$11,MATCH(F1776,Produtos!$A$2:$A$11,0))</f>
        <v>Controle de Videogame Xbox</v>
      </c>
      <c r="H1776" s="2" t="n">
        <v>1</v>
      </c>
      <c r="I1776" s="5" t="n">
        <f aca="false">INDEX(Produtos!$D$2:$D$11,MATCH(F1776,Produtos!$A$2:$A$11,0))</f>
        <v>349.9</v>
      </c>
      <c r="J1776" s="5" t="n">
        <f aca="false">H1776*I1776</f>
        <v>349.9</v>
      </c>
      <c r="K1776" s="5" t="n">
        <f aca="false">INDEX(Produtos!$E$2:$E$11,MATCH(F1776,Produtos!$A$2:$A$11,0))</f>
        <v>215</v>
      </c>
      <c r="L1776" s="5" t="n">
        <f aca="false">H1776*K1776</f>
        <v>215</v>
      </c>
    </row>
    <row r="1777" customFormat="false" ht="15" hidden="false" customHeight="false" outlineLevel="0" collapsed="false">
      <c r="A1777" s="2" t="s">
        <v>2059</v>
      </c>
      <c r="B1777" s="8" t="n">
        <v>46172</v>
      </c>
      <c r="C1777" s="2" t="s">
        <v>140</v>
      </c>
      <c r="D1777" s="3" t="str">
        <f aca="false">INDEX(Vendedores!$C$2:$C$101,MATCH(C1777,Vendedores!$A$2:$A$101,0))</f>
        <v>L05</v>
      </c>
      <c r="E1777" s="3" t="str">
        <f aca="false">INDEX(Lojas!$E$2:$E$11,MATCH(D1777,Lojas!$A$2:$A$11,0))</f>
        <v>Sul</v>
      </c>
      <c r="F1777" s="2" t="s">
        <v>275</v>
      </c>
      <c r="G1777" s="3" t="str">
        <f aca="false">INDEX(Produtos!$B$2:$B$11,MATCH(F1777,Produtos!$A$2:$A$11,0))&amp;" "&amp;INDEX(Produtos!$C$2:$C$11,MATCH(F1777,Produtos!$A$2:$A$11,0))</f>
        <v>Controle de Videogame PS5</v>
      </c>
      <c r="H1777" s="2" t="n">
        <v>3</v>
      </c>
      <c r="I1777" s="5" t="n">
        <f aca="false">INDEX(Produtos!$D$2:$D$11,MATCH(F1777,Produtos!$A$2:$A$11,0))</f>
        <v>379.9</v>
      </c>
      <c r="J1777" s="5" t="n">
        <f aca="false">H1777*I1777</f>
        <v>1139.7</v>
      </c>
      <c r="K1777" s="5" t="n">
        <f aca="false">INDEX(Produtos!$E$2:$E$11,MATCH(F1777,Produtos!$A$2:$A$11,0))</f>
        <v>235</v>
      </c>
      <c r="L1777" s="5" t="n">
        <f aca="false">H1777*K1777</f>
        <v>705</v>
      </c>
    </row>
    <row r="1778" customFormat="false" ht="15" hidden="false" customHeight="false" outlineLevel="0" collapsed="false">
      <c r="A1778" s="2" t="s">
        <v>2060</v>
      </c>
      <c r="B1778" s="8" t="n">
        <v>46172</v>
      </c>
      <c r="C1778" s="2" t="s">
        <v>176</v>
      </c>
      <c r="D1778" s="3" t="str">
        <f aca="false">INDEX(Vendedores!$C$2:$C$101,MATCH(C1778,Vendedores!$A$2:$A$101,0))</f>
        <v>L07</v>
      </c>
      <c r="E1778" s="3" t="str">
        <f aca="false">INDEX(Lojas!$E$2:$E$11,MATCH(D1778,Lojas!$A$2:$A$11,0))</f>
        <v>Sul</v>
      </c>
      <c r="F1778" s="2" t="s">
        <v>265</v>
      </c>
      <c r="G1778" s="3" t="str">
        <f aca="false">INDEX(Produtos!$B$2:$B$11,MATCH(F1778,Produtos!$A$2:$A$11,0))&amp;" "&amp;INDEX(Produtos!$C$2:$C$11,MATCH(F1778,Produtos!$A$2:$A$11,0))</f>
        <v>Fone de Ouvido Headset</v>
      </c>
      <c r="H1778" s="2" t="n">
        <v>1</v>
      </c>
      <c r="I1778" s="5" t="n">
        <f aca="false">INDEX(Produtos!$D$2:$D$11,MATCH(F1778,Produtos!$A$2:$A$11,0))</f>
        <v>249.9</v>
      </c>
      <c r="J1778" s="5" t="n">
        <f aca="false">H1778*I1778</f>
        <v>249.9</v>
      </c>
      <c r="K1778" s="5" t="n">
        <f aca="false">INDEX(Produtos!$E$2:$E$11,MATCH(F1778,Produtos!$A$2:$A$11,0))</f>
        <v>145</v>
      </c>
      <c r="L1778" s="5" t="n">
        <f aca="false">H1778*K1778</f>
        <v>145</v>
      </c>
    </row>
    <row r="1779" customFormat="false" ht="15" hidden="false" customHeight="false" outlineLevel="0" collapsed="false">
      <c r="A1779" s="2" t="s">
        <v>2061</v>
      </c>
      <c r="B1779" s="8" t="n">
        <v>46172</v>
      </c>
      <c r="C1779" s="2" t="s">
        <v>74</v>
      </c>
      <c r="D1779" s="3" t="str">
        <f aca="false">INDEX(Vendedores!$C$2:$C$101,MATCH(C1779,Vendedores!$A$2:$A$101,0))</f>
        <v>L02</v>
      </c>
      <c r="E1779" s="3" t="str">
        <f aca="false">INDEX(Lojas!$E$2:$E$11,MATCH(D1779,Lojas!$A$2:$A$11,0))</f>
        <v>Sudeste</v>
      </c>
      <c r="F1779" s="2" t="s">
        <v>273</v>
      </c>
      <c r="G1779" s="3" t="str">
        <f aca="false">INDEX(Produtos!$B$2:$B$11,MATCH(F1779,Produtos!$A$2:$A$11,0))&amp;" "&amp;INDEX(Produtos!$C$2:$C$11,MATCH(F1779,Produtos!$A$2:$A$11,0))</f>
        <v>Controle de Videogame PS4</v>
      </c>
      <c r="H1779" s="2" t="n">
        <v>1</v>
      </c>
      <c r="I1779" s="5" t="n">
        <f aca="false">INDEX(Produtos!$D$2:$D$11,MATCH(F1779,Produtos!$A$2:$A$11,0))</f>
        <v>299.9</v>
      </c>
      <c r="J1779" s="5" t="n">
        <f aca="false">H1779*I1779</f>
        <v>299.9</v>
      </c>
      <c r="K1779" s="5" t="n">
        <f aca="false">INDEX(Produtos!$E$2:$E$11,MATCH(F1779,Produtos!$A$2:$A$11,0))</f>
        <v>175</v>
      </c>
      <c r="L1779" s="5" t="n">
        <f aca="false">H1779*K1779</f>
        <v>175</v>
      </c>
    </row>
    <row r="1780" customFormat="false" ht="15" hidden="false" customHeight="false" outlineLevel="0" collapsed="false">
      <c r="A1780" s="2" t="s">
        <v>2062</v>
      </c>
      <c r="B1780" s="8" t="n">
        <v>46173</v>
      </c>
      <c r="C1780" s="2" t="s">
        <v>197</v>
      </c>
      <c r="D1780" s="3" t="str">
        <f aca="false">INDEX(Vendedores!$C$2:$C$101,MATCH(C1780,Vendedores!$A$2:$A$101,0))</f>
        <v>L08</v>
      </c>
      <c r="E1780" s="3" t="str">
        <f aca="false">INDEX(Lojas!$E$2:$E$11,MATCH(D1780,Lojas!$A$2:$A$11,0))</f>
        <v>Nordeste</v>
      </c>
      <c r="F1780" s="2" t="s">
        <v>273</v>
      </c>
      <c r="G1780" s="3" t="str">
        <f aca="false">INDEX(Produtos!$B$2:$B$11,MATCH(F1780,Produtos!$A$2:$A$11,0))&amp;" "&amp;INDEX(Produtos!$C$2:$C$11,MATCH(F1780,Produtos!$A$2:$A$11,0))</f>
        <v>Controle de Videogame PS4</v>
      </c>
      <c r="H1780" s="2" t="n">
        <v>2</v>
      </c>
      <c r="I1780" s="5" t="n">
        <f aca="false">INDEX(Produtos!$D$2:$D$11,MATCH(F1780,Produtos!$A$2:$A$11,0))</f>
        <v>299.9</v>
      </c>
      <c r="J1780" s="5" t="n">
        <f aca="false">H1780*I1780</f>
        <v>599.8</v>
      </c>
      <c r="K1780" s="5" t="n">
        <f aca="false">INDEX(Produtos!$E$2:$E$11,MATCH(F1780,Produtos!$A$2:$A$11,0))</f>
        <v>175</v>
      </c>
      <c r="L1780" s="5" t="n">
        <f aca="false">H1780*K1780</f>
        <v>350</v>
      </c>
    </row>
    <row r="1781" customFormat="false" ht="15" hidden="false" customHeight="false" outlineLevel="0" collapsed="false">
      <c r="A1781" s="2" t="s">
        <v>2063</v>
      </c>
      <c r="B1781" s="8" t="n">
        <v>46173</v>
      </c>
      <c r="C1781" s="2" t="s">
        <v>133</v>
      </c>
      <c r="D1781" s="3" t="str">
        <f aca="false">INDEX(Vendedores!$C$2:$C$101,MATCH(C1781,Vendedores!$A$2:$A$101,0))</f>
        <v>L05</v>
      </c>
      <c r="E1781" s="3" t="str">
        <f aca="false">INDEX(Lojas!$E$2:$E$11,MATCH(D1781,Lojas!$A$2:$A$11,0))</f>
        <v>Sul</v>
      </c>
      <c r="F1781" s="2" t="s">
        <v>275</v>
      </c>
      <c r="G1781" s="3" t="str">
        <f aca="false">INDEX(Produtos!$B$2:$B$11,MATCH(F1781,Produtos!$A$2:$A$11,0))&amp;" "&amp;INDEX(Produtos!$C$2:$C$11,MATCH(F1781,Produtos!$A$2:$A$11,0))</f>
        <v>Controle de Videogame PS5</v>
      </c>
      <c r="H1781" s="2" t="n">
        <v>1</v>
      </c>
      <c r="I1781" s="5" t="n">
        <f aca="false">INDEX(Produtos!$D$2:$D$11,MATCH(F1781,Produtos!$A$2:$A$11,0))</f>
        <v>379.9</v>
      </c>
      <c r="J1781" s="5" t="n">
        <f aca="false">H1781*I1781</f>
        <v>379.9</v>
      </c>
      <c r="K1781" s="5" t="n">
        <f aca="false">INDEX(Produtos!$E$2:$E$11,MATCH(F1781,Produtos!$A$2:$A$11,0))</f>
        <v>235</v>
      </c>
      <c r="L1781" s="5" t="n">
        <f aca="false">H1781*K1781</f>
        <v>235</v>
      </c>
    </row>
    <row r="1782" customFormat="false" ht="15" hidden="false" customHeight="false" outlineLevel="0" collapsed="false">
      <c r="A1782" s="2" t="s">
        <v>2064</v>
      </c>
      <c r="B1782" s="8" t="n">
        <v>46173</v>
      </c>
      <c r="C1782" s="2" t="s">
        <v>148</v>
      </c>
      <c r="D1782" s="3" t="str">
        <f aca="false">INDEX(Vendedores!$C$2:$C$101,MATCH(C1782,Vendedores!$A$2:$A$101,0))</f>
        <v>L06</v>
      </c>
      <c r="E1782" s="3" t="str">
        <f aca="false">INDEX(Lojas!$E$2:$E$11,MATCH(D1782,Lojas!$A$2:$A$11,0))</f>
        <v>Sul</v>
      </c>
      <c r="F1782" s="2" t="s">
        <v>275</v>
      </c>
      <c r="G1782" s="3" t="str">
        <f aca="false">INDEX(Produtos!$B$2:$B$11,MATCH(F1782,Produtos!$A$2:$A$11,0))&amp;" "&amp;INDEX(Produtos!$C$2:$C$11,MATCH(F1782,Produtos!$A$2:$A$11,0))</f>
        <v>Controle de Videogame PS5</v>
      </c>
      <c r="H1782" s="2" t="n">
        <v>2</v>
      </c>
      <c r="I1782" s="5" t="n">
        <f aca="false">INDEX(Produtos!$D$2:$D$11,MATCH(F1782,Produtos!$A$2:$A$11,0))</f>
        <v>379.9</v>
      </c>
      <c r="J1782" s="5" t="n">
        <f aca="false">H1782*I1782</f>
        <v>759.8</v>
      </c>
      <c r="K1782" s="5" t="n">
        <f aca="false">INDEX(Produtos!$E$2:$E$11,MATCH(F1782,Produtos!$A$2:$A$11,0))</f>
        <v>235</v>
      </c>
      <c r="L1782" s="5" t="n">
        <f aca="false">H1782*K1782</f>
        <v>470</v>
      </c>
    </row>
    <row r="1783" customFormat="false" ht="15" hidden="false" customHeight="false" outlineLevel="0" collapsed="false">
      <c r="A1783" s="2" t="s">
        <v>2065</v>
      </c>
      <c r="B1783" s="8" t="n">
        <v>46173</v>
      </c>
      <c r="C1783" s="2" t="s">
        <v>152</v>
      </c>
      <c r="D1783" s="3" t="str">
        <f aca="false">INDEX(Vendedores!$C$2:$C$101,MATCH(C1783,Vendedores!$A$2:$A$101,0))</f>
        <v>L06</v>
      </c>
      <c r="E1783" s="3" t="str">
        <f aca="false">INDEX(Lojas!$E$2:$E$11,MATCH(D1783,Lojas!$A$2:$A$11,0))</f>
        <v>Sul</v>
      </c>
      <c r="F1783" s="2" t="s">
        <v>260</v>
      </c>
      <c r="G1783" s="3" t="str">
        <f aca="false">INDEX(Produtos!$B$2:$B$11,MATCH(F1783,Produtos!$A$2:$A$11,0))&amp;" "&amp;INDEX(Produtos!$C$2:$C$11,MATCH(F1783,Produtos!$A$2:$A$11,0))</f>
        <v>Celular Motorola</v>
      </c>
      <c r="H1783" s="2" t="n">
        <v>1</v>
      </c>
      <c r="I1783" s="5" t="n">
        <f aca="false">INDEX(Produtos!$D$2:$D$11,MATCH(F1783,Produtos!$A$2:$A$11,0))</f>
        <v>1799</v>
      </c>
      <c r="J1783" s="5" t="n">
        <f aca="false">H1783*I1783</f>
        <v>1799</v>
      </c>
      <c r="K1783" s="5" t="n">
        <f aca="false">INDEX(Produtos!$E$2:$E$11,MATCH(F1783,Produtos!$A$2:$A$11,0))</f>
        <v>1250</v>
      </c>
      <c r="L1783" s="5" t="n">
        <f aca="false">H1783*K1783</f>
        <v>1250</v>
      </c>
    </row>
    <row r="1784" customFormat="false" ht="15" hidden="false" customHeight="false" outlineLevel="0" collapsed="false">
      <c r="A1784" s="2" t="s">
        <v>2066</v>
      </c>
      <c r="B1784" s="8" t="n">
        <v>46173</v>
      </c>
      <c r="C1784" s="2" t="s">
        <v>215</v>
      </c>
      <c r="D1784" s="3" t="str">
        <f aca="false">INDEX(Vendedores!$C$2:$C$101,MATCH(C1784,Vendedores!$A$2:$A$101,0))</f>
        <v>L09</v>
      </c>
      <c r="E1784" s="3" t="str">
        <f aca="false">INDEX(Lojas!$E$2:$E$11,MATCH(D1784,Lojas!$A$2:$A$11,0))</f>
        <v>Nordeste</v>
      </c>
      <c r="F1784" s="2" t="s">
        <v>262</v>
      </c>
      <c r="G1784" s="3" t="str">
        <f aca="false">INDEX(Produtos!$B$2:$B$11,MATCH(F1784,Produtos!$A$2:$A$11,0))&amp;" "&amp;INDEX(Produtos!$C$2:$C$11,MATCH(F1784,Produtos!$A$2:$A$11,0))</f>
        <v>Fone de Ouvido De Celular</v>
      </c>
      <c r="H1784" s="2" t="n">
        <v>1</v>
      </c>
      <c r="I1784" s="5" t="n">
        <f aca="false">INDEX(Produtos!$D$2:$D$11,MATCH(F1784,Produtos!$A$2:$A$11,0))</f>
        <v>59.9</v>
      </c>
      <c r="J1784" s="5" t="n">
        <f aca="false">H1784*I1784</f>
        <v>59.9</v>
      </c>
      <c r="K1784" s="5" t="n">
        <f aca="false">INDEX(Produtos!$E$2:$E$11,MATCH(F1784,Produtos!$A$2:$A$11,0))</f>
        <v>28</v>
      </c>
      <c r="L1784" s="5" t="n">
        <f aca="false">H1784*K1784</f>
        <v>28</v>
      </c>
    </row>
    <row r="1785" customFormat="false" ht="15" hidden="false" customHeight="false" outlineLevel="0" collapsed="false">
      <c r="A1785" s="2" t="s">
        <v>2067</v>
      </c>
      <c r="B1785" s="8" t="n">
        <v>46173</v>
      </c>
      <c r="C1785" s="2" t="s">
        <v>64</v>
      </c>
      <c r="D1785" s="3" t="str">
        <f aca="false">INDEX(Vendedores!$C$2:$C$101,MATCH(C1785,Vendedores!$A$2:$A$101,0))</f>
        <v>L01</v>
      </c>
      <c r="E1785" s="3" t="str">
        <f aca="false">INDEX(Lojas!$E$2:$E$11,MATCH(D1785,Lojas!$A$2:$A$11,0))</f>
        <v>Sudeste</v>
      </c>
      <c r="F1785" s="2" t="s">
        <v>260</v>
      </c>
      <c r="G1785" s="3" t="str">
        <f aca="false">INDEX(Produtos!$B$2:$B$11,MATCH(F1785,Produtos!$A$2:$A$11,0))&amp;" "&amp;INDEX(Produtos!$C$2:$C$11,MATCH(F1785,Produtos!$A$2:$A$11,0))</f>
        <v>Celular Motorola</v>
      </c>
      <c r="H1785" s="2" t="n">
        <v>2</v>
      </c>
      <c r="I1785" s="5" t="n">
        <f aca="false">INDEX(Produtos!$D$2:$D$11,MATCH(F1785,Produtos!$A$2:$A$11,0))</f>
        <v>1799</v>
      </c>
      <c r="J1785" s="5" t="n">
        <f aca="false">H1785*I1785</f>
        <v>3598</v>
      </c>
      <c r="K1785" s="5" t="n">
        <f aca="false">INDEX(Produtos!$E$2:$E$11,MATCH(F1785,Produtos!$A$2:$A$11,0))</f>
        <v>1250</v>
      </c>
      <c r="L1785" s="5" t="n">
        <f aca="false">H1785*K1785</f>
        <v>2500</v>
      </c>
    </row>
    <row r="1786" customFormat="false" ht="15" hidden="false" customHeight="false" outlineLevel="0" collapsed="false">
      <c r="A1786" s="2" t="s">
        <v>2068</v>
      </c>
      <c r="B1786" s="8" t="n">
        <v>46173</v>
      </c>
      <c r="C1786" s="2" t="s">
        <v>197</v>
      </c>
      <c r="D1786" s="3" t="str">
        <f aca="false">INDEX(Vendedores!$C$2:$C$101,MATCH(C1786,Vendedores!$A$2:$A$101,0))</f>
        <v>L08</v>
      </c>
      <c r="E1786" s="3" t="str">
        <f aca="false">INDEX(Lojas!$E$2:$E$11,MATCH(D1786,Lojas!$A$2:$A$11,0))</f>
        <v>Nordeste</v>
      </c>
      <c r="F1786" s="2" t="s">
        <v>267</v>
      </c>
      <c r="G1786" s="3" t="str">
        <f aca="false">INDEX(Produtos!$B$2:$B$11,MATCH(F1786,Produtos!$A$2:$A$11,0))&amp;" "&amp;INDEX(Produtos!$C$2:$C$11,MATCH(F1786,Produtos!$A$2:$A$11,0))</f>
        <v>Carregador de Celular Tipo C</v>
      </c>
      <c r="H1786" s="2" t="n">
        <v>1</v>
      </c>
      <c r="I1786" s="5" t="n">
        <f aca="false">INDEX(Produtos!$D$2:$D$11,MATCH(F1786,Produtos!$A$2:$A$11,0))</f>
        <v>44.9</v>
      </c>
      <c r="J1786" s="5" t="n">
        <f aca="false">H1786*I1786</f>
        <v>44.9</v>
      </c>
      <c r="K1786" s="5" t="n">
        <f aca="false">INDEX(Produtos!$E$2:$E$11,MATCH(F1786,Produtos!$A$2:$A$11,0))</f>
        <v>18</v>
      </c>
      <c r="L1786" s="5" t="n">
        <f aca="false">H1786*K1786</f>
        <v>18</v>
      </c>
    </row>
    <row r="1787" customFormat="false" ht="15" hidden="false" customHeight="false" outlineLevel="0" collapsed="false">
      <c r="A1787" s="2" t="s">
        <v>2069</v>
      </c>
      <c r="B1787" s="8" t="n">
        <v>46173</v>
      </c>
      <c r="C1787" s="2" t="s">
        <v>170</v>
      </c>
      <c r="D1787" s="3" t="str">
        <f aca="false">INDEX(Vendedores!$C$2:$C$101,MATCH(C1787,Vendedores!$A$2:$A$101,0))</f>
        <v>L07</v>
      </c>
      <c r="E1787" s="3" t="str">
        <f aca="false">INDEX(Lojas!$E$2:$E$11,MATCH(D1787,Lojas!$A$2:$A$11,0))</f>
        <v>Sul</v>
      </c>
      <c r="F1787" s="2" t="s">
        <v>262</v>
      </c>
      <c r="G1787" s="3" t="str">
        <f aca="false">INDEX(Produtos!$B$2:$B$11,MATCH(F1787,Produtos!$A$2:$A$11,0))&amp;" "&amp;INDEX(Produtos!$C$2:$C$11,MATCH(F1787,Produtos!$A$2:$A$11,0))</f>
        <v>Fone de Ouvido De Celular</v>
      </c>
      <c r="H1787" s="2" t="n">
        <v>3</v>
      </c>
      <c r="I1787" s="5" t="n">
        <f aca="false">INDEX(Produtos!$D$2:$D$11,MATCH(F1787,Produtos!$A$2:$A$11,0))</f>
        <v>59.9</v>
      </c>
      <c r="J1787" s="5" t="n">
        <f aca="false">H1787*I1787</f>
        <v>179.7</v>
      </c>
      <c r="K1787" s="5" t="n">
        <f aca="false">INDEX(Produtos!$E$2:$E$11,MATCH(F1787,Produtos!$A$2:$A$11,0))</f>
        <v>28</v>
      </c>
      <c r="L1787" s="5" t="n">
        <f aca="false">H1787*K1787</f>
        <v>84</v>
      </c>
    </row>
    <row r="1788" customFormat="false" ht="15" hidden="false" customHeight="false" outlineLevel="0" collapsed="false">
      <c r="A1788" s="2" t="s">
        <v>2070</v>
      </c>
      <c r="B1788" s="8" t="n">
        <v>46173</v>
      </c>
      <c r="C1788" s="2" t="s">
        <v>122</v>
      </c>
      <c r="D1788" s="3" t="str">
        <f aca="false">INDEX(Vendedores!$C$2:$C$101,MATCH(C1788,Vendedores!$A$2:$A$101,0))</f>
        <v>L04</v>
      </c>
      <c r="E1788" s="3" t="str">
        <f aca="false">INDEX(Lojas!$E$2:$E$11,MATCH(D1788,Lojas!$A$2:$A$11,0))</f>
        <v>Sudeste</v>
      </c>
      <c r="F1788" s="2" t="s">
        <v>262</v>
      </c>
      <c r="G1788" s="3" t="str">
        <f aca="false">INDEX(Produtos!$B$2:$B$11,MATCH(F1788,Produtos!$A$2:$A$11,0))&amp;" "&amp;INDEX(Produtos!$C$2:$C$11,MATCH(F1788,Produtos!$A$2:$A$11,0))</f>
        <v>Fone de Ouvido De Celular</v>
      </c>
      <c r="H1788" s="2" t="n">
        <v>1</v>
      </c>
      <c r="I1788" s="5" t="n">
        <f aca="false">INDEX(Produtos!$D$2:$D$11,MATCH(F1788,Produtos!$A$2:$A$11,0))</f>
        <v>59.9</v>
      </c>
      <c r="J1788" s="5" t="n">
        <f aca="false">H1788*I1788</f>
        <v>59.9</v>
      </c>
      <c r="K1788" s="5" t="n">
        <f aca="false">INDEX(Produtos!$E$2:$E$11,MATCH(F1788,Produtos!$A$2:$A$11,0))</f>
        <v>28</v>
      </c>
      <c r="L1788" s="5" t="n">
        <f aca="false">H1788*K1788</f>
        <v>28</v>
      </c>
    </row>
    <row r="1789" customFormat="false" ht="15" hidden="false" customHeight="false" outlineLevel="0" collapsed="false">
      <c r="A1789" s="2" t="s">
        <v>2071</v>
      </c>
      <c r="B1789" s="8" t="n">
        <v>46173</v>
      </c>
      <c r="C1789" s="2" t="s">
        <v>128</v>
      </c>
      <c r="D1789" s="3" t="str">
        <f aca="false">INDEX(Vendedores!$C$2:$C$101,MATCH(C1789,Vendedores!$A$2:$A$101,0))</f>
        <v>L04</v>
      </c>
      <c r="E1789" s="3" t="str">
        <f aca="false">INDEX(Lojas!$E$2:$E$11,MATCH(D1789,Lojas!$A$2:$A$11,0))</f>
        <v>Sudeste</v>
      </c>
      <c r="F1789" s="2" t="s">
        <v>257</v>
      </c>
      <c r="G1789" s="3" t="str">
        <f aca="false">INDEX(Produtos!$B$2:$B$11,MATCH(F1789,Produtos!$A$2:$A$11,0))&amp;" "&amp;INDEX(Produtos!$C$2:$C$11,MATCH(F1789,Produtos!$A$2:$A$11,0))</f>
        <v>Celular Samsung</v>
      </c>
      <c r="H1789" s="2" t="n">
        <v>1</v>
      </c>
      <c r="I1789" s="5" t="n">
        <f aca="false">INDEX(Produtos!$D$2:$D$11,MATCH(F1789,Produtos!$A$2:$A$11,0))</f>
        <v>2499</v>
      </c>
      <c r="J1789" s="5" t="n">
        <f aca="false">H1789*I1789</f>
        <v>2499</v>
      </c>
      <c r="K1789" s="5" t="n">
        <f aca="false">INDEX(Produtos!$E$2:$E$11,MATCH(F1789,Produtos!$A$2:$A$11,0))</f>
        <v>1800</v>
      </c>
      <c r="L1789" s="5" t="n">
        <f aca="false">H1789*K1789</f>
        <v>1800</v>
      </c>
    </row>
    <row r="1790" customFormat="false" ht="15" hidden="false" customHeight="false" outlineLevel="0" collapsed="false">
      <c r="A1790" s="2" t="s">
        <v>2072</v>
      </c>
      <c r="B1790" s="8" t="n">
        <v>46174</v>
      </c>
      <c r="C1790" s="2" t="s">
        <v>118</v>
      </c>
      <c r="D1790" s="3" t="str">
        <f aca="false">INDEX(Vendedores!$C$2:$C$101,MATCH(C1790,Vendedores!$A$2:$A$101,0))</f>
        <v>L04</v>
      </c>
      <c r="E1790" s="3" t="str">
        <f aca="false">INDEX(Lojas!$E$2:$E$11,MATCH(D1790,Lojas!$A$2:$A$11,0))</f>
        <v>Sudeste</v>
      </c>
      <c r="F1790" s="2" t="s">
        <v>275</v>
      </c>
      <c r="G1790" s="3" t="str">
        <f aca="false">INDEX(Produtos!$B$2:$B$11,MATCH(F1790,Produtos!$A$2:$A$11,0))&amp;" "&amp;INDEX(Produtos!$C$2:$C$11,MATCH(F1790,Produtos!$A$2:$A$11,0))</f>
        <v>Controle de Videogame PS5</v>
      </c>
      <c r="H1790" s="2" t="n">
        <v>1</v>
      </c>
      <c r="I1790" s="5" t="n">
        <f aca="false">INDEX(Produtos!$D$2:$D$11,MATCH(F1790,Produtos!$A$2:$A$11,0))</f>
        <v>379.9</v>
      </c>
      <c r="J1790" s="5" t="n">
        <f aca="false">H1790*I1790</f>
        <v>379.9</v>
      </c>
      <c r="K1790" s="5" t="n">
        <f aca="false">INDEX(Produtos!$E$2:$E$11,MATCH(F1790,Produtos!$A$2:$A$11,0))</f>
        <v>235</v>
      </c>
      <c r="L1790" s="5" t="n">
        <f aca="false">H1790*K1790</f>
        <v>235</v>
      </c>
    </row>
    <row r="1791" customFormat="false" ht="15" hidden="false" customHeight="false" outlineLevel="0" collapsed="false">
      <c r="A1791" s="2" t="s">
        <v>2073</v>
      </c>
      <c r="B1791" s="8" t="n">
        <v>46174</v>
      </c>
      <c r="C1791" s="2" t="s">
        <v>96</v>
      </c>
      <c r="D1791" s="3" t="str">
        <f aca="false">INDEX(Vendedores!$C$2:$C$101,MATCH(C1791,Vendedores!$A$2:$A$101,0))</f>
        <v>L03</v>
      </c>
      <c r="E1791" s="3" t="str">
        <f aca="false">INDEX(Lojas!$E$2:$E$11,MATCH(D1791,Lojas!$A$2:$A$11,0))</f>
        <v>Sudeste</v>
      </c>
      <c r="F1791" s="2" t="s">
        <v>275</v>
      </c>
      <c r="G1791" s="3" t="str">
        <f aca="false">INDEX(Produtos!$B$2:$B$11,MATCH(F1791,Produtos!$A$2:$A$11,0))&amp;" "&amp;INDEX(Produtos!$C$2:$C$11,MATCH(F1791,Produtos!$A$2:$A$11,0))</f>
        <v>Controle de Videogame PS5</v>
      </c>
      <c r="H1791" s="2" t="n">
        <v>2</v>
      </c>
      <c r="I1791" s="5" t="n">
        <f aca="false">INDEX(Produtos!$D$2:$D$11,MATCH(F1791,Produtos!$A$2:$A$11,0))</f>
        <v>379.9</v>
      </c>
      <c r="J1791" s="5" t="n">
        <f aca="false">H1791*I1791</f>
        <v>759.8</v>
      </c>
      <c r="K1791" s="5" t="n">
        <f aca="false">INDEX(Produtos!$E$2:$E$11,MATCH(F1791,Produtos!$A$2:$A$11,0))</f>
        <v>235</v>
      </c>
      <c r="L1791" s="5" t="n">
        <f aca="false">H1791*K1791</f>
        <v>470</v>
      </c>
    </row>
    <row r="1792" customFormat="false" ht="15" hidden="false" customHeight="false" outlineLevel="0" collapsed="false">
      <c r="A1792" s="2" t="s">
        <v>2074</v>
      </c>
      <c r="B1792" s="8" t="n">
        <v>46174</v>
      </c>
      <c r="C1792" s="2" t="s">
        <v>133</v>
      </c>
      <c r="D1792" s="3" t="str">
        <f aca="false">INDEX(Vendedores!$C$2:$C$101,MATCH(C1792,Vendedores!$A$2:$A$101,0))</f>
        <v>L05</v>
      </c>
      <c r="E1792" s="3" t="str">
        <f aca="false">INDEX(Lojas!$E$2:$E$11,MATCH(D1792,Lojas!$A$2:$A$11,0))</f>
        <v>Sul</v>
      </c>
      <c r="F1792" s="2" t="s">
        <v>275</v>
      </c>
      <c r="G1792" s="3" t="str">
        <f aca="false">INDEX(Produtos!$B$2:$B$11,MATCH(F1792,Produtos!$A$2:$A$11,0))&amp;" "&amp;INDEX(Produtos!$C$2:$C$11,MATCH(F1792,Produtos!$A$2:$A$11,0))</f>
        <v>Controle de Videogame PS5</v>
      </c>
      <c r="H1792" s="2" t="n">
        <v>2</v>
      </c>
      <c r="I1792" s="5" t="n">
        <f aca="false">INDEX(Produtos!$D$2:$D$11,MATCH(F1792,Produtos!$A$2:$A$11,0))</f>
        <v>379.9</v>
      </c>
      <c r="J1792" s="5" t="n">
        <f aca="false">H1792*I1792</f>
        <v>759.8</v>
      </c>
      <c r="K1792" s="5" t="n">
        <f aca="false">INDEX(Produtos!$E$2:$E$11,MATCH(F1792,Produtos!$A$2:$A$11,0))</f>
        <v>235</v>
      </c>
      <c r="L1792" s="5" t="n">
        <f aca="false">H1792*K1792</f>
        <v>470</v>
      </c>
    </row>
    <row r="1793" customFormat="false" ht="15" hidden="false" customHeight="false" outlineLevel="0" collapsed="false">
      <c r="A1793" s="2" t="s">
        <v>2075</v>
      </c>
      <c r="B1793" s="8" t="n">
        <v>46174</v>
      </c>
      <c r="C1793" s="2" t="s">
        <v>156</v>
      </c>
      <c r="D1793" s="3" t="str">
        <f aca="false">INDEX(Vendedores!$C$2:$C$101,MATCH(C1793,Vendedores!$A$2:$A$101,0))</f>
        <v>L06</v>
      </c>
      <c r="E1793" s="3" t="str">
        <f aca="false">INDEX(Lojas!$E$2:$E$11,MATCH(D1793,Lojas!$A$2:$A$11,0))</f>
        <v>Sul</v>
      </c>
      <c r="F1793" s="2" t="s">
        <v>270</v>
      </c>
      <c r="G1793" s="3" t="str">
        <f aca="false">INDEX(Produtos!$B$2:$B$11,MATCH(F1793,Produtos!$A$2:$A$11,0))&amp;" "&amp;INDEX(Produtos!$C$2:$C$11,MATCH(F1793,Produtos!$A$2:$A$11,0))</f>
        <v>Controle de Videogame Xbox</v>
      </c>
      <c r="H1793" s="2" t="n">
        <v>1</v>
      </c>
      <c r="I1793" s="5" t="n">
        <f aca="false">INDEX(Produtos!$D$2:$D$11,MATCH(F1793,Produtos!$A$2:$A$11,0))</f>
        <v>349.9</v>
      </c>
      <c r="J1793" s="5" t="n">
        <f aca="false">H1793*I1793</f>
        <v>349.9</v>
      </c>
      <c r="K1793" s="5" t="n">
        <f aca="false">INDEX(Produtos!$E$2:$E$11,MATCH(F1793,Produtos!$A$2:$A$11,0))</f>
        <v>215</v>
      </c>
      <c r="L1793" s="5" t="n">
        <f aca="false">H1793*K1793</f>
        <v>215</v>
      </c>
    </row>
    <row r="1794" customFormat="false" ht="15" hidden="false" customHeight="false" outlineLevel="0" collapsed="false">
      <c r="A1794" s="2" t="s">
        <v>2076</v>
      </c>
      <c r="B1794" s="8" t="n">
        <v>46174</v>
      </c>
      <c r="C1794" s="2" t="s">
        <v>197</v>
      </c>
      <c r="D1794" s="3" t="str">
        <f aca="false">INDEX(Vendedores!$C$2:$C$101,MATCH(C1794,Vendedores!$A$2:$A$101,0))</f>
        <v>L08</v>
      </c>
      <c r="E1794" s="3" t="str">
        <f aca="false">INDEX(Lojas!$E$2:$E$11,MATCH(D1794,Lojas!$A$2:$A$11,0))</f>
        <v>Nordeste</v>
      </c>
      <c r="F1794" s="2" t="s">
        <v>260</v>
      </c>
      <c r="G1794" s="3" t="str">
        <f aca="false">INDEX(Produtos!$B$2:$B$11,MATCH(F1794,Produtos!$A$2:$A$11,0))&amp;" "&amp;INDEX(Produtos!$C$2:$C$11,MATCH(F1794,Produtos!$A$2:$A$11,0))</f>
        <v>Celular Motorola</v>
      </c>
      <c r="H1794" s="2" t="n">
        <v>3</v>
      </c>
      <c r="I1794" s="5" t="n">
        <f aca="false">INDEX(Produtos!$D$2:$D$11,MATCH(F1794,Produtos!$A$2:$A$11,0))</f>
        <v>1799</v>
      </c>
      <c r="J1794" s="5" t="n">
        <f aca="false">H1794*I1794</f>
        <v>5397</v>
      </c>
      <c r="K1794" s="5" t="n">
        <f aca="false">INDEX(Produtos!$E$2:$E$11,MATCH(F1794,Produtos!$A$2:$A$11,0))</f>
        <v>1250</v>
      </c>
      <c r="L1794" s="5" t="n">
        <f aca="false">H1794*K1794</f>
        <v>3750</v>
      </c>
    </row>
    <row r="1795" customFormat="false" ht="15" hidden="false" customHeight="false" outlineLevel="0" collapsed="false">
      <c r="A1795" s="2" t="s">
        <v>2077</v>
      </c>
      <c r="B1795" s="8" t="n">
        <v>46174</v>
      </c>
      <c r="C1795" s="2" t="s">
        <v>146</v>
      </c>
      <c r="D1795" s="3" t="str">
        <f aca="false">INDEX(Vendedores!$C$2:$C$101,MATCH(C1795,Vendedores!$A$2:$A$101,0))</f>
        <v>L05</v>
      </c>
      <c r="E1795" s="3" t="str">
        <f aca="false">INDEX(Lojas!$E$2:$E$11,MATCH(D1795,Lojas!$A$2:$A$11,0))</f>
        <v>Sul</v>
      </c>
      <c r="F1795" s="2" t="s">
        <v>257</v>
      </c>
      <c r="G1795" s="3" t="str">
        <f aca="false">INDEX(Produtos!$B$2:$B$11,MATCH(F1795,Produtos!$A$2:$A$11,0))&amp;" "&amp;INDEX(Produtos!$C$2:$C$11,MATCH(F1795,Produtos!$A$2:$A$11,0))</f>
        <v>Celular Samsung</v>
      </c>
      <c r="H1795" s="2" t="n">
        <v>1</v>
      </c>
      <c r="I1795" s="5" t="n">
        <f aca="false">INDEX(Produtos!$D$2:$D$11,MATCH(F1795,Produtos!$A$2:$A$11,0))</f>
        <v>2499</v>
      </c>
      <c r="J1795" s="5" t="n">
        <f aca="false">H1795*I1795</f>
        <v>2499</v>
      </c>
      <c r="K1795" s="5" t="n">
        <f aca="false">INDEX(Produtos!$E$2:$E$11,MATCH(F1795,Produtos!$A$2:$A$11,0))</f>
        <v>1800</v>
      </c>
      <c r="L1795" s="5" t="n">
        <f aca="false">H1795*K1795</f>
        <v>1800</v>
      </c>
    </row>
    <row r="1796" customFormat="false" ht="15" hidden="false" customHeight="false" outlineLevel="0" collapsed="false">
      <c r="A1796" s="2" t="s">
        <v>2078</v>
      </c>
      <c r="B1796" s="8" t="n">
        <v>46174</v>
      </c>
      <c r="C1796" s="2" t="s">
        <v>120</v>
      </c>
      <c r="D1796" s="3" t="str">
        <f aca="false">INDEX(Vendedores!$C$2:$C$101,MATCH(C1796,Vendedores!$A$2:$A$101,0))</f>
        <v>L04</v>
      </c>
      <c r="E1796" s="3" t="str">
        <f aca="false">INDEX(Lojas!$E$2:$E$11,MATCH(D1796,Lojas!$A$2:$A$11,0))</f>
        <v>Sudeste</v>
      </c>
      <c r="F1796" s="2" t="s">
        <v>257</v>
      </c>
      <c r="G1796" s="3" t="str">
        <f aca="false">INDEX(Produtos!$B$2:$B$11,MATCH(F1796,Produtos!$A$2:$A$11,0))&amp;" "&amp;INDEX(Produtos!$C$2:$C$11,MATCH(F1796,Produtos!$A$2:$A$11,0))</f>
        <v>Celular Samsung</v>
      </c>
      <c r="H1796" s="2" t="n">
        <v>2</v>
      </c>
      <c r="I1796" s="5" t="n">
        <f aca="false">INDEX(Produtos!$D$2:$D$11,MATCH(F1796,Produtos!$A$2:$A$11,0))</f>
        <v>2499</v>
      </c>
      <c r="J1796" s="5" t="n">
        <f aca="false">H1796*I1796</f>
        <v>4998</v>
      </c>
      <c r="K1796" s="5" t="n">
        <f aca="false">INDEX(Produtos!$E$2:$E$11,MATCH(F1796,Produtos!$A$2:$A$11,0))</f>
        <v>1800</v>
      </c>
      <c r="L1796" s="5" t="n">
        <f aca="false">H1796*K1796</f>
        <v>3600</v>
      </c>
    </row>
    <row r="1797" customFormat="false" ht="15" hidden="false" customHeight="false" outlineLevel="0" collapsed="false">
      <c r="A1797" s="2" t="s">
        <v>2079</v>
      </c>
      <c r="B1797" s="8" t="n">
        <v>46174</v>
      </c>
      <c r="C1797" s="2" t="s">
        <v>142</v>
      </c>
      <c r="D1797" s="3" t="str">
        <f aca="false">INDEX(Vendedores!$C$2:$C$101,MATCH(C1797,Vendedores!$A$2:$A$101,0))</f>
        <v>L05</v>
      </c>
      <c r="E1797" s="3" t="str">
        <f aca="false">INDEX(Lojas!$E$2:$E$11,MATCH(D1797,Lojas!$A$2:$A$11,0))</f>
        <v>Sul</v>
      </c>
      <c r="F1797" s="2" t="s">
        <v>270</v>
      </c>
      <c r="G1797" s="3" t="str">
        <f aca="false">INDEX(Produtos!$B$2:$B$11,MATCH(F1797,Produtos!$A$2:$A$11,0))&amp;" "&amp;INDEX(Produtos!$C$2:$C$11,MATCH(F1797,Produtos!$A$2:$A$11,0))</f>
        <v>Controle de Videogame Xbox</v>
      </c>
      <c r="H1797" s="2" t="n">
        <v>3</v>
      </c>
      <c r="I1797" s="5" t="n">
        <f aca="false">INDEX(Produtos!$D$2:$D$11,MATCH(F1797,Produtos!$A$2:$A$11,0))</f>
        <v>349.9</v>
      </c>
      <c r="J1797" s="5" t="n">
        <f aca="false">H1797*I1797</f>
        <v>1049.7</v>
      </c>
      <c r="K1797" s="5" t="n">
        <f aca="false">INDEX(Produtos!$E$2:$E$11,MATCH(F1797,Produtos!$A$2:$A$11,0))</f>
        <v>215</v>
      </c>
      <c r="L1797" s="5" t="n">
        <f aca="false">H1797*K1797</f>
        <v>645</v>
      </c>
    </row>
    <row r="1798" customFormat="false" ht="15" hidden="false" customHeight="false" outlineLevel="0" collapsed="false">
      <c r="A1798" s="2" t="s">
        <v>2080</v>
      </c>
      <c r="B1798" s="8" t="n">
        <v>46174</v>
      </c>
      <c r="C1798" s="2" t="s">
        <v>76</v>
      </c>
      <c r="D1798" s="3" t="str">
        <f aca="false">INDEX(Vendedores!$C$2:$C$101,MATCH(C1798,Vendedores!$A$2:$A$101,0))</f>
        <v>L02</v>
      </c>
      <c r="E1798" s="3" t="str">
        <f aca="false">INDEX(Lojas!$E$2:$E$11,MATCH(D1798,Lojas!$A$2:$A$11,0))</f>
        <v>Sudeste</v>
      </c>
      <c r="F1798" s="2" t="s">
        <v>265</v>
      </c>
      <c r="G1798" s="3" t="str">
        <f aca="false">INDEX(Produtos!$B$2:$B$11,MATCH(F1798,Produtos!$A$2:$A$11,0))&amp;" "&amp;INDEX(Produtos!$C$2:$C$11,MATCH(F1798,Produtos!$A$2:$A$11,0))</f>
        <v>Fone de Ouvido Headset</v>
      </c>
      <c r="H1798" s="2" t="n">
        <v>1</v>
      </c>
      <c r="I1798" s="5" t="n">
        <f aca="false">INDEX(Produtos!$D$2:$D$11,MATCH(F1798,Produtos!$A$2:$A$11,0))</f>
        <v>249.9</v>
      </c>
      <c r="J1798" s="5" t="n">
        <f aca="false">H1798*I1798</f>
        <v>249.9</v>
      </c>
      <c r="K1798" s="5" t="n">
        <f aca="false">INDEX(Produtos!$E$2:$E$11,MATCH(F1798,Produtos!$A$2:$A$11,0))</f>
        <v>145</v>
      </c>
      <c r="L1798" s="5" t="n">
        <f aca="false">H1798*K1798</f>
        <v>145</v>
      </c>
    </row>
    <row r="1799" customFormat="false" ht="15" hidden="false" customHeight="false" outlineLevel="0" collapsed="false">
      <c r="A1799" s="2" t="s">
        <v>2081</v>
      </c>
      <c r="B1799" s="8" t="n">
        <v>46174</v>
      </c>
      <c r="C1799" s="2" t="s">
        <v>160</v>
      </c>
      <c r="D1799" s="3" t="str">
        <f aca="false">INDEX(Vendedores!$C$2:$C$101,MATCH(C1799,Vendedores!$A$2:$A$101,0))</f>
        <v>L06</v>
      </c>
      <c r="E1799" s="3" t="str">
        <f aca="false">INDEX(Lojas!$E$2:$E$11,MATCH(D1799,Lojas!$A$2:$A$11,0))</f>
        <v>Sul</v>
      </c>
      <c r="F1799" s="2" t="s">
        <v>273</v>
      </c>
      <c r="G1799" s="3" t="str">
        <f aca="false">INDEX(Produtos!$B$2:$B$11,MATCH(F1799,Produtos!$A$2:$A$11,0))&amp;" "&amp;INDEX(Produtos!$C$2:$C$11,MATCH(F1799,Produtos!$A$2:$A$11,0))</f>
        <v>Controle de Videogame PS4</v>
      </c>
      <c r="H1799" s="2" t="n">
        <v>1</v>
      </c>
      <c r="I1799" s="5" t="n">
        <f aca="false">INDEX(Produtos!$D$2:$D$11,MATCH(F1799,Produtos!$A$2:$A$11,0))</f>
        <v>299.9</v>
      </c>
      <c r="J1799" s="5" t="n">
        <f aca="false">H1799*I1799</f>
        <v>299.9</v>
      </c>
      <c r="K1799" s="5" t="n">
        <f aca="false">INDEX(Produtos!$E$2:$E$11,MATCH(F1799,Produtos!$A$2:$A$11,0))</f>
        <v>175</v>
      </c>
      <c r="L1799" s="5" t="n">
        <f aca="false">H1799*K1799</f>
        <v>175</v>
      </c>
    </row>
    <row r="1800" customFormat="false" ht="15" hidden="false" customHeight="false" outlineLevel="0" collapsed="false">
      <c r="A1800" s="2" t="s">
        <v>2082</v>
      </c>
      <c r="B1800" s="8" t="n">
        <v>46174</v>
      </c>
      <c r="C1800" s="2" t="s">
        <v>172</v>
      </c>
      <c r="D1800" s="3" t="str">
        <f aca="false">INDEX(Vendedores!$C$2:$C$101,MATCH(C1800,Vendedores!$A$2:$A$101,0))</f>
        <v>L07</v>
      </c>
      <c r="E1800" s="3" t="str">
        <f aca="false">INDEX(Lojas!$E$2:$E$11,MATCH(D1800,Lojas!$A$2:$A$11,0))</f>
        <v>Sul</v>
      </c>
      <c r="F1800" s="2" t="s">
        <v>270</v>
      </c>
      <c r="G1800" s="3" t="str">
        <f aca="false">INDEX(Produtos!$B$2:$B$11,MATCH(F1800,Produtos!$A$2:$A$11,0))&amp;" "&amp;INDEX(Produtos!$C$2:$C$11,MATCH(F1800,Produtos!$A$2:$A$11,0))</f>
        <v>Controle de Videogame Xbox</v>
      </c>
      <c r="H1800" s="2" t="n">
        <v>1</v>
      </c>
      <c r="I1800" s="5" t="n">
        <f aca="false">INDEX(Produtos!$D$2:$D$11,MATCH(F1800,Produtos!$A$2:$A$11,0))</f>
        <v>349.9</v>
      </c>
      <c r="J1800" s="5" t="n">
        <f aca="false">H1800*I1800</f>
        <v>349.9</v>
      </c>
      <c r="K1800" s="5" t="n">
        <f aca="false">INDEX(Produtos!$E$2:$E$11,MATCH(F1800,Produtos!$A$2:$A$11,0))</f>
        <v>215</v>
      </c>
      <c r="L1800" s="5" t="n">
        <f aca="false">H1800*K1800</f>
        <v>215</v>
      </c>
    </row>
    <row r="1801" customFormat="false" ht="15" hidden="false" customHeight="false" outlineLevel="0" collapsed="false">
      <c r="A1801" s="2" t="s">
        <v>2083</v>
      </c>
      <c r="B1801" s="8" t="n">
        <v>46175</v>
      </c>
      <c r="C1801" s="2" t="s">
        <v>199</v>
      </c>
      <c r="D1801" s="3" t="str">
        <f aca="false">INDEX(Vendedores!$C$2:$C$101,MATCH(C1801,Vendedores!$A$2:$A$101,0))</f>
        <v>L08</v>
      </c>
      <c r="E1801" s="3" t="str">
        <f aca="false">INDEX(Lojas!$E$2:$E$11,MATCH(D1801,Lojas!$A$2:$A$11,0))</f>
        <v>Nordeste</v>
      </c>
      <c r="F1801" s="2" t="s">
        <v>267</v>
      </c>
      <c r="G1801" s="3" t="str">
        <f aca="false">INDEX(Produtos!$B$2:$B$11,MATCH(F1801,Produtos!$A$2:$A$11,0))&amp;" "&amp;INDEX(Produtos!$C$2:$C$11,MATCH(F1801,Produtos!$A$2:$A$11,0))</f>
        <v>Carregador de Celular Tipo C</v>
      </c>
      <c r="H1801" s="2" t="n">
        <v>1</v>
      </c>
      <c r="I1801" s="5" t="n">
        <f aca="false">INDEX(Produtos!$D$2:$D$11,MATCH(F1801,Produtos!$A$2:$A$11,0))</f>
        <v>44.9</v>
      </c>
      <c r="J1801" s="5" t="n">
        <f aca="false">H1801*I1801</f>
        <v>44.9</v>
      </c>
      <c r="K1801" s="5" t="n">
        <f aca="false">INDEX(Produtos!$E$2:$E$11,MATCH(F1801,Produtos!$A$2:$A$11,0))</f>
        <v>18</v>
      </c>
      <c r="L1801" s="5" t="n">
        <f aca="false">H1801*K1801</f>
        <v>18</v>
      </c>
    </row>
    <row r="1802" customFormat="false" ht="15" hidden="false" customHeight="false" outlineLevel="0" collapsed="false">
      <c r="A1802" s="2" t="s">
        <v>2084</v>
      </c>
      <c r="B1802" s="8" t="n">
        <v>46175</v>
      </c>
      <c r="C1802" s="2" t="s">
        <v>203</v>
      </c>
      <c r="D1802" s="3" t="str">
        <f aca="false">INDEX(Vendedores!$C$2:$C$101,MATCH(C1802,Vendedores!$A$2:$A$101,0))</f>
        <v>L08</v>
      </c>
      <c r="E1802" s="3" t="str">
        <f aca="false">INDEX(Lojas!$E$2:$E$11,MATCH(D1802,Lojas!$A$2:$A$11,0))</f>
        <v>Nordeste</v>
      </c>
      <c r="F1802" s="2" t="s">
        <v>267</v>
      </c>
      <c r="G1802" s="3" t="str">
        <f aca="false">INDEX(Produtos!$B$2:$B$11,MATCH(F1802,Produtos!$A$2:$A$11,0))&amp;" "&amp;INDEX(Produtos!$C$2:$C$11,MATCH(F1802,Produtos!$A$2:$A$11,0))</f>
        <v>Carregador de Celular Tipo C</v>
      </c>
      <c r="H1802" s="2" t="n">
        <v>1</v>
      </c>
      <c r="I1802" s="5" t="n">
        <f aca="false">INDEX(Produtos!$D$2:$D$11,MATCH(F1802,Produtos!$A$2:$A$11,0))</f>
        <v>44.9</v>
      </c>
      <c r="J1802" s="5" t="n">
        <f aca="false">H1802*I1802</f>
        <v>44.9</v>
      </c>
      <c r="K1802" s="5" t="n">
        <f aca="false">INDEX(Produtos!$E$2:$E$11,MATCH(F1802,Produtos!$A$2:$A$11,0))</f>
        <v>18</v>
      </c>
      <c r="L1802" s="5" t="n">
        <f aca="false">H1802*K1802</f>
        <v>18</v>
      </c>
    </row>
    <row r="1803" customFormat="false" ht="15" hidden="false" customHeight="false" outlineLevel="0" collapsed="false">
      <c r="A1803" s="2" t="s">
        <v>2085</v>
      </c>
      <c r="B1803" s="8" t="n">
        <v>46175</v>
      </c>
      <c r="C1803" s="2" t="s">
        <v>193</v>
      </c>
      <c r="D1803" s="3" t="str">
        <f aca="false">INDEX(Vendedores!$C$2:$C$101,MATCH(C1803,Vendedores!$A$2:$A$101,0))</f>
        <v>L08</v>
      </c>
      <c r="E1803" s="3" t="str">
        <f aca="false">INDEX(Lojas!$E$2:$E$11,MATCH(D1803,Lojas!$A$2:$A$11,0))</f>
        <v>Nordeste</v>
      </c>
      <c r="F1803" s="2" t="s">
        <v>262</v>
      </c>
      <c r="G1803" s="3" t="str">
        <f aca="false">INDEX(Produtos!$B$2:$B$11,MATCH(F1803,Produtos!$A$2:$A$11,0))&amp;" "&amp;INDEX(Produtos!$C$2:$C$11,MATCH(F1803,Produtos!$A$2:$A$11,0))</f>
        <v>Fone de Ouvido De Celular</v>
      </c>
      <c r="H1803" s="2" t="n">
        <v>1</v>
      </c>
      <c r="I1803" s="5" t="n">
        <f aca="false">INDEX(Produtos!$D$2:$D$11,MATCH(F1803,Produtos!$A$2:$A$11,0))</f>
        <v>59.9</v>
      </c>
      <c r="J1803" s="5" t="n">
        <f aca="false">H1803*I1803</f>
        <v>59.9</v>
      </c>
      <c r="K1803" s="5" t="n">
        <f aca="false">INDEX(Produtos!$E$2:$E$11,MATCH(F1803,Produtos!$A$2:$A$11,0))</f>
        <v>28</v>
      </c>
      <c r="L1803" s="5" t="n">
        <f aca="false">H1803*K1803</f>
        <v>28</v>
      </c>
    </row>
    <row r="1804" customFormat="false" ht="15" hidden="false" customHeight="false" outlineLevel="0" collapsed="false">
      <c r="A1804" s="2" t="s">
        <v>2086</v>
      </c>
      <c r="B1804" s="8" t="n">
        <v>46175</v>
      </c>
      <c r="C1804" s="2" t="s">
        <v>168</v>
      </c>
      <c r="D1804" s="3" t="str">
        <f aca="false">INDEX(Vendedores!$C$2:$C$101,MATCH(C1804,Vendedores!$A$2:$A$101,0))</f>
        <v>L07</v>
      </c>
      <c r="E1804" s="3" t="str">
        <f aca="false">INDEX(Lojas!$E$2:$E$11,MATCH(D1804,Lojas!$A$2:$A$11,0))</f>
        <v>Sul</v>
      </c>
      <c r="F1804" s="2" t="s">
        <v>255</v>
      </c>
      <c r="G1804" s="3" t="str">
        <f aca="false">INDEX(Produtos!$B$2:$B$11,MATCH(F1804,Produtos!$A$2:$A$11,0))&amp;" "&amp;INDEX(Produtos!$C$2:$C$11,MATCH(F1804,Produtos!$A$2:$A$11,0))</f>
        <v>Notebook Positivo</v>
      </c>
      <c r="H1804" s="2" t="n">
        <v>3</v>
      </c>
      <c r="I1804" s="5" t="n">
        <f aca="false">INDEX(Produtos!$D$2:$D$11,MATCH(F1804,Produtos!$A$2:$A$11,0))</f>
        <v>2199</v>
      </c>
      <c r="J1804" s="5" t="n">
        <f aca="false">H1804*I1804</f>
        <v>6597</v>
      </c>
      <c r="K1804" s="5" t="n">
        <f aca="false">INDEX(Produtos!$E$2:$E$11,MATCH(F1804,Produtos!$A$2:$A$11,0))</f>
        <v>1550</v>
      </c>
      <c r="L1804" s="5" t="n">
        <f aca="false">H1804*K1804</f>
        <v>4650</v>
      </c>
    </row>
    <row r="1805" customFormat="false" ht="15" hidden="false" customHeight="false" outlineLevel="0" collapsed="false">
      <c r="A1805" s="2" t="s">
        <v>2087</v>
      </c>
      <c r="B1805" s="8" t="n">
        <v>46175</v>
      </c>
      <c r="C1805" s="2" t="s">
        <v>144</v>
      </c>
      <c r="D1805" s="3" t="str">
        <f aca="false">INDEX(Vendedores!$C$2:$C$101,MATCH(C1805,Vendedores!$A$2:$A$101,0))</f>
        <v>L05</v>
      </c>
      <c r="E1805" s="3" t="str">
        <f aca="false">INDEX(Lojas!$E$2:$E$11,MATCH(D1805,Lojas!$A$2:$A$11,0))</f>
        <v>Sul</v>
      </c>
      <c r="F1805" s="2" t="s">
        <v>275</v>
      </c>
      <c r="G1805" s="3" t="str">
        <f aca="false">INDEX(Produtos!$B$2:$B$11,MATCH(F1805,Produtos!$A$2:$A$11,0))&amp;" "&amp;INDEX(Produtos!$C$2:$C$11,MATCH(F1805,Produtos!$A$2:$A$11,0))</f>
        <v>Controle de Videogame PS5</v>
      </c>
      <c r="H1805" s="2" t="n">
        <v>1</v>
      </c>
      <c r="I1805" s="5" t="n">
        <f aca="false">INDEX(Produtos!$D$2:$D$11,MATCH(F1805,Produtos!$A$2:$A$11,0))</f>
        <v>379.9</v>
      </c>
      <c r="J1805" s="5" t="n">
        <f aca="false">H1805*I1805</f>
        <v>379.9</v>
      </c>
      <c r="K1805" s="5" t="n">
        <f aca="false">INDEX(Produtos!$E$2:$E$11,MATCH(F1805,Produtos!$A$2:$A$11,0))</f>
        <v>235</v>
      </c>
      <c r="L1805" s="5" t="n">
        <f aca="false">H1805*K1805</f>
        <v>235</v>
      </c>
    </row>
    <row r="1806" customFormat="false" ht="15" hidden="false" customHeight="false" outlineLevel="0" collapsed="false">
      <c r="A1806" s="2" t="s">
        <v>2088</v>
      </c>
      <c r="B1806" s="8" t="n">
        <v>46175</v>
      </c>
      <c r="C1806" s="2" t="s">
        <v>168</v>
      </c>
      <c r="D1806" s="3" t="str">
        <f aca="false">INDEX(Vendedores!$C$2:$C$101,MATCH(C1806,Vendedores!$A$2:$A$101,0))</f>
        <v>L07</v>
      </c>
      <c r="E1806" s="3" t="str">
        <f aca="false">INDEX(Lojas!$E$2:$E$11,MATCH(D1806,Lojas!$A$2:$A$11,0))</f>
        <v>Sul</v>
      </c>
      <c r="F1806" s="2" t="s">
        <v>260</v>
      </c>
      <c r="G1806" s="3" t="str">
        <f aca="false">INDEX(Produtos!$B$2:$B$11,MATCH(F1806,Produtos!$A$2:$A$11,0))&amp;" "&amp;INDEX(Produtos!$C$2:$C$11,MATCH(F1806,Produtos!$A$2:$A$11,0))</f>
        <v>Celular Motorola</v>
      </c>
      <c r="H1806" s="2" t="n">
        <v>1</v>
      </c>
      <c r="I1806" s="5" t="n">
        <f aca="false">INDEX(Produtos!$D$2:$D$11,MATCH(F1806,Produtos!$A$2:$A$11,0))</f>
        <v>1799</v>
      </c>
      <c r="J1806" s="5" t="n">
        <f aca="false">H1806*I1806</f>
        <v>1799</v>
      </c>
      <c r="K1806" s="5" t="n">
        <f aca="false">INDEX(Produtos!$E$2:$E$11,MATCH(F1806,Produtos!$A$2:$A$11,0))</f>
        <v>1250</v>
      </c>
      <c r="L1806" s="5" t="n">
        <f aca="false">H1806*K1806</f>
        <v>1250</v>
      </c>
    </row>
    <row r="1807" customFormat="false" ht="15" hidden="false" customHeight="false" outlineLevel="0" collapsed="false">
      <c r="A1807" s="2" t="s">
        <v>2089</v>
      </c>
      <c r="B1807" s="8" t="n">
        <v>46175</v>
      </c>
      <c r="C1807" s="2" t="s">
        <v>215</v>
      </c>
      <c r="D1807" s="3" t="str">
        <f aca="false">INDEX(Vendedores!$C$2:$C$101,MATCH(C1807,Vendedores!$A$2:$A$101,0))</f>
        <v>L09</v>
      </c>
      <c r="E1807" s="3" t="str">
        <f aca="false">INDEX(Lojas!$E$2:$E$11,MATCH(D1807,Lojas!$A$2:$A$11,0))</f>
        <v>Nordeste</v>
      </c>
      <c r="F1807" s="2" t="s">
        <v>257</v>
      </c>
      <c r="G1807" s="3" t="str">
        <f aca="false">INDEX(Produtos!$B$2:$B$11,MATCH(F1807,Produtos!$A$2:$A$11,0))&amp;" "&amp;INDEX(Produtos!$C$2:$C$11,MATCH(F1807,Produtos!$A$2:$A$11,0))</f>
        <v>Celular Samsung</v>
      </c>
      <c r="H1807" s="2" t="n">
        <v>1</v>
      </c>
      <c r="I1807" s="5" t="n">
        <f aca="false">INDEX(Produtos!$D$2:$D$11,MATCH(F1807,Produtos!$A$2:$A$11,0))</f>
        <v>2499</v>
      </c>
      <c r="J1807" s="5" t="n">
        <f aca="false">H1807*I1807</f>
        <v>2499</v>
      </c>
      <c r="K1807" s="5" t="n">
        <f aca="false">INDEX(Produtos!$E$2:$E$11,MATCH(F1807,Produtos!$A$2:$A$11,0))</f>
        <v>1800</v>
      </c>
      <c r="L1807" s="5" t="n">
        <f aca="false">H1807*K1807</f>
        <v>1800</v>
      </c>
    </row>
    <row r="1808" customFormat="false" ht="15" hidden="false" customHeight="false" outlineLevel="0" collapsed="false">
      <c r="A1808" s="2" t="s">
        <v>2090</v>
      </c>
      <c r="B1808" s="8" t="n">
        <v>46175</v>
      </c>
      <c r="C1808" s="2" t="s">
        <v>158</v>
      </c>
      <c r="D1808" s="3" t="str">
        <f aca="false">INDEX(Vendedores!$C$2:$C$101,MATCH(C1808,Vendedores!$A$2:$A$101,0))</f>
        <v>L06</v>
      </c>
      <c r="E1808" s="3" t="str">
        <f aca="false">INDEX(Lojas!$E$2:$E$11,MATCH(D1808,Lojas!$A$2:$A$11,0))</f>
        <v>Sul</v>
      </c>
      <c r="F1808" s="2" t="s">
        <v>262</v>
      </c>
      <c r="G1808" s="3" t="str">
        <f aca="false">INDEX(Produtos!$B$2:$B$11,MATCH(F1808,Produtos!$A$2:$A$11,0))&amp;" "&amp;INDEX(Produtos!$C$2:$C$11,MATCH(F1808,Produtos!$A$2:$A$11,0))</f>
        <v>Fone de Ouvido De Celular</v>
      </c>
      <c r="H1808" s="2" t="n">
        <v>1</v>
      </c>
      <c r="I1808" s="5" t="n">
        <f aca="false">INDEX(Produtos!$D$2:$D$11,MATCH(F1808,Produtos!$A$2:$A$11,0))</f>
        <v>59.9</v>
      </c>
      <c r="J1808" s="5" t="n">
        <f aca="false">H1808*I1808</f>
        <v>59.9</v>
      </c>
      <c r="K1808" s="5" t="n">
        <f aca="false">INDEX(Produtos!$E$2:$E$11,MATCH(F1808,Produtos!$A$2:$A$11,0))</f>
        <v>28</v>
      </c>
      <c r="L1808" s="5" t="n">
        <f aca="false">H1808*K1808</f>
        <v>28</v>
      </c>
    </row>
    <row r="1809" customFormat="false" ht="15" hidden="false" customHeight="false" outlineLevel="0" collapsed="false">
      <c r="A1809" s="2" t="s">
        <v>2091</v>
      </c>
      <c r="B1809" s="8" t="n">
        <v>46175</v>
      </c>
      <c r="C1809" s="2" t="s">
        <v>122</v>
      </c>
      <c r="D1809" s="3" t="str">
        <f aca="false">INDEX(Vendedores!$C$2:$C$101,MATCH(C1809,Vendedores!$A$2:$A$101,0))</f>
        <v>L04</v>
      </c>
      <c r="E1809" s="3" t="str">
        <f aca="false">INDEX(Lojas!$E$2:$E$11,MATCH(D1809,Lojas!$A$2:$A$11,0))</f>
        <v>Sudeste</v>
      </c>
      <c r="F1809" s="2" t="s">
        <v>265</v>
      </c>
      <c r="G1809" s="3" t="str">
        <f aca="false">INDEX(Produtos!$B$2:$B$11,MATCH(F1809,Produtos!$A$2:$A$11,0))&amp;" "&amp;INDEX(Produtos!$C$2:$C$11,MATCH(F1809,Produtos!$A$2:$A$11,0))</f>
        <v>Fone de Ouvido Headset</v>
      </c>
      <c r="H1809" s="2" t="n">
        <v>1</v>
      </c>
      <c r="I1809" s="5" t="n">
        <f aca="false">INDEX(Produtos!$D$2:$D$11,MATCH(F1809,Produtos!$A$2:$A$11,0))</f>
        <v>249.9</v>
      </c>
      <c r="J1809" s="5" t="n">
        <f aca="false">H1809*I1809</f>
        <v>249.9</v>
      </c>
      <c r="K1809" s="5" t="n">
        <f aca="false">INDEX(Produtos!$E$2:$E$11,MATCH(F1809,Produtos!$A$2:$A$11,0))</f>
        <v>145</v>
      </c>
      <c r="L1809" s="5" t="n">
        <f aca="false">H1809*K1809</f>
        <v>145</v>
      </c>
    </row>
    <row r="1810" customFormat="false" ht="15" hidden="false" customHeight="false" outlineLevel="0" collapsed="false">
      <c r="A1810" s="2" t="s">
        <v>2092</v>
      </c>
      <c r="B1810" s="8" t="n">
        <v>46175</v>
      </c>
      <c r="C1810" s="2" t="s">
        <v>241</v>
      </c>
      <c r="D1810" s="3" t="str">
        <f aca="false">INDEX(Vendedores!$C$2:$C$101,MATCH(C1810,Vendedores!$A$2:$A$101,0))</f>
        <v>L10</v>
      </c>
      <c r="E1810" s="3" t="str">
        <f aca="false">INDEX(Lojas!$E$2:$E$11,MATCH(D1810,Lojas!$A$2:$A$11,0))</f>
        <v>Nordeste</v>
      </c>
      <c r="F1810" s="2" t="s">
        <v>273</v>
      </c>
      <c r="G1810" s="3" t="str">
        <f aca="false">INDEX(Produtos!$B$2:$B$11,MATCH(F1810,Produtos!$A$2:$A$11,0))&amp;" "&amp;INDEX(Produtos!$C$2:$C$11,MATCH(F1810,Produtos!$A$2:$A$11,0))</f>
        <v>Controle de Videogame PS4</v>
      </c>
      <c r="H1810" s="2" t="n">
        <v>1</v>
      </c>
      <c r="I1810" s="5" t="n">
        <f aca="false">INDEX(Produtos!$D$2:$D$11,MATCH(F1810,Produtos!$A$2:$A$11,0))</f>
        <v>299.9</v>
      </c>
      <c r="J1810" s="5" t="n">
        <f aca="false">H1810*I1810</f>
        <v>299.9</v>
      </c>
      <c r="K1810" s="5" t="n">
        <f aca="false">INDEX(Produtos!$E$2:$E$11,MATCH(F1810,Produtos!$A$2:$A$11,0))</f>
        <v>175</v>
      </c>
      <c r="L1810" s="5" t="n">
        <f aca="false">H1810*K1810</f>
        <v>175</v>
      </c>
    </row>
    <row r="1811" customFormat="false" ht="15" hidden="false" customHeight="false" outlineLevel="0" collapsed="false">
      <c r="A1811" s="2" t="s">
        <v>2093</v>
      </c>
      <c r="B1811" s="8" t="n">
        <v>46176</v>
      </c>
      <c r="C1811" s="2" t="s">
        <v>227</v>
      </c>
      <c r="D1811" s="3" t="str">
        <f aca="false">INDEX(Vendedores!$C$2:$C$101,MATCH(C1811,Vendedores!$A$2:$A$101,0))</f>
        <v>L10</v>
      </c>
      <c r="E1811" s="3" t="str">
        <f aca="false">INDEX(Lojas!$E$2:$E$11,MATCH(D1811,Lojas!$A$2:$A$11,0))</f>
        <v>Nordeste</v>
      </c>
      <c r="F1811" s="2" t="s">
        <v>273</v>
      </c>
      <c r="G1811" s="3" t="str">
        <f aca="false">INDEX(Produtos!$B$2:$B$11,MATCH(F1811,Produtos!$A$2:$A$11,0))&amp;" "&amp;INDEX(Produtos!$C$2:$C$11,MATCH(F1811,Produtos!$A$2:$A$11,0))</f>
        <v>Controle de Videogame PS4</v>
      </c>
      <c r="H1811" s="2" t="n">
        <v>1</v>
      </c>
      <c r="I1811" s="5" t="n">
        <f aca="false">INDEX(Produtos!$D$2:$D$11,MATCH(F1811,Produtos!$A$2:$A$11,0))</f>
        <v>299.9</v>
      </c>
      <c r="J1811" s="5" t="n">
        <f aca="false">H1811*I1811</f>
        <v>299.9</v>
      </c>
      <c r="K1811" s="5" t="n">
        <f aca="false">INDEX(Produtos!$E$2:$E$11,MATCH(F1811,Produtos!$A$2:$A$11,0))</f>
        <v>175</v>
      </c>
      <c r="L1811" s="5" t="n">
        <f aca="false">H1811*K1811</f>
        <v>175</v>
      </c>
    </row>
    <row r="1812" customFormat="false" ht="15" hidden="false" customHeight="false" outlineLevel="0" collapsed="false">
      <c r="A1812" s="2" t="s">
        <v>2094</v>
      </c>
      <c r="B1812" s="8" t="n">
        <v>46176</v>
      </c>
      <c r="C1812" s="2" t="s">
        <v>209</v>
      </c>
      <c r="D1812" s="3" t="str">
        <f aca="false">INDEX(Vendedores!$C$2:$C$101,MATCH(C1812,Vendedores!$A$2:$A$101,0))</f>
        <v>L09</v>
      </c>
      <c r="E1812" s="3" t="str">
        <f aca="false">INDEX(Lojas!$E$2:$E$11,MATCH(D1812,Lojas!$A$2:$A$11,0))</f>
        <v>Nordeste</v>
      </c>
      <c r="F1812" s="2" t="s">
        <v>275</v>
      </c>
      <c r="G1812" s="3" t="str">
        <f aca="false">INDEX(Produtos!$B$2:$B$11,MATCH(F1812,Produtos!$A$2:$A$11,0))&amp;" "&amp;INDEX(Produtos!$C$2:$C$11,MATCH(F1812,Produtos!$A$2:$A$11,0))</f>
        <v>Controle de Videogame PS5</v>
      </c>
      <c r="H1812" s="2" t="n">
        <v>1</v>
      </c>
      <c r="I1812" s="5" t="n">
        <f aca="false">INDEX(Produtos!$D$2:$D$11,MATCH(F1812,Produtos!$A$2:$A$11,0))</f>
        <v>379.9</v>
      </c>
      <c r="J1812" s="5" t="n">
        <f aca="false">H1812*I1812</f>
        <v>379.9</v>
      </c>
      <c r="K1812" s="5" t="n">
        <f aca="false">INDEX(Produtos!$E$2:$E$11,MATCH(F1812,Produtos!$A$2:$A$11,0))</f>
        <v>235</v>
      </c>
      <c r="L1812" s="5" t="n">
        <f aca="false">H1812*K1812</f>
        <v>235</v>
      </c>
    </row>
    <row r="1813" customFormat="false" ht="15" hidden="false" customHeight="false" outlineLevel="0" collapsed="false">
      <c r="A1813" s="2" t="s">
        <v>2095</v>
      </c>
      <c r="B1813" s="8" t="n">
        <v>46176</v>
      </c>
      <c r="C1813" s="2" t="s">
        <v>74</v>
      </c>
      <c r="D1813" s="3" t="str">
        <f aca="false">INDEX(Vendedores!$C$2:$C$101,MATCH(C1813,Vendedores!$A$2:$A$101,0))</f>
        <v>L02</v>
      </c>
      <c r="E1813" s="3" t="str">
        <f aca="false">INDEX(Lojas!$E$2:$E$11,MATCH(D1813,Lojas!$A$2:$A$11,0))</f>
        <v>Sudeste</v>
      </c>
      <c r="F1813" s="2" t="s">
        <v>255</v>
      </c>
      <c r="G1813" s="3" t="str">
        <f aca="false">INDEX(Produtos!$B$2:$B$11,MATCH(F1813,Produtos!$A$2:$A$11,0))&amp;" "&amp;INDEX(Produtos!$C$2:$C$11,MATCH(F1813,Produtos!$A$2:$A$11,0))</f>
        <v>Notebook Positivo</v>
      </c>
      <c r="H1813" s="2" t="n">
        <v>1</v>
      </c>
      <c r="I1813" s="5" t="n">
        <f aca="false">INDEX(Produtos!$D$2:$D$11,MATCH(F1813,Produtos!$A$2:$A$11,0))</f>
        <v>2199</v>
      </c>
      <c r="J1813" s="5" t="n">
        <f aca="false">H1813*I1813</f>
        <v>2199</v>
      </c>
      <c r="K1813" s="5" t="n">
        <f aca="false">INDEX(Produtos!$E$2:$E$11,MATCH(F1813,Produtos!$A$2:$A$11,0))</f>
        <v>1550</v>
      </c>
      <c r="L1813" s="5" t="n">
        <f aca="false">H1813*K1813</f>
        <v>1550</v>
      </c>
    </row>
    <row r="1814" customFormat="false" ht="15" hidden="false" customHeight="false" outlineLevel="0" collapsed="false">
      <c r="A1814" s="2" t="s">
        <v>2096</v>
      </c>
      <c r="B1814" s="8" t="n">
        <v>46176</v>
      </c>
      <c r="C1814" s="2" t="s">
        <v>227</v>
      </c>
      <c r="D1814" s="3" t="str">
        <f aca="false">INDEX(Vendedores!$C$2:$C$101,MATCH(C1814,Vendedores!$A$2:$A$101,0))</f>
        <v>L10</v>
      </c>
      <c r="E1814" s="3" t="str">
        <f aca="false">INDEX(Lojas!$E$2:$E$11,MATCH(D1814,Lojas!$A$2:$A$11,0))</f>
        <v>Nordeste</v>
      </c>
      <c r="F1814" s="2" t="s">
        <v>255</v>
      </c>
      <c r="G1814" s="3" t="str">
        <f aca="false">INDEX(Produtos!$B$2:$B$11,MATCH(F1814,Produtos!$A$2:$A$11,0))&amp;" "&amp;INDEX(Produtos!$C$2:$C$11,MATCH(F1814,Produtos!$A$2:$A$11,0))</f>
        <v>Notebook Positivo</v>
      </c>
      <c r="H1814" s="2" t="n">
        <v>1</v>
      </c>
      <c r="I1814" s="5" t="n">
        <f aca="false">INDEX(Produtos!$D$2:$D$11,MATCH(F1814,Produtos!$A$2:$A$11,0))</f>
        <v>2199</v>
      </c>
      <c r="J1814" s="5" t="n">
        <f aca="false">H1814*I1814</f>
        <v>2199</v>
      </c>
      <c r="K1814" s="5" t="n">
        <f aca="false">INDEX(Produtos!$E$2:$E$11,MATCH(F1814,Produtos!$A$2:$A$11,0))</f>
        <v>1550</v>
      </c>
      <c r="L1814" s="5" t="n">
        <f aca="false">H1814*K1814</f>
        <v>1550</v>
      </c>
    </row>
    <row r="1815" customFormat="false" ht="15" hidden="false" customHeight="false" outlineLevel="0" collapsed="false">
      <c r="A1815" s="2" t="s">
        <v>2097</v>
      </c>
      <c r="B1815" s="8" t="n">
        <v>46176</v>
      </c>
      <c r="C1815" s="2" t="s">
        <v>58</v>
      </c>
      <c r="D1815" s="3" t="str">
        <f aca="false">INDEX(Vendedores!$C$2:$C$101,MATCH(C1815,Vendedores!$A$2:$A$101,0))</f>
        <v>L01</v>
      </c>
      <c r="E1815" s="3" t="str">
        <f aca="false">INDEX(Lojas!$E$2:$E$11,MATCH(D1815,Lojas!$A$2:$A$11,0))</f>
        <v>Sudeste</v>
      </c>
      <c r="F1815" s="2" t="s">
        <v>273</v>
      </c>
      <c r="G1815" s="3" t="str">
        <f aca="false">INDEX(Produtos!$B$2:$B$11,MATCH(F1815,Produtos!$A$2:$A$11,0))&amp;" "&amp;INDEX(Produtos!$C$2:$C$11,MATCH(F1815,Produtos!$A$2:$A$11,0))</f>
        <v>Controle de Videogame PS4</v>
      </c>
      <c r="H1815" s="2" t="n">
        <v>2</v>
      </c>
      <c r="I1815" s="5" t="n">
        <f aca="false">INDEX(Produtos!$D$2:$D$11,MATCH(F1815,Produtos!$A$2:$A$11,0))</f>
        <v>299.9</v>
      </c>
      <c r="J1815" s="5" t="n">
        <f aca="false">H1815*I1815</f>
        <v>599.8</v>
      </c>
      <c r="K1815" s="5" t="n">
        <f aca="false">INDEX(Produtos!$E$2:$E$11,MATCH(F1815,Produtos!$A$2:$A$11,0))</f>
        <v>175</v>
      </c>
      <c r="L1815" s="5" t="n">
        <f aca="false">H1815*K1815</f>
        <v>350</v>
      </c>
    </row>
    <row r="1816" customFormat="false" ht="15" hidden="false" customHeight="false" outlineLevel="0" collapsed="false">
      <c r="A1816" s="2" t="s">
        <v>2098</v>
      </c>
      <c r="B1816" s="8" t="n">
        <v>46176</v>
      </c>
      <c r="C1816" s="2" t="s">
        <v>108</v>
      </c>
      <c r="D1816" s="3" t="str">
        <f aca="false">INDEX(Vendedores!$C$2:$C$101,MATCH(C1816,Vendedores!$A$2:$A$101,0))</f>
        <v>L03</v>
      </c>
      <c r="E1816" s="3" t="str">
        <f aca="false">INDEX(Lojas!$E$2:$E$11,MATCH(D1816,Lojas!$A$2:$A$11,0))</f>
        <v>Sudeste</v>
      </c>
      <c r="F1816" s="2" t="s">
        <v>273</v>
      </c>
      <c r="G1816" s="3" t="str">
        <f aca="false">INDEX(Produtos!$B$2:$B$11,MATCH(F1816,Produtos!$A$2:$A$11,0))&amp;" "&amp;INDEX(Produtos!$C$2:$C$11,MATCH(F1816,Produtos!$A$2:$A$11,0))</f>
        <v>Controle de Videogame PS4</v>
      </c>
      <c r="H1816" s="2" t="n">
        <v>2</v>
      </c>
      <c r="I1816" s="5" t="n">
        <f aca="false">INDEX(Produtos!$D$2:$D$11,MATCH(F1816,Produtos!$A$2:$A$11,0))</f>
        <v>299.9</v>
      </c>
      <c r="J1816" s="5" t="n">
        <f aca="false">H1816*I1816</f>
        <v>599.8</v>
      </c>
      <c r="K1816" s="5" t="n">
        <f aca="false">INDEX(Produtos!$E$2:$E$11,MATCH(F1816,Produtos!$A$2:$A$11,0))</f>
        <v>175</v>
      </c>
      <c r="L1816" s="5" t="n">
        <f aca="false">H1816*K1816</f>
        <v>350</v>
      </c>
    </row>
    <row r="1817" customFormat="false" ht="15" hidden="false" customHeight="false" outlineLevel="0" collapsed="false">
      <c r="A1817" s="2" t="s">
        <v>2099</v>
      </c>
      <c r="B1817" s="8" t="n">
        <v>46176</v>
      </c>
      <c r="C1817" s="2" t="s">
        <v>62</v>
      </c>
      <c r="D1817" s="3" t="str">
        <f aca="false">INDEX(Vendedores!$C$2:$C$101,MATCH(C1817,Vendedores!$A$2:$A$101,0))</f>
        <v>L01</v>
      </c>
      <c r="E1817" s="3" t="str">
        <f aca="false">INDEX(Lojas!$E$2:$E$11,MATCH(D1817,Lojas!$A$2:$A$11,0))</f>
        <v>Sudeste</v>
      </c>
      <c r="F1817" s="2" t="s">
        <v>273</v>
      </c>
      <c r="G1817" s="3" t="str">
        <f aca="false">INDEX(Produtos!$B$2:$B$11,MATCH(F1817,Produtos!$A$2:$A$11,0))&amp;" "&amp;INDEX(Produtos!$C$2:$C$11,MATCH(F1817,Produtos!$A$2:$A$11,0))</f>
        <v>Controle de Videogame PS4</v>
      </c>
      <c r="H1817" s="2" t="n">
        <v>2</v>
      </c>
      <c r="I1817" s="5" t="n">
        <f aca="false">INDEX(Produtos!$D$2:$D$11,MATCH(F1817,Produtos!$A$2:$A$11,0))</f>
        <v>299.9</v>
      </c>
      <c r="J1817" s="5" t="n">
        <f aca="false">H1817*I1817</f>
        <v>599.8</v>
      </c>
      <c r="K1817" s="5" t="n">
        <f aca="false">INDEX(Produtos!$E$2:$E$11,MATCH(F1817,Produtos!$A$2:$A$11,0))</f>
        <v>175</v>
      </c>
      <c r="L1817" s="5" t="n">
        <f aca="false">H1817*K1817</f>
        <v>350</v>
      </c>
    </row>
    <row r="1818" customFormat="false" ht="15" hidden="false" customHeight="false" outlineLevel="0" collapsed="false">
      <c r="A1818" s="2" t="s">
        <v>2100</v>
      </c>
      <c r="B1818" s="8" t="n">
        <v>46176</v>
      </c>
      <c r="C1818" s="2" t="s">
        <v>102</v>
      </c>
      <c r="D1818" s="3" t="str">
        <f aca="false">INDEX(Vendedores!$C$2:$C$101,MATCH(C1818,Vendedores!$A$2:$A$101,0))</f>
        <v>L03</v>
      </c>
      <c r="E1818" s="3" t="str">
        <f aca="false">INDEX(Lojas!$E$2:$E$11,MATCH(D1818,Lojas!$A$2:$A$11,0))</f>
        <v>Sudeste</v>
      </c>
      <c r="F1818" s="2" t="s">
        <v>265</v>
      </c>
      <c r="G1818" s="3" t="str">
        <f aca="false">INDEX(Produtos!$B$2:$B$11,MATCH(F1818,Produtos!$A$2:$A$11,0))&amp;" "&amp;INDEX(Produtos!$C$2:$C$11,MATCH(F1818,Produtos!$A$2:$A$11,0))</f>
        <v>Fone de Ouvido Headset</v>
      </c>
      <c r="H1818" s="2" t="n">
        <v>1</v>
      </c>
      <c r="I1818" s="5" t="n">
        <f aca="false">INDEX(Produtos!$D$2:$D$11,MATCH(F1818,Produtos!$A$2:$A$11,0))</f>
        <v>249.9</v>
      </c>
      <c r="J1818" s="5" t="n">
        <f aca="false">H1818*I1818</f>
        <v>249.9</v>
      </c>
      <c r="K1818" s="5" t="n">
        <f aca="false">INDEX(Produtos!$E$2:$E$11,MATCH(F1818,Produtos!$A$2:$A$11,0))</f>
        <v>145</v>
      </c>
      <c r="L1818" s="5" t="n">
        <f aca="false">H1818*K1818</f>
        <v>145</v>
      </c>
    </row>
    <row r="1819" customFormat="false" ht="15" hidden="false" customHeight="false" outlineLevel="0" collapsed="false">
      <c r="A1819" s="2" t="s">
        <v>2101</v>
      </c>
      <c r="B1819" s="8" t="n">
        <v>46176</v>
      </c>
      <c r="C1819" s="2" t="s">
        <v>124</v>
      </c>
      <c r="D1819" s="3" t="str">
        <f aca="false">INDEX(Vendedores!$C$2:$C$101,MATCH(C1819,Vendedores!$A$2:$A$101,0))</f>
        <v>L04</v>
      </c>
      <c r="E1819" s="3" t="str">
        <f aca="false">INDEX(Lojas!$E$2:$E$11,MATCH(D1819,Lojas!$A$2:$A$11,0))</f>
        <v>Sudeste</v>
      </c>
      <c r="F1819" s="2" t="s">
        <v>273</v>
      </c>
      <c r="G1819" s="3" t="str">
        <f aca="false">INDEX(Produtos!$B$2:$B$11,MATCH(F1819,Produtos!$A$2:$A$11,0))&amp;" "&amp;INDEX(Produtos!$C$2:$C$11,MATCH(F1819,Produtos!$A$2:$A$11,0))</f>
        <v>Controle de Videogame PS4</v>
      </c>
      <c r="H1819" s="2" t="n">
        <v>1</v>
      </c>
      <c r="I1819" s="5" t="n">
        <f aca="false">INDEX(Produtos!$D$2:$D$11,MATCH(F1819,Produtos!$A$2:$A$11,0))</f>
        <v>299.9</v>
      </c>
      <c r="J1819" s="5" t="n">
        <f aca="false">H1819*I1819</f>
        <v>299.9</v>
      </c>
      <c r="K1819" s="5" t="n">
        <f aca="false">INDEX(Produtos!$E$2:$E$11,MATCH(F1819,Produtos!$A$2:$A$11,0))</f>
        <v>175</v>
      </c>
      <c r="L1819" s="5" t="n">
        <f aca="false">H1819*K1819</f>
        <v>175</v>
      </c>
    </row>
    <row r="1820" customFormat="false" ht="15" hidden="false" customHeight="false" outlineLevel="0" collapsed="false">
      <c r="A1820" s="2" t="s">
        <v>2102</v>
      </c>
      <c r="B1820" s="8" t="n">
        <v>46176</v>
      </c>
      <c r="C1820" s="2" t="s">
        <v>199</v>
      </c>
      <c r="D1820" s="3" t="str">
        <f aca="false">INDEX(Vendedores!$C$2:$C$101,MATCH(C1820,Vendedores!$A$2:$A$101,0))</f>
        <v>L08</v>
      </c>
      <c r="E1820" s="3" t="str">
        <f aca="false">INDEX(Lojas!$E$2:$E$11,MATCH(D1820,Lojas!$A$2:$A$11,0))</f>
        <v>Nordeste</v>
      </c>
      <c r="F1820" s="2" t="s">
        <v>273</v>
      </c>
      <c r="G1820" s="3" t="str">
        <f aca="false">INDEX(Produtos!$B$2:$B$11,MATCH(F1820,Produtos!$A$2:$A$11,0))&amp;" "&amp;INDEX(Produtos!$C$2:$C$11,MATCH(F1820,Produtos!$A$2:$A$11,0))</f>
        <v>Controle de Videogame PS4</v>
      </c>
      <c r="H1820" s="2" t="n">
        <v>1</v>
      </c>
      <c r="I1820" s="5" t="n">
        <f aca="false">INDEX(Produtos!$D$2:$D$11,MATCH(F1820,Produtos!$A$2:$A$11,0))</f>
        <v>299.9</v>
      </c>
      <c r="J1820" s="5" t="n">
        <f aca="false">H1820*I1820</f>
        <v>299.9</v>
      </c>
      <c r="K1820" s="5" t="n">
        <f aca="false">INDEX(Produtos!$E$2:$E$11,MATCH(F1820,Produtos!$A$2:$A$11,0))</f>
        <v>175</v>
      </c>
      <c r="L1820" s="5" t="n">
        <f aca="false">H1820*K1820</f>
        <v>175</v>
      </c>
    </row>
    <row r="1821" customFormat="false" ht="15" hidden="false" customHeight="false" outlineLevel="0" collapsed="false">
      <c r="A1821" s="2" t="s">
        <v>2103</v>
      </c>
      <c r="B1821" s="8" t="n">
        <v>46177</v>
      </c>
      <c r="C1821" s="2" t="s">
        <v>102</v>
      </c>
      <c r="D1821" s="3" t="str">
        <f aca="false">INDEX(Vendedores!$C$2:$C$101,MATCH(C1821,Vendedores!$A$2:$A$101,0))</f>
        <v>L03</v>
      </c>
      <c r="E1821" s="3" t="str">
        <f aca="false">INDEX(Lojas!$E$2:$E$11,MATCH(D1821,Lojas!$A$2:$A$11,0))</f>
        <v>Sudeste</v>
      </c>
      <c r="F1821" s="2" t="s">
        <v>265</v>
      </c>
      <c r="G1821" s="3" t="str">
        <f aca="false">INDEX(Produtos!$B$2:$B$11,MATCH(F1821,Produtos!$A$2:$A$11,0))&amp;" "&amp;INDEX(Produtos!$C$2:$C$11,MATCH(F1821,Produtos!$A$2:$A$11,0))</f>
        <v>Fone de Ouvido Headset</v>
      </c>
      <c r="H1821" s="2" t="n">
        <v>1</v>
      </c>
      <c r="I1821" s="5" t="n">
        <f aca="false">INDEX(Produtos!$D$2:$D$11,MATCH(F1821,Produtos!$A$2:$A$11,0))</f>
        <v>249.9</v>
      </c>
      <c r="J1821" s="5" t="n">
        <f aca="false">H1821*I1821</f>
        <v>249.9</v>
      </c>
      <c r="K1821" s="5" t="n">
        <f aca="false">INDEX(Produtos!$E$2:$E$11,MATCH(F1821,Produtos!$A$2:$A$11,0))</f>
        <v>145</v>
      </c>
      <c r="L1821" s="5" t="n">
        <f aca="false">H1821*K1821</f>
        <v>145</v>
      </c>
    </row>
    <row r="1822" customFormat="false" ht="15" hidden="false" customHeight="false" outlineLevel="0" collapsed="false">
      <c r="A1822" s="2" t="s">
        <v>2104</v>
      </c>
      <c r="B1822" s="8" t="n">
        <v>46177</v>
      </c>
      <c r="C1822" s="2" t="s">
        <v>90</v>
      </c>
      <c r="D1822" s="3" t="str">
        <f aca="false">INDEX(Vendedores!$C$2:$C$101,MATCH(C1822,Vendedores!$A$2:$A$101,0))</f>
        <v>L03</v>
      </c>
      <c r="E1822" s="3" t="str">
        <f aca="false">INDEX(Lojas!$E$2:$E$11,MATCH(D1822,Lojas!$A$2:$A$11,0))</f>
        <v>Sudeste</v>
      </c>
      <c r="F1822" s="2" t="s">
        <v>260</v>
      </c>
      <c r="G1822" s="3" t="str">
        <f aca="false">INDEX(Produtos!$B$2:$B$11,MATCH(F1822,Produtos!$A$2:$A$11,0))&amp;" "&amp;INDEX(Produtos!$C$2:$C$11,MATCH(F1822,Produtos!$A$2:$A$11,0))</f>
        <v>Celular Motorola</v>
      </c>
      <c r="H1822" s="2" t="n">
        <v>3</v>
      </c>
      <c r="I1822" s="5" t="n">
        <f aca="false">INDEX(Produtos!$D$2:$D$11,MATCH(F1822,Produtos!$A$2:$A$11,0))</f>
        <v>1799</v>
      </c>
      <c r="J1822" s="5" t="n">
        <f aca="false">H1822*I1822</f>
        <v>5397</v>
      </c>
      <c r="K1822" s="5" t="n">
        <f aca="false">INDEX(Produtos!$E$2:$E$11,MATCH(F1822,Produtos!$A$2:$A$11,0))</f>
        <v>1250</v>
      </c>
      <c r="L1822" s="5" t="n">
        <f aca="false">H1822*K1822</f>
        <v>3750</v>
      </c>
    </row>
    <row r="1823" customFormat="false" ht="15" hidden="false" customHeight="false" outlineLevel="0" collapsed="false">
      <c r="A1823" s="2" t="s">
        <v>2105</v>
      </c>
      <c r="B1823" s="8" t="n">
        <v>46177</v>
      </c>
      <c r="C1823" s="2" t="s">
        <v>178</v>
      </c>
      <c r="D1823" s="3" t="str">
        <f aca="false">INDEX(Vendedores!$C$2:$C$101,MATCH(C1823,Vendedores!$A$2:$A$101,0))</f>
        <v>L07</v>
      </c>
      <c r="E1823" s="3" t="str">
        <f aca="false">INDEX(Lojas!$E$2:$E$11,MATCH(D1823,Lojas!$A$2:$A$11,0))</f>
        <v>Sul</v>
      </c>
      <c r="F1823" s="2" t="s">
        <v>252</v>
      </c>
      <c r="G1823" s="3" t="str">
        <f aca="false">INDEX(Produtos!$B$2:$B$11,MATCH(F1823,Produtos!$A$2:$A$11,0))&amp;" "&amp;INDEX(Produtos!$C$2:$C$11,MATCH(F1823,Produtos!$A$2:$A$11,0))</f>
        <v>Notebook Lenovo</v>
      </c>
      <c r="H1823" s="2" t="n">
        <v>2</v>
      </c>
      <c r="I1823" s="5" t="n">
        <f aca="false">INDEX(Produtos!$D$2:$D$11,MATCH(F1823,Produtos!$A$2:$A$11,0))</f>
        <v>3199</v>
      </c>
      <c r="J1823" s="5" t="n">
        <f aca="false">H1823*I1823</f>
        <v>6398</v>
      </c>
      <c r="K1823" s="5" t="n">
        <f aca="false">INDEX(Produtos!$E$2:$E$11,MATCH(F1823,Produtos!$A$2:$A$11,0))</f>
        <v>2350</v>
      </c>
      <c r="L1823" s="5" t="n">
        <f aca="false">H1823*K1823</f>
        <v>4700</v>
      </c>
    </row>
    <row r="1824" customFormat="false" ht="15" hidden="false" customHeight="false" outlineLevel="0" collapsed="false">
      <c r="A1824" s="2" t="s">
        <v>2106</v>
      </c>
      <c r="B1824" s="8" t="n">
        <v>46177</v>
      </c>
      <c r="C1824" s="2" t="s">
        <v>168</v>
      </c>
      <c r="D1824" s="3" t="str">
        <f aca="false">INDEX(Vendedores!$C$2:$C$101,MATCH(C1824,Vendedores!$A$2:$A$101,0))</f>
        <v>L07</v>
      </c>
      <c r="E1824" s="3" t="str">
        <f aca="false">INDEX(Lojas!$E$2:$E$11,MATCH(D1824,Lojas!$A$2:$A$11,0))</f>
        <v>Sul</v>
      </c>
      <c r="F1824" s="2" t="s">
        <v>267</v>
      </c>
      <c r="G1824" s="3" t="str">
        <f aca="false">INDEX(Produtos!$B$2:$B$11,MATCH(F1824,Produtos!$A$2:$A$11,0))&amp;" "&amp;INDEX(Produtos!$C$2:$C$11,MATCH(F1824,Produtos!$A$2:$A$11,0))</f>
        <v>Carregador de Celular Tipo C</v>
      </c>
      <c r="H1824" s="2" t="n">
        <v>2</v>
      </c>
      <c r="I1824" s="5" t="n">
        <f aca="false">INDEX(Produtos!$D$2:$D$11,MATCH(F1824,Produtos!$A$2:$A$11,0))</f>
        <v>44.9</v>
      </c>
      <c r="J1824" s="5" t="n">
        <f aca="false">H1824*I1824</f>
        <v>89.8</v>
      </c>
      <c r="K1824" s="5" t="n">
        <f aca="false">INDEX(Produtos!$E$2:$E$11,MATCH(F1824,Produtos!$A$2:$A$11,0))</f>
        <v>18</v>
      </c>
      <c r="L1824" s="5" t="n">
        <f aca="false">H1824*K1824</f>
        <v>36</v>
      </c>
    </row>
    <row r="1825" customFormat="false" ht="15" hidden="false" customHeight="false" outlineLevel="0" collapsed="false">
      <c r="A1825" s="2" t="s">
        <v>2107</v>
      </c>
      <c r="B1825" s="8" t="n">
        <v>46177</v>
      </c>
      <c r="C1825" s="2" t="s">
        <v>217</v>
      </c>
      <c r="D1825" s="3" t="str">
        <f aca="false">INDEX(Vendedores!$C$2:$C$101,MATCH(C1825,Vendedores!$A$2:$A$101,0))</f>
        <v>L09</v>
      </c>
      <c r="E1825" s="3" t="str">
        <f aca="false">INDEX(Lojas!$E$2:$E$11,MATCH(D1825,Lojas!$A$2:$A$11,0))</f>
        <v>Nordeste</v>
      </c>
      <c r="F1825" s="2" t="s">
        <v>267</v>
      </c>
      <c r="G1825" s="3" t="str">
        <f aca="false">INDEX(Produtos!$B$2:$B$11,MATCH(F1825,Produtos!$A$2:$A$11,0))&amp;" "&amp;INDEX(Produtos!$C$2:$C$11,MATCH(F1825,Produtos!$A$2:$A$11,0))</f>
        <v>Carregador de Celular Tipo C</v>
      </c>
      <c r="H1825" s="2" t="n">
        <v>1</v>
      </c>
      <c r="I1825" s="5" t="n">
        <f aca="false">INDEX(Produtos!$D$2:$D$11,MATCH(F1825,Produtos!$A$2:$A$11,0))</f>
        <v>44.9</v>
      </c>
      <c r="J1825" s="5" t="n">
        <f aca="false">H1825*I1825</f>
        <v>44.9</v>
      </c>
      <c r="K1825" s="5" t="n">
        <f aca="false">INDEX(Produtos!$E$2:$E$11,MATCH(F1825,Produtos!$A$2:$A$11,0))</f>
        <v>18</v>
      </c>
      <c r="L1825" s="5" t="n">
        <f aca="false">H1825*K1825</f>
        <v>18</v>
      </c>
    </row>
    <row r="1826" customFormat="false" ht="15" hidden="false" customHeight="false" outlineLevel="0" collapsed="false">
      <c r="A1826" s="2" t="s">
        <v>2108</v>
      </c>
      <c r="B1826" s="8" t="n">
        <v>46177</v>
      </c>
      <c r="C1826" s="2" t="s">
        <v>182</v>
      </c>
      <c r="D1826" s="3" t="str">
        <f aca="false">INDEX(Vendedores!$C$2:$C$101,MATCH(C1826,Vendedores!$A$2:$A$101,0))</f>
        <v>L07</v>
      </c>
      <c r="E1826" s="3" t="str">
        <f aca="false">INDEX(Lojas!$E$2:$E$11,MATCH(D1826,Lojas!$A$2:$A$11,0))</f>
        <v>Sul</v>
      </c>
      <c r="F1826" s="2" t="s">
        <v>257</v>
      </c>
      <c r="G1826" s="3" t="str">
        <f aca="false">INDEX(Produtos!$B$2:$B$11,MATCH(F1826,Produtos!$A$2:$A$11,0))&amp;" "&amp;INDEX(Produtos!$C$2:$C$11,MATCH(F1826,Produtos!$A$2:$A$11,0))</f>
        <v>Celular Samsung</v>
      </c>
      <c r="H1826" s="2" t="n">
        <v>1</v>
      </c>
      <c r="I1826" s="5" t="n">
        <f aca="false">INDEX(Produtos!$D$2:$D$11,MATCH(F1826,Produtos!$A$2:$A$11,0))</f>
        <v>2499</v>
      </c>
      <c r="J1826" s="5" t="n">
        <f aca="false">H1826*I1826</f>
        <v>2499</v>
      </c>
      <c r="K1826" s="5" t="n">
        <f aca="false">INDEX(Produtos!$E$2:$E$11,MATCH(F1826,Produtos!$A$2:$A$11,0))</f>
        <v>1800</v>
      </c>
      <c r="L1826" s="5" t="n">
        <f aca="false">H1826*K1826</f>
        <v>1800</v>
      </c>
    </row>
    <row r="1827" customFormat="false" ht="15" hidden="false" customHeight="false" outlineLevel="0" collapsed="false">
      <c r="A1827" s="2" t="s">
        <v>2109</v>
      </c>
      <c r="B1827" s="8" t="n">
        <v>46177</v>
      </c>
      <c r="C1827" s="2" t="s">
        <v>122</v>
      </c>
      <c r="D1827" s="3" t="str">
        <f aca="false">INDEX(Vendedores!$C$2:$C$101,MATCH(C1827,Vendedores!$A$2:$A$101,0))</f>
        <v>L04</v>
      </c>
      <c r="E1827" s="3" t="str">
        <f aca="false">INDEX(Lojas!$E$2:$E$11,MATCH(D1827,Lojas!$A$2:$A$11,0))</f>
        <v>Sudeste</v>
      </c>
      <c r="F1827" s="2" t="s">
        <v>257</v>
      </c>
      <c r="G1827" s="3" t="str">
        <f aca="false">INDEX(Produtos!$B$2:$B$11,MATCH(F1827,Produtos!$A$2:$A$11,0))&amp;" "&amp;INDEX(Produtos!$C$2:$C$11,MATCH(F1827,Produtos!$A$2:$A$11,0))</f>
        <v>Celular Samsung</v>
      </c>
      <c r="H1827" s="2" t="n">
        <v>1</v>
      </c>
      <c r="I1827" s="5" t="n">
        <f aca="false">INDEX(Produtos!$D$2:$D$11,MATCH(F1827,Produtos!$A$2:$A$11,0))</f>
        <v>2499</v>
      </c>
      <c r="J1827" s="5" t="n">
        <f aca="false">H1827*I1827</f>
        <v>2499</v>
      </c>
      <c r="K1827" s="5" t="n">
        <f aca="false">INDEX(Produtos!$E$2:$E$11,MATCH(F1827,Produtos!$A$2:$A$11,0))</f>
        <v>1800</v>
      </c>
      <c r="L1827" s="5" t="n">
        <f aca="false">H1827*K1827</f>
        <v>1800</v>
      </c>
    </row>
    <row r="1828" customFormat="false" ht="15" hidden="false" customHeight="false" outlineLevel="0" collapsed="false">
      <c r="A1828" s="2" t="s">
        <v>2110</v>
      </c>
      <c r="B1828" s="8" t="n">
        <v>46177</v>
      </c>
      <c r="C1828" s="2" t="s">
        <v>229</v>
      </c>
      <c r="D1828" s="3" t="str">
        <f aca="false">INDEX(Vendedores!$C$2:$C$101,MATCH(C1828,Vendedores!$A$2:$A$101,0))</f>
        <v>L10</v>
      </c>
      <c r="E1828" s="3" t="str">
        <f aca="false">INDEX(Lojas!$E$2:$E$11,MATCH(D1828,Lojas!$A$2:$A$11,0))</f>
        <v>Nordeste</v>
      </c>
      <c r="F1828" s="2" t="s">
        <v>267</v>
      </c>
      <c r="G1828" s="3" t="str">
        <f aca="false">INDEX(Produtos!$B$2:$B$11,MATCH(F1828,Produtos!$A$2:$A$11,0))&amp;" "&amp;INDEX(Produtos!$C$2:$C$11,MATCH(F1828,Produtos!$A$2:$A$11,0))</f>
        <v>Carregador de Celular Tipo C</v>
      </c>
      <c r="H1828" s="2" t="n">
        <v>2</v>
      </c>
      <c r="I1828" s="5" t="n">
        <f aca="false">INDEX(Produtos!$D$2:$D$11,MATCH(F1828,Produtos!$A$2:$A$11,0))</f>
        <v>44.9</v>
      </c>
      <c r="J1828" s="5" t="n">
        <f aca="false">H1828*I1828</f>
        <v>89.8</v>
      </c>
      <c r="K1828" s="5" t="n">
        <f aca="false">INDEX(Produtos!$E$2:$E$11,MATCH(F1828,Produtos!$A$2:$A$11,0))</f>
        <v>18</v>
      </c>
      <c r="L1828" s="5" t="n">
        <f aca="false">H1828*K1828</f>
        <v>36</v>
      </c>
    </row>
    <row r="1829" customFormat="false" ht="15" hidden="false" customHeight="false" outlineLevel="0" collapsed="false">
      <c r="A1829" s="2" t="s">
        <v>2111</v>
      </c>
      <c r="B1829" s="8" t="n">
        <v>46177</v>
      </c>
      <c r="C1829" s="2" t="s">
        <v>135</v>
      </c>
      <c r="D1829" s="3" t="str">
        <f aca="false">INDEX(Vendedores!$C$2:$C$101,MATCH(C1829,Vendedores!$A$2:$A$101,0))</f>
        <v>L05</v>
      </c>
      <c r="E1829" s="3" t="str">
        <f aca="false">INDEX(Lojas!$E$2:$E$11,MATCH(D1829,Lojas!$A$2:$A$11,0))</f>
        <v>Sul</v>
      </c>
      <c r="F1829" s="2" t="s">
        <v>275</v>
      </c>
      <c r="G1829" s="3" t="str">
        <f aca="false">INDEX(Produtos!$B$2:$B$11,MATCH(F1829,Produtos!$A$2:$A$11,0))&amp;" "&amp;INDEX(Produtos!$C$2:$C$11,MATCH(F1829,Produtos!$A$2:$A$11,0))</f>
        <v>Controle de Videogame PS5</v>
      </c>
      <c r="H1829" s="2" t="n">
        <v>2</v>
      </c>
      <c r="I1829" s="5" t="n">
        <f aca="false">INDEX(Produtos!$D$2:$D$11,MATCH(F1829,Produtos!$A$2:$A$11,0))</f>
        <v>379.9</v>
      </c>
      <c r="J1829" s="5" t="n">
        <f aca="false">H1829*I1829</f>
        <v>759.8</v>
      </c>
      <c r="K1829" s="5" t="n">
        <f aca="false">INDEX(Produtos!$E$2:$E$11,MATCH(F1829,Produtos!$A$2:$A$11,0))</f>
        <v>235</v>
      </c>
      <c r="L1829" s="5" t="n">
        <f aca="false">H1829*K1829</f>
        <v>470</v>
      </c>
    </row>
    <row r="1830" customFormat="false" ht="15" hidden="false" customHeight="false" outlineLevel="0" collapsed="false">
      <c r="A1830" s="2" t="s">
        <v>2112</v>
      </c>
      <c r="B1830" s="8" t="n">
        <v>46177</v>
      </c>
      <c r="C1830" s="2" t="s">
        <v>243</v>
      </c>
      <c r="D1830" s="3" t="str">
        <f aca="false">INDEX(Vendedores!$C$2:$C$101,MATCH(C1830,Vendedores!$A$2:$A$101,0))</f>
        <v>L10</v>
      </c>
      <c r="E1830" s="3" t="str">
        <f aca="false">INDEX(Lojas!$E$2:$E$11,MATCH(D1830,Lojas!$A$2:$A$11,0))</f>
        <v>Nordeste</v>
      </c>
      <c r="F1830" s="2" t="s">
        <v>255</v>
      </c>
      <c r="G1830" s="3" t="str">
        <f aca="false">INDEX(Produtos!$B$2:$B$11,MATCH(F1830,Produtos!$A$2:$A$11,0))&amp;" "&amp;INDEX(Produtos!$C$2:$C$11,MATCH(F1830,Produtos!$A$2:$A$11,0))</f>
        <v>Notebook Positivo</v>
      </c>
      <c r="H1830" s="2" t="n">
        <v>2</v>
      </c>
      <c r="I1830" s="5" t="n">
        <f aca="false">INDEX(Produtos!$D$2:$D$11,MATCH(F1830,Produtos!$A$2:$A$11,0))</f>
        <v>2199</v>
      </c>
      <c r="J1830" s="5" t="n">
        <f aca="false">H1830*I1830</f>
        <v>4398</v>
      </c>
      <c r="K1830" s="5" t="n">
        <f aca="false">INDEX(Produtos!$E$2:$E$11,MATCH(F1830,Produtos!$A$2:$A$11,0))</f>
        <v>1550</v>
      </c>
      <c r="L1830" s="5" t="n">
        <f aca="false">H1830*K1830</f>
        <v>3100</v>
      </c>
    </row>
    <row r="1831" customFormat="false" ht="15" hidden="false" customHeight="false" outlineLevel="0" collapsed="false">
      <c r="A1831" s="2" t="s">
        <v>2113</v>
      </c>
      <c r="B1831" s="8" t="n">
        <v>46177</v>
      </c>
      <c r="C1831" s="2" t="s">
        <v>122</v>
      </c>
      <c r="D1831" s="3" t="str">
        <f aca="false">INDEX(Vendedores!$C$2:$C$101,MATCH(C1831,Vendedores!$A$2:$A$101,0))</f>
        <v>L04</v>
      </c>
      <c r="E1831" s="3" t="str">
        <f aca="false">INDEX(Lojas!$E$2:$E$11,MATCH(D1831,Lojas!$A$2:$A$11,0))</f>
        <v>Sudeste</v>
      </c>
      <c r="F1831" s="2" t="s">
        <v>267</v>
      </c>
      <c r="G1831" s="3" t="str">
        <f aca="false">INDEX(Produtos!$B$2:$B$11,MATCH(F1831,Produtos!$A$2:$A$11,0))&amp;" "&amp;INDEX(Produtos!$C$2:$C$11,MATCH(F1831,Produtos!$A$2:$A$11,0))</f>
        <v>Carregador de Celular Tipo C</v>
      </c>
      <c r="H1831" s="2" t="n">
        <v>1</v>
      </c>
      <c r="I1831" s="5" t="n">
        <f aca="false">INDEX(Produtos!$D$2:$D$11,MATCH(F1831,Produtos!$A$2:$A$11,0))</f>
        <v>44.9</v>
      </c>
      <c r="J1831" s="5" t="n">
        <f aca="false">H1831*I1831</f>
        <v>44.9</v>
      </c>
      <c r="K1831" s="5" t="n">
        <f aca="false">INDEX(Produtos!$E$2:$E$11,MATCH(F1831,Produtos!$A$2:$A$11,0))</f>
        <v>18</v>
      </c>
      <c r="L1831" s="5" t="n">
        <f aca="false">H1831*K1831</f>
        <v>18</v>
      </c>
    </row>
    <row r="1832" customFormat="false" ht="15" hidden="false" customHeight="false" outlineLevel="0" collapsed="false">
      <c r="A1832" s="2" t="s">
        <v>2114</v>
      </c>
      <c r="B1832" s="8" t="n">
        <v>46178</v>
      </c>
      <c r="C1832" s="2" t="s">
        <v>146</v>
      </c>
      <c r="D1832" s="3" t="str">
        <f aca="false">INDEX(Vendedores!$C$2:$C$101,MATCH(C1832,Vendedores!$A$2:$A$101,0))</f>
        <v>L05</v>
      </c>
      <c r="E1832" s="3" t="str">
        <f aca="false">INDEX(Lojas!$E$2:$E$11,MATCH(D1832,Lojas!$A$2:$A$11,0))</f>
        <v>Sul</v>
      </c>
      <c r="F1832" s="2" t="s">
        <v>265</v>
      </c>
      <c r="G1832" s="3" t="str">
        <f aca="false">INDEX(Produtos!$B$2:$B$11,MATCH(F1832,Produtos!$A$2:$A$11,0))&amp;" "&amp;INDEX(Produtos!$C$2:$C$11,MATCH(F1832,Produtos!$A$2:$A$11,0))</f>
        <v>Fone de Ouvido Headset</v>
      </c>
      <c r="H1832" s="2" t="n">
        <v>1</v>
      </c>
      <c r="I1832" s="5" t="n">
        <f aca="false">INDEX(Produtos!$D$2:$D$11,MATCH(F1832,Produtos!$A$2:$A$11,0))</f>
        <v>249.9</v>
      </c>
      <c r="J1832" s="5" t="n">
        <f aca="false">H1832*I1832</f>
        <v>249.9</v>
      </c>
      <c r="K1832" s="5" t="n">
        <f aca="false">INDEX(Produtos!$E$2:$E$11,MATCH(F1832,Produtos!$A$2:$A$11,0))</f>
        <v>145</v>
      </c>
      <c r="L1832" s="5" t="n">
        <f aca="false">H1832*K1832</f>
        <v>145</v>
      </c>
    </row>
    <row r="1833" customFormat="false" ht="15" hidden="false" customHeight="false" outlineLevel="0" collapsed="false">
      <c r="A1833" s="2" t="s">
        <v>2115</v>
      </c>
      <c r="B1833" s="8" t="n">
        <v>46178</v>
      </c>
      <c r="C1833" s="2" t="s">
        <v>195</v>
      </c>
      <c r="D1833" s="3" t="str">
        <f aca="false">INDEX(Vendedores!$C$2:$C$101,MATCH(C1833,Vendedores!$A$2:$A$101,0))</f>
        <v>L08</v>
      </c>
      <c r="E1833" s="3" t="str">
        <f aca="false">INDEX(Lojas!$E$2:$E$11,MATCH(D1833,Lojas!$A$2:$A$11,0))</f>
        <v>Nordeste</v>
      </c>
      <c r="F1833" s="2" t="s">
        <v>262</v>
      </c>
      <c r="G1833" s="3" t="str">
        <f aca="false">INDEX(Produtos!$B$2:$B$11,MATCH(F1833,Produtos!$A$2:$A$11,0))&amp;" "&amp;INDEX(Produtos!$C$2:$C$11,MATCH(F1833,Produtos!$A$2:$A$11,0))</f>
        <v>Fone de Ouvido De Celular</v>
      </c>
      <c r="H1833" s="2" t="n">
        <v>2</v>
      </c>
      <c r="I1833" s="5" t="n">
        <f aca="false">INDEX(Produtos!$D$2:$D$11,MATCH(F1833,Produtos!$A$2:$A$11,0))</f>
        <v>59.9</v>
      </c>
      <c r="J1833" s="5" t="n">
        <f aca="false">H1833*I1833</f>
        <v>119.8</v>
      </c>
      <c r="K1833" s="5" t="n">
        <f aca="false">INDEX(Produtos!$E$2:$E$11,MATCH(F1833,Produtos!$A$2:$A$11,0))</f>
        <v>28</v>
      </c>
      <c r="L1833" s="5" t="n">
        <f aca="false">H1833*K1833</f>
        <v>56</v>
      </c>
    </row>
    <row r="1834" customFormat="false" ht="15" hidden="false" customHeight="false" outlineLevel="0" collapsed="false">
      <c r="A1834" s="2" t="s">
        <v>2116</v>
      </c>
      <c r="B1834" s="8" t="n">
        <v>46178</v>
      </c>
      <c r="C1834" s="2" t="s">
        <v>158</v>
      </c>
      <c r="D1834" s="3" t="str">
        <f aca="false">INDEX(Vendedores!$C$2:$C$101,MATCH(C1834,Vendedores!$A$2:$A$101,0))</f>
        <v>L06</v>
      </c>
      <c r="E1834" s="3" t="str">
        <f aca="false">INDEX(Lojas!$E$2:$E$11,MATCH(D1834,Lojas!$A$2:$A$11,0))</f>
        <v>Sul</v>
      </c>
      <c r="F1834" s="2" t="s">
        <v>275</v>
      </c>
      <c r="G1834" s="3" t="str">
        <f aca="false">INDEX(Produtos!$B$2:$B$11,MATCH(F1834,Produtos!$A$2:$A$11,0))&amp;" "&amp;INDEX(Produtos!$C$2:$C$11,MATCH(F1834,Produtos!$A$2:$A$11,0))</f>
        <v>Controle de Videogame PS5</v>
      </c>
      <c r="H1834" s="2" t="n">
        <v>1</v>
      </c>
      <c r="I1834" s="5" t="n">
        <f aca="false">INDEX(Produtos!$D$2:$D$11,MATCH(F1834,Produtos!$A$2:$A$11,0))</f>
        <v>379.9</v>
      </c>
      <c r="J1834" s="5" t="n">
        <f aca="false">H1834*I1834</f>
        <v>379.9</v>
      </c>
      <c r="K1834" s="5" t="n">
        <f aca="false">INDEX(Produtos!$E$2:$E$11,MATCH(F1834,Produtos!$A$2:$A$11,0))</f>
        <v>235</v>
      </c>
      <c r="L1834" s="5" t="n">
        <f aca="false">H1834*K1834</f>
        <v>235</v>
      </c>
    </row>
    <row r="1835" customFormat="false" ht="15" hidden="false" customHeight="false" outlineLevel="0" collapsed="false">
      <c r="A1835" s="2" t="s">
        <v>2117</v>
      </c>
      <c r="B1835" s="8" t="n">
        <v>46178</v>
      </c>
      <c r="C1835" s="2" t="s">
        <v>185</v>
      </c>
      <c r="D1835" s="3" t="str">
        <f aca="false">INDEX(Vendedores!$C$2:$C$101,MATCH(C1835,Vendedores!$A$2:$A$101,0))</f>
        <v>L08</v>
      </c>
      <c r="E1835" s="3" t="str">
        <f aca="false">INDEX(Lojas!$E$2:$E$11,MATCH(D1835,Lojas!$A$2:$A$11,0))</f>
        <v>Nordeste</v>
      </c>
      <c r="F1835" s="2" t="s">
        <v>255</v>
      </c>
      <c r="G1835" s="3" t="str">
        <f aca="false">INDEX(Produtos!$B$2:$B$11,MATCH(F1835,Produtos!$A$2:$A$11,0))&amp;" "&amp;INDEX(Produtos!$C$2:$C$11,MATCH(F1835,Produtos!$A$2:$A$11,0))</f>
        <v>Notebook Positivo</v>
      </c>
      <c r="H1835" s="2" t="n">
        <v>2</v>
      </c>
      <c r="I1835" s="5" t="n">
        <f aca="false">INDEX(Produtos!$D$2:$D$11,MATCH(F1835,Produtos!$A$2:$A$11,0))</f>
        <v>2199</v>
      </c>
      <c r="J1835" s="5" t="n">
        <f aca="false">H1835*I1835</f>
        <v>4398</v>
      </c>
      <c r="K1835" s="5" t="n">
        <f aca="false">INDEX(Produtos!$E$2:$E$11,MATCH(F1835,Produtos!$A$2:$A$11,0))</f>
        <v>1550</v>
      </c>
      <c r="L1835" s="5" t="n">
        <f aca="false">H1835*K1835</f>
        <v>3100</v>
      </c>
    </row>
    <row r="1836" customFormat="false" ht="15" hidden="false" customHeight="false" outlineLevel="0" collapsed="false">
      <c r="A1836" s="2" t="s">
        <v>2118</v>
      </c>
      <c r="B1836" s="8" t="n">
        <v>46178</v>
      </c>
      <c r="C1836" s="2" t="s">
        <v>124</v>
      </c>
      <c r="D1836" s="3" t="str">
        <f aca="false">INDEX(Vendedores!$C$2:$C$101,MATCH(C1836,Vendedores!$A$2:$A$101,0))</f>
        <v>L04</v>
      </c>
      <c r="E1836" s="3" t="str">
        <f aca="false">INDEX(Lojas!$E$2:$E$11,MATCH(D1836,Lojas!$A$2:$A$11,0))</f>
        <v>Sudeste</v>
      </c>
      <c r="F1836" s="2" t="s">
        <v>252</v>
      </c>
      <c r="G1836" s="3" t="str">
        <f aca="false">INDEX(Produtos!$B$2:$B$11,MATCH(F1836,Produtos!$A$2:$A$11,0))&amp;" "&amp;INDEX(Produtos!$C$2:$C$11,MATCH(F1836,Produtos!$A$2:$A$11,0))</f>
        <v>Notebook Lenovo</v>
      </c>
      <c r="H1836" s="2" t="n">
        <v>1</v>
      </c>
      <c r="I1836" s="5" t="n">
        <f aca="false">INDEX(Produtos!$D$2:$D$11,MATCH(F1836,Produtos!$A$2:$A$11,0))</f>
        <v>3199</v>
      </c>
      <c r="J1836" s="5" t="n">
        <f aca="false">H1836*I1836</f>
        <v>3199</v>
      </c>
      <c r="K1836" s="5" t="n">
        <f aca="false">INDEX(Produtos!$E$2:$E$11,MATCH(F1836,Produtos!$A$2:$A$11,0))</f>
        <v>2350</v>
      </c>
      <c r="L1836" s="5" t="n">
        <f aca="false">H1836*K1836</f>
        <v>2350</v>
      </c>
    </row>
    <row r="1837" customFormat="false" ht="15" hidden="false" customHeight="false" outlineLevel="0" collapsed="false">
      <c r="A1837" s="2" t="s">
        <v>2119</v>
      </c>
      <c r="B1837" s="8" t="n">
        <v>46178</v>
      </c>
      <c r="C1837" s="2" t="s">
        <v>231</v>
      </c>
      <c r="D1837" s="3" t="str">
        <f aca="false">INDEX(Vendedores!$C$2:$C$101,MATCH(C1837,Vendedores!$A$2:$A$101,0))</f>
        <v>L10</v>
      </c>
      <c r="E1837" s="3" t="str">
        <f aca="false">INDEX(Lojas!$E$2:$E$11,MATCH(D1837,Lojas!$A$2:$A$11,0))</f>
        <v>Nordeste</v>
      </c>
      <c r="F1837" s="2" t="s">
        <v>260</v>
      </c>
      <c r="G1837" s="3" t="str">
        <f aca="false">INDEX(Produtos!$B$2:$B$11,MATCH(F1837,Produtos!$A$2:$A$11,0))&amp;" "&amp;INDEX(Produtos!$C$2:$C$11,MATCH(F1837,Produtos!$A$2:$A$11,0))</f>
        <v>Celular Motorola</v>
      </c>
      <c r="H1837" s="2" t="n">
        <v>1</v>
      </c>
      <c r="I1837" s="5" t="n">
        <f aca="false">INDEX(Produtos!$D$2:$D$11,MATCH(F1837,Produtos!$A$2:$A$11,0))</f>
        <v>1799</v>
      </c>
      <c r="J1837" s="5" t="n">
        <f aca="false">H1837*I1837</f>
        <v>1799</v>
      </c>
      <c r="K1837" s="5" t="n">
        <f aca="false">INDEX(Produtos!$E$2:$E$11,MATCH(F1837,Produtos!$A$2:$A$11,0))</f>
        <v>1250</v>
      </c>
      <c r="L1837" s="5" t="n">
        <f aca="false">H1837*K1837</f>
        <v>1250</v>
      </c>
    </row>
    <row r="1838" customFormat="false" ht="15" hidden="false" customHeight="false" outlineLevel="0" collapsed="false">
      <c r="A1838" s="2" t="s">
        <v>2120</v>
      </c>
      <c r="B1838" s="8" t="n">
        <v>46178</v>
      </c>
      <c r="C1838" s="2" t="s">
        <v>166</v>
      </c>
      <c r="D1838" s="3" t="str">
        <f aca="false">INDEX(Vendedores!$C$2:$C$101,MATCH(C1838,Vendedores!$A$2:$A$101,0))</f>
        <v>L06</v>
      </c>
      <c r="E1838" s="3" t="str">
        <f aca="false">INDEX(Lojas!$E$2:$E$11,MATCH(D1838,Lojas!$A$2:$A$11,0))</f>
        <v>Sul</v>
      </c>
      <c r="F1838" s="2" t="s">
        <v>262</v>
      </c>
      <c r="G1838" s="3" t="str">
        <f aca="false">INDEX(Produtos!$B$2:$B$11,MATCH(F1838,Produtos!$A$2:$A$11,0))&amp;" "&amp;INDEX(Produtos!$C$2:$C$11,MATCH(F1838,Produtos!$A$2:$A$11,0))</f>
        <v>Fone de Ouvido De Celular</v>
      </c>
      <c r="H1838" s="2" t="n">
        <v>1</v>
      </c>
      <c r="I1838" s="5" t="n">
        <f aca="false">INDEX(Produtos!$D$2:$D$11,MATCH(F1838,Produtos!$A$2:$A$11,0))</f>
        <v>59.9</v>
      </c>
      <c r="J1838" s="5" t="n">
        <f aca="false">H1838*I1838</f>
        <v>59.9</v>
      </c>
      <c r="K1838" s="5" t="n">
        <f aca="false">INDEX(Produtos!$E$2:$E$11,MATCH(F1838,Produtos!$A$2:$A$11,0))</f>
        <v>28</v>
      </c>
      <c r="L1838" s="5" t="n">
        <f aca="false">H1838*K1838</f>
        <v>28</v>
      </c>
    </row>
    <row r="1839" customFormat="false" ht="15" hidden="false" customHeight="false" outlineLevel="0" collapsed="false">
      <c r="A1839" s="2" t="s">
        <v>2121</v>
      </c>
      <c r="B1839" s="8" t="n">
        <v>46178</v>
      </c>
      <c r="C1839" s="2" t="s">
        <v>82</v>
      </c>
      <c r="D1839" s="3" t="str">
        <f aca="false">INDEX(Vendedores!$C$2:$C$101,MATCH(C1839,Vendedores!$A$2:$A$101,0))</f>
        <v>L02</v>
      </c>
      <c r="E1839" s="3" t="str">
        <f aca="false">INDEX(Lojas!$E$2:$E$11,MATCH(D1839,Lojas!$A$2:$A$11,0))</f>
        <v>Sudeste</v>
      </c>
      <c r="F1839" s="2" t="s">
        <v>262</v>
      </c>
      <c r="G1839" s="3" t="str">
        <f aca="false">INDEX(Produtos!$B$2:$B$11,MATCH(F1839,Produtos!$A$2:$A$11,0))&amp;" "&amp;INDEX(Produtos!$C$2:$C$11,MATCH(F1839,Produtos!$A$2:$A$11,0))</f>
        <v>Fone de Ouvido De Celular</v>
      </c>
      <c r="H1839" s="2" t="n">
        <v>2</v>
      </c>
      <c r="I1839" s="5" t="n">
        <f aca="false">INDEX(Produtos!$D$2:$D$11,MATCH(F1839,Produtos!$A$2:$A$11,0))</f>
        <v>59.9</v>
      </c>
      <c r="J1839" s="5" t="n">
        <f aca="false">H1839*I1839</f>
        <v>119.8</v>
      </c>
      <c r="K1839" s="5" t="n">
        <f aca="false">INDEX(Produtos!$E$2:$E$11,MATCH(F1839,Produtos!$A$2:$A$11,0))</f>
        <v>28</v>
      </c>
      <c r="L1839" s="5" t="n">
        <f aca="false">H1839*K1839</f>
        <v>56</v>
      </c>
    </row>
    <row r="1840" customFormat="false" ht="15" hidden="false" customHeight="false" outlineLevel="0" collapsed="false">
      <c r="A1840" s="2" t="s">
        <v>2122</v>
      </c>
      <c r="B1840" s="8" t="n">
        <v>46179</v>
      </c>
      <c r="C1840" s="2" t="s">
        <v>140</v>
      </c>
      <c r="D1840" s="3" t="str">
        <f aca="false">INDEX(Vendedores!$C$2:$C$101,MATCH(C1840,Vendedores!$A$2:$A$101,0))</f>
        <v>L05</v>
      </c>
      <c r="E1840" s="3" t="str">
        <f aca="false">INDEX(Lojas!$E$2:$E$11,MATCH(D1840,Lojas!$A$2:$A$11,0))</f>
        <v>Sul</v>
      </c>
      <c r="F1840" s="2" t="s">
        <v>267</v>
      </c>
      <c r="G1840" s="3" t="str">
        <f aca="false">INDEX(Produtos!$B$2:$B$11,MATCH(F1840,Produtos!$A$2:$A$11,0))&amp;" "&amp;INDEX(Produtos!$C$2:$C$11,MATCH(F1840,Produtos!$A$2:$A$11,0))</f>
        <v>Carregador de Celular Tipo C</v>
      </c>
      <c r="H1840" s="2" t="n">
        <v>1</v>
      </c>
      <c r="I1840" s="5" t="n">
        <f aca="false">INDEX(Produtos!$D$2:$D$11,MATCH(F1840,Produtos!$A$2:$A$11,0))</f>
        <v>44.9</v>
      </c>
      <c r="J1840" s="5" t="n">
        <f aca="false">H1840*I1840</f>
        <v>44.9</v>
      </c>
      <c r="K1840" s="5" t="n">
        <f aca="false">INDEX(Produtos!$E$2:$E$11,MATCH(F1840,Produtos!$A$2:$A$11,0))</f>
        <v>18</v>
      </c>
      <c r="L1840" s="5" t="n">
        <f aca="false">H1840*K1840</f>
        <v>18</v>
      </c>
    </row>
    <row r="1841" customFormat="false" ht="15" hidden="false" customHeight="false" outlineLevel="0" collapsed="false">
      <c r="A1841" s="2" t="s">
        <v>2123</v>
      </c>
      <c r="B1841" s="8" t="n">
        <v>46179</v>
      </c>
      <c r="C1841" s="2" t="s">
        <v>86</v>
      </c>
      <c r="D1841" s="3" t="str">
        <f aca="false">INDEX(Vendedores!$C$2:$C$101,MATCH(C1841,Vendedores!$A$2:$A$101,0))</f>
        <v>L02</v>
      </c>
      <c r="E1841" s="3" t="str">
        <f aca="false">INDEX(Lojas!$E$2:$E$11,MATCH(D1841,Lojas!$A$2:$A$11,0))</f>
        <v>Sudeste</v>
      </c>
      <c r="F1841" s="2" t="s">
        <v>267</v>
      </c>
      <c r="G1841" s="3" t="str">
        <f aca="false">INDEX(Produtos!$B$2:$B$11,MATCH(F1841,Produtos!$A$2:$A$11,0))&amp;" "&amp;INDEX(Produtos!$C$2:$C$11,MATCH(F1841,Produtos!$A$2:$A$11,0))</f>
        <v>Carregador de Celular Tipo C</v>
      </c>
      <c r="H1841" s="2" t="n">
        <v>1</v>
      </c>
      <c r="I1841" s="5" t="n">
        <f aca="false">INDEX(Produtos!$D$2:$D$11,MATCH(F1841,Produtos!$A$2:$A$11,0))</f>
        <v>44.9</v>
      </c>
      <c r="J1841" s="5" t="n">
        <f aca="false">H1841*I1841</f>
        <v>44.9</v>
      </c>
      <c r="K1841" s="5" t="n">
        <f aca="false">INDEX(Produtos!$E$2:$E$11,MATCH(F1841,Produtos!$A$2:$A$11,0))</f>
        <v>18</v>
      </c>
      <c r="L1841" s="5" t="n">
        <f aca="false">H1841*K1841</f>
        <v>18</v>
      </c>
    </row>
    <row r="1842" customFormat="false" ht="15" hidden="false" customHeight="false" outlineLevel="0" collapsed="false">
      <c r="A1842" s="2" t="s">
        <v>2124</v>
      </c>
      <c r="B1842" s="8" t="n">
        <v>46179</v>
      </c>
      <c r="C1842" s="2" t="s">
        <v>138</v>
      </c>
      <c r="D1842" s="3" t="str">
        <f aca="false">INDEX(Vendedores!$C$2:$C$101,MATCH(C1842,Vendedores!$A$2:$A$101,0))</f>
        <v>L05</v>
      </c>
      <c r="E1842" s="3" t="str">
        <f aca="false">INDEX(Lojas!$E$2:$E$11,MATCH(D1842,Lojas!$A$2:$A$11,0))</f>
        <v>Sul</v>
      </c>
      <c r="F1842" s="2" t="s">
        <v>257</v>
      </c>
      <c r="G1842" s="3" t="str">
        <f aca="false">INDEX(Produtos!$B$2:$B$11,MATCH(F1842,Produtos!$A$2:$A$11,0))&amp;" "&amp;INDEX(Produtos!$C$2:$C$11,MATCH(F1842,Produtos!$A$2:$A$11,0))</f>
        <v>Celular Samsung</v>
      </c>
      <c r="H1842" s="2" t="n">
        <v>2</v>
      </c>
      <c r="I1842" s="5" t="n">
        <f aca="false">INDEX(Produtos!$D$2:$D$11,MATCH(F1842,Produtos!$A$2:$A$11,0))</f>
        <v>2499</v>
      </c>
      <c r="J1842" s="5" t="n">
        <f aca="false">H1842*I1842</f>
        <v>4998</v>
      </c>
      <c r="K1842" s="5" t="n">
        <f aca="false">INDEX(Produtos!$E$2:$E$11,MATCH(F1842,Produtos!$A$2:$A$11,0))</f>
        <v>1800</v>
      </c>
      <c r="L1842" s="5" t="n">
        <f aca="false">H1842*K1842</f>
        <v>3600</v>
      </c>
    </row>
    <row r="1843" customFormat="false" ht="15" hidden="false" customHeight="false" outlineLevel="0" collapsed="false">
      <c r="A1843" s="2" t="s">
        <v>2125</v>
      </c>
      <c r="B1843" s="8" t="n">
        <v>46179</v>
      </c>
      <c r="C1843" s="2" t="s">
        <v>74</v>
      </c>
      <c r="D1843" s="3" t="str">
        <f aca="false">INDEX(Vendedores!$C$2:$C$101,MATCH(C1843,Vendedores!$A$2:$A$101,0))</f>
        <v>L02</v>
      </c>
      <c r="E1843" s="3" t="str">
        <f aca="false">INDEX(Lojas!$E$2:$E$11,MATCH(D1843,Lojas!$A$2:$A$11,0))</f>
        <v>Sudeste</v>
      </c>
      <c r="F1843" s="2" t="s">
        <v>270</v>
      </c>
      <c r="G1843" s="3" t="str">
        <f aca="false">INDEX(Produtos!$B$2:$B$11,MATCH(F1843,Produtos!$A$2:$A$11,0))&amp;" "&amp;INDEX(Produtos!$C$2:$C$11,MATCH(F1843,Produtos!$A$2:$A$11,0))</f>
        <v>Controle de Videogame Xbox</v>
      </c>
      <c r="H1843" s="2" t="n">
        <v>1</v>
      </c>
      <c r="I1843" s="5" t="n">
        <f aca="false">INDEX(Produtos!$D$2:$D$11,MATCH(F1843,Produtos!$A$2:$A$11,0))</f>
        <v>349.9</v>
      </c>
      <c r="J1843" s="5" t="n">
        <f aca="false">H1843*I1843</f>
        <v>349.9</v>
      </c>
      <c r="K1843" s="5" t="n">
        <f aca="false">INDEX(Produtos!$E$2:$E$11,MATCH(F1843,Produtos!$A$2:$A$11,0))</f>
        <v>215</v>
      </c>
      <c r="L1843" s="5" t="n">
        <f aca="false">H1843*K1843</f>
        <v>215</v>
      </c>
    </row>
    <row r="1844" customFormat="false" ht="15" hidden="false" customHeight="false" outlineLevel="0" collapsed="false">
      <c r="A1844" s="2" t="s">
        <v>2126</v>
      </c>
      <c r="B1844" s="8" t="n">
        <v>46179</v>
      </c>
      <c r="C1844" s="2" t="s">
        <v>178</v>
      </c>
      <c r="D1844" s="3" t="str">
        <f aca="false">INDEX(Vendedores!$C$2:$C$101,MATCH(C1844,Vendedores!$A$2:$A$101,0))</f>
        <v>L07</v>
      </c>
      <c r="E1844" s="3" t="str">
        <f aca="false">INDEX(Lojas!$E$2:$E$11,MATCH(D1844,Lojas!$A$2:$A$11,0))</f>
        <v>Sul</v>
      </c>
      <c r="F1844" s="2" t="s">
        <v>262</v>
      </c>
      <c r="G1844" s="3" t="str">
        <f aca="false">INDEX(Produtos!$B$2:$B$11,MATCH(F1844,Produtos!$A$2:$A$11,0))&amp;" "&amp;INDEX(Produtos!$C$2:$C$11,MATCH(F1844,Produtos!$A$2:$A$11,0))</f>
        <v>Fone de Ouvido De Celular</v>
      </c>
      <c r="H1844" s="2" t="n">
        <v>1</v>
      </c>
      <c r="I1844" s="5" t="n">
        <f aca="false">INDEX(Produtos!$D$2:$D$11,MATCH(F1844,Produtos!$A$2:$A$11,0))</f>
        <v>59.9</v>
      </c>
      <c r="J1844" s="5" t="n">
        <f aca="false">H1844*I1844</f>
        <v>59.9</v>
      </c>
      <c r="K1844" s="5" t="n">
        <f aca="false">INDEX(Produtos!$E$2:$E$11,MATCH(F1844,Produtos!$A$2:$A$11,0))</f>
        <v>28</v>
      </c>
      <c r="L1844" s="5" t="n">
        <f aca="false">H1844*K1844</f>
        <v>28</v>
      </c>
    </row>
    <row r="1845" customFormat="false" ht="15" hidden="false" customHeight="false" outlineLevel="0" collapsed="false">
      <c r="A1845" s="2" t="s">
        <v>2127</v>
      </c>
      <c r="B1845" s="8" t="n">
        <v>46179</v>
      </c>
      <c r="C1845" s="2" t="s">
        <v>82</v>
      </c>
      <c r="D1845" s="3" t="str">
        <f aca="false">INDEX(Vendedores!$C$2:$C$101,MATCH(C1845,Vendedores!$A$2:$A$101,0))</f>
        <v>L02</v>
      </c>
      <c r="E1845" s="3" t="str">
        <f aca="false">INDEX(Lojas!$E$2:$E$11,MATCH(D1845,Lojas!$A$2:$A$11,0))</f>
        <v>Sudeste</v>
      </c>
      <c r="F1845" s="2" t="s">
        <v>273</v>
      </c>
      <c r="G1845" s="3" t="str">
        <f aca="false">INDEX(Produtos!$B$2:$B$11,MATCH(F1845,Produtos!$A$2:$A$11,0))&amp;" "&amp;INDEX(Produtos!$C$2:$C$11,MATCH(F1845,Produtos!$A$2:$A$11,0))</f>
        <v>Controle de Videogame PS4</v>
      </c>
      <c r="H1845" s="2" t="n">
        <v>2</v>
      </c>
      <c r="I1845" s="5" t="n">
        <f aca="false">INDEX(Produtos!$D$2:$D$11,MATCH(F1845,Produtos!$A$2:$A$11,0))</f>
        <v>299.9</v>
      </c>
      <c r="J1845" s="5" t="n">
        <f aca="false">H1845*I1845</f>
        <v>599.8</v>
      </c>
      <c r="K1845" s="5" t="n">
        <f aca="false">INDEX(Produtos!$E$2:$E$11,MATCH(F1845,Produtos!$A$2:$A$11,0))</f>
        <v>175</v>
      </c>
      <c r="L1845" s="5" t="n">
        <f aca="false">H1845*K1845</f>
        <v>350</v>
      </c>
    </row>
    <row r="1846" customFormat="false" ht="15" hidden="false" customHeight="false" outlineLevel="0" collapsed="false">
      <c r="A1846" s="2" t="s">
        <v>2128</v>
      </c>
      <c r="B1846" s="8" t="n">
        <v>46179</v>
      </c>
      <c r="C1846" s="2" t="s">
        <v>243</v>
      </c>
      <c r="D1846" s="3" t="str">
        <f aca="false">INDEX(Vendedores!$C$2:$C$101,MATCH(C1846,Vendedores!$A$2:$A$101,0))</f>
        <v>L10</v>
      </c>
      <c r="E1846" s="3" t="str">
        <f aca="false">INDEX(Lojas!$E$2:$E$11,MATCH(D1846,Lojas!$A$2:$A$11,0))</f>
        <v>Nordeste</v>
      </c>
      <c r="F1846" s="2" t="s">
        <v>255</v>
      </c>
      <c r="G1846" s="3" t="str">
        <f aca="false">INDEX(Produtos!$B$2:$B$11,MATCH(F1846,Produtos!$A$2:$A$11,0))&amp;" "&amp;INDEX(Produtos!$C$2:$C$11,MATCH(F1846,Produtos!$A$2:$A$11,0))</f>
        <v>Notebook Positivo</v>
      </c>
      <c r="H1846" s="2" t="n">
        <v>1</v>
      </c>
      <c r="I1846" s="5" t="n">
        <f aca="false">INDEX(Produtos!$D$2:$D$11,MATCH(F1846,Produtos!$A$2:$A$11,0))</f>
        <v>2199</v>
      </c>
      <c r="J1846" s="5" t="n">
        <f aca="false">H1846*I1846</f>
        <v>2199</v>
      </c>
      <c r="K1846" s="5" t="n">
        <f aca="false">INDEX(Produtos!$E$2:$E$11,MATCH(F1846,Produtos!$A$2:$A$11,0))</f>
        <v>1550</v>
      </c>
      <c r="L1846" s="5" t="n">
        <f aca="false">H1846*K1846</f>
        <v>1550</v>
      </c>
    </row>
    <row r="1847" customFormat="false" ht="15" hidden="false" customHeight="false" outlineLevel="0" collapsed="false">
      <c r="A1847" s="2" t="s">
        <v>2129</v>
      </c>
      <c r="B1847" s="8" t="n">
        <v>46179</v>
      </c>
      <c r="C1847" s="2" t="s">
        <v>88</v>
      </c>
      <c r="D1847" s="3" t="str">
        <f aca="false">INDEX(Vendedores!$C$2:$C$101,MATCH(C1847,Vendedores!$A$2:$A$101,0))</f>
        <v>L02</v>
      </c>
      <c r="E1847" s="3" t="str">
        <f aca="false">INDEX(Lojas!$E$2:$E$11,MATCH(D1847,Lojas!$A$2:$A$11,0))</f>
        <v>Sudeste</v>
      </c>
      <c r="F1847" s="2" t="s">
        <v>267</v>
      </c>
      <c r="G1847" s="3" t="str">
        <f aca="false">INDEX(Produtos!$B$2:$B$11,MATCH(F1847,Produtos!$A$2:$A$11,0))&amp;" "&amp;INDEX(Produtos!$C$2:$C$11,MATCH(F1847,Produtos!$A$2:$A$11,0))</f>
        <v>Carregador de Celular Tipo C</v>
      </c>
      <c r="H1847" s="2" t="n">
        <v>2</v>
      </c>
      <c r="I1847" s="5" t="n">
        <f aca="false">INDEX(Produtos!$D$2:$D$11,MATCH(F1847,Produtos!$A$2:$A$11,0))</f>
        <v>44.9</v>
      </c>
      <c r="J1847" s="5" t="n">
        <f aca="false">H1847*I1847</f>
        <v>89.8</v>
      </c>
      <c r="K1847" s="5" t="n">
        <f aca="false">INDEX(Produtos!$E$2:$E$11,MATCH(F1847,Produtos!$A$2:$A$11,0))</f>
        <v>18</v>
      </c>
      <c r="L1847" s="5" t="n">
        <f aca="false">H1847*K1847</f>
        <v>36</v>
      </c>
    </row>
    <row r="1848" customFormat="false" ht="15" hidden="false" customHeight="false" outlineLevel="0" collapsed="false">
      <c r="A1848" s="2" t="s">
        <v>2130</v>
      </c>
      <c r="B1848" s="8" t="n">
        <v>46179</v>
      </c>
      <c r="C1848" s="2" t="s">
        <v>112</v>
      </c>
      <c r="D1848" s="3" t="str">
        <f aca="false">INDEX(Vendedores!$C$2:$C$101,MATCH(C1848,Vendedores!$A$2:$A$101,0))</f>
        <v>L04</v>
      </c>
      <c r="E1848" s="3" t="str">
        <f aca="false">INDEX(Lojas!$E$2:$E$11,MATCH(D1848,Lojas!$A$2:$A$11,0))</f>
        <v>Sudeste</v>
      </c>
      <c r="F1848" s="2" t="s">
        <v>270</v>
      </c>
      <c r="G1848" s="3" t="str">
        <f aca="false">INDEX(Produtos!$B$2:$B$11,MATCH(F1848,Produtos!$A$2:$A$11,0))&amp;" "&amp;INDEX(Produtos!$C$2:$C$11,MATCH(F1848,Produtos!$A$2:$A$11,0))</f>
        <v>Controle de Videogame Xbox</v>
      </c>
      <c r="H1848" s="2" t="n">
        <v>3</v>
      </c>
      <c r="I1848" s="5" t="n">
        <f aca="false">INDEX(Produtos!$D$2:$D$11,MATCH(F1848,Produtos!$A$2:$A$11,0))</f>
        <v>349.9</v>
      </c>
      <c r="J1848" s="5" t="n">
        <f aca="false">H1848*I1848</f>
        <v>1049.7</v>
      </c>
      <c r="K1848" s="5" t="n">
        <f aca="false">INDEX(Produtos!$E$2:$E$11,MATCH(F1848,Produtos!$A$2:$A$11,0))</f>
        <v>215</v>
      </c>
      <c r="L1848" s="5" t="n">
        <f aca="false">H1848*K1848</f>
        <v>645</v>
      </c>
    </row>
    <row r="1849" customFormat="false" ht="15" hidden="false" customHeight="false" outlineLevel="0" collapsed="false">
      <c r="A1849" s="2" t="s">
        <v>2131</v>
      </c>
      <c r="B1849" s="8" t="n">
        <v>46179</v>
      </c>
      <c r="C1849" s="2" t="s">
        <v>168</v>
      </c>
      <c r="D1849" s="3" t="str">
        <f aca="false">INDEX(Vendedores!$C$2:$C$101,MATCH(C1849,Vendedores!$A$2:$A$101,0))</f>
        <v>L07</v>
      </c>
      <c r="E1849" s="3" t="str">
        <f aca="false">INDEX(Lojas!$E$2:$E$11,MATCH(D1849,Lojas!$A$2:$A$11,0))</f>
        <v>Sul</v>
      </c>
      <c r="F1849" s="2" t="s">
        <v>267</v>
      </c>
      <c r="G1849" s="3" t="str">
        <f aca="false">INDEX(Produtos!$B$2:$B$11,MATCH(F1849,Produtos!$A$2:$A$11,0))&amp;" "&amp;INDEX(Produtos!$C$2:$C$11,MATCH(F1849,Produtos!$A$2:$A$11,0))</f>
        <v>Carregador de Celular Tipo C</v>
      </c>
      <c r="H1849" s="2" t="n">
        <v>1</v>
      </c>
      <c r="I1849" s="5" t="n">
        <f aca="false">INDEX(Produtos!$D$2:$D$11,MATCH(F1849,Produtos!$A$2:$A$11,0))</f>
        <v>44.9</v>
      </c>
      <c r="J1849" s="5" t="n">
        <f aca="false">H1849*I1849</f>
        <v>44.9</v>
      </c>
      <c r="K1849" s="5" t="n">
        <f aca="false">INDEX(Produtos!$E$2:$E$11,MATCH(F1849,Produtos!$A$2:$A$11,0))</f>
        <v>18</v>
      </c>
      <c r="L1849" s="5" t="n">
        <f aca="false">H1849*K1849</f>
        <v>18</v>
      </c>
    </row>
    <row r="1850" customFormat="false" ht="15" hidden="false" customHeight="false" outlineLevel="0" collapsed="false">
      <c r="A1850" s="2" t="s">
        <v>2132</v>
      </c>
      <c r="B1850" s="8" t="n">
        <v>46179</v>
      </c>
      <c r="C1850" s="2" t="s">
        <v>140</v>
      </c>
      <c r="D1850" s="3" t="str">
        <f aca="false">INDEX(Vendedores!$C$2:$C$101,MATCH(C1850,Vendedores!$A$2:$A$101,0))</f>
        <v>L05</v>
      </c>
      <c r="E1850" s="3" t="str">
        <f aca="false">INDEX(Lojas!$E$2:$E$11,MATCH(D1850,Lojas!$A$2:$A$11,0))</f>
        <v>Sul</v>
      </c>
      <c r="F1850" s="2" t="s">
        <v>257</v>
      </c>
      <c r="G1850" s="3" t="str">
        <f aca="false">INDEX(Produtos!$B$2:$B$11,MATCH(F1850,Produtos!$A$2:$A$11,0))&amp;" "&amp;INDEX(Produtos!$C$2:$C$11,MATCH(F1850,Produtos!$A$2:$A$11,0))</f>
        <v>Celular Samsung</v>
      </c>
      <c r="H1850" s="2" t="n">
        <v>1</v>
      </c>
      <c r="I1850" s="5" t="n">
        <f aca="false">INDEX(Produtos!$D$2:$D$11,MATCH(F1850,Produtos!$A$2:$A$11,0))</f>
        <v>2499</v>
      </c>
      <c r="J1850" s="5" t="n">
        <f aca="false">H1850*I1850</f>
        <v>2499</v>
      </c>
      <c r="K1850" s="5" t="n">
        <f aca="false">INDEX(Produtos!$E$2:$E$11,MATCH(F1850,Produtos!$A$2:$A$11,0))</f>
        <v>1800</v>
      </c>
      <c r="L1850" s="5" t="n">
        <f aca="false">H1850*K1850</f>
        <v>1800</v>
      </c>
    </row>
    <row r="1851" customFormat="false" ht="15" hidden="false" customHeight="false" outlineLevel="0" collapsed="false">
      <c r="A1851" s="2" t="s">
        <v>2133</v>
      </c>
      <c r="B1851" s="8" t="n">
        <v>46179</v>
      </c>
      <c r="C1851" s="2" t="s">
        <v>114</v>
      </c>
      <c r="D1851" s="3" t="str">
        <f aca="false">INDEX(Vendedores!$C$2:$C$101,MATCH(C1851,Vendedores!$A$2:$A$101,0))</f>
        <v>L04</v>
      </c>
      <c r="E1851" s="3" t="str">
        <f aca="false">INDEX(Lojas!$E$2:$E$11,MATCH(D1851,Lojas!$A$2:$A$11,0))</f>
        <v>Sudeste</v>
      </c>
      <c r="F1851" s="2" t="s">
        <v>273</v>
      </c>
      <c r="G1851" s="3" t="str">
        <f aca="false">INDEX(Produtos!$B$2:$B$11,MATCH(F1851,Produtos!$A$2:$A$11,0))&amp;" "&amp;INDEX(Produtos!$C$2:$C$11,MATCH(F1851,Produtos!$A$2:$A$11,0))</f>
        <v>Controle de Videogame PS4</v>
      </c>
      <c r="H1851" s="2" t="n">
        <v>1</v>
      </c>
      <c r="I1851" s="5" t="n">
        <f aca="false">INDEX(Produtos!$D$2:$D$11,MATCH(F1851,Produtos!$A$2:$A$11,0))</f>
        <v>299.9</v>
      </c>
      <c r="J1851" s="5" t="n">
        <f aca="false">H1851*I1851</f>
        <v>299.9</v>
      </c>
      <c r="K1851" s="5" t="n">
        <f aca="false">INDEX(Produtos!$E$2:$E$11,MATCH(F1851,Produtos!$A$2:$A$11,0))</f>
        <v>175</v>
      </c>
      <c r="L1851" s="5" t="n">
        <f aca="false">H1851*K1851</f>
        <v>175</v>
      </c>
    </row>
    <row r="1852" customFormat="false" ht="15" hidden="false" customHeight="false" outlineLevel="0" collapsed="false">
      <c r="A1852" s="2" t="s">
        <v>2134</v>
      </c>
      <c r="B1852" s="8" t="n">
        <v>46179</v>
      </c>
      <c r="C1852" s="2" t="s">
        <v>207</v>
      </c>
      <c r="D1852" s="3" t="str">
        <f aca="false">INDEX(Vendedores!$C$2:$C$101,MATCH(C1852,Vendedores!$A$2:$A$101,0))</f>
        <v>L09</v>
      </c>
      <c r="E1852" s="3" t="str">
        <f aca="false">INDEX(Lojas!$E$2:$E$11,MATCH(D1852,Lojas!$A$2:$A$11,0))</f>
        <v>Nordeste</v>
      </c>
      <c r="F1852" s="2" t="s">
        <v>260</v>
      </c>
      <c r="G1852" s="3" t="str">
        <f aca="false">INDEX(Produtos!$B$2:$B$11,MATCH(F1852,Produtos!$A$2:$A$11,0))&amp;" "&amp;INDEX(Produtos!$C$2:$C$11,MATCH(F1852,Produtos!$A$2:$A$11,0))</f>
        <v>Celular Motorola</v>
      </c>
      <c r="H1852" s="2" t="n">
        <v>1</v>
      </c>
      <c r="I1852" s="5" t="n">
        <f aca="false">INDEX(Produtos!$D$2:$D$11,MATCH(F1852,Produtos!$A$2:$A$11,0))</f>
        <v>1799</v>
      </c>
      <c r="J1852" s="5" t="n">
        <f aca="false">H1852*I1852</f>
        <v>1799</v>
      </c>
      <c r="K1852" s="5" t="n">
        <f aca="false">INDEX(Produtos!$E$2:$E$11,MATCH(F1852,Produtos!$A$2:$A$11,0))</f>
        <v>1250</v>
      </c>
      <c r="L1852" s="5" t="n">
        <f aca="false">H1852*K1852</f>
        <v>1250</v>
      </c>
    </row>
    <row r="1853" customFormat="false" ht="15" hidden="false" customHeight="false" outlineLevel="0" collapsed="false">
      <c r="A1853" s="2" t="s">
        <v>2135</v>
      </c>
      <c r="B1853" s="8" t="n">
        <v>46179</v>
      </c>
      <c r="C1853" s="2" t="s">
        <v>135</v>
      </c>
      <c r="D1853" s="3" t="str">
        <f aca="false">INDEX(Vendedores!$C$2:$C$101,MATCH(C1853,Vendedores!$A$2:$A$101,0))</f>
        <v>L05</v>
      </c>
      <c r="E1853" s="3" t="str">
        <f aca="false">INDEX(Lojas!$E$2:$E$11,MATCH(D1853,Lojas!$A$2:$A$11,0))</f>
        <v>Sul</v>
      </c>
      <c r="F1853" s="2" t="s">
        <v>275</v>
      </c>
      <c r="G1853" s="3" t="str">
        <f aca="false">INDEX(Produtos!$B$2:$B$11,MATCH(F1853,Produtos!$A$2:$A$11,0))&amp;" "&amp;INDEX(Produtos!$C$2:$C$11,MATCH(F1853,Produtos!$A$2:$A$11,0))</f>
        <v>Controle de Videogame PS5</v>
      </c>
      <c r="H1853" s="2" t="n">
        <v>1</v>
      </c>
      <c r="I1853" s="5" t="n">
        <f aca="false">INDEX(Produtos!$D$2:$D$11,MATCH(F1853,Produtos!$A$2:$A$11,0))</f>
        <v>379.9</v>
      </c>
      <c r="J1853" s="5" t="n">
        <f aca="false">H1853*I1853</f>
        <v>379.9</v>
      </c>
      <c r="K1853" s="5" t="n">
        <f aca="false">INDEX(Produtos!$E$2:$E$11,MATCH(F1853,Produtos!$A$2:$A$11,0))</f>
        <v>235</v>
      </c>
      <c r="L1853" s="5" t="n">
        <f aca="false">H1853*K1853</f>
        <v>235</v>
      </c>
    </row>
    <row r="1854" customFormat="false" ht="15" hidden="false" customHeight="false" outlineLevel="0" collapsed="false">
      <c r="A1854" s="2" t="s">
        <v>2136</v>
      </c>
      <c r="B1854" s="8" t="n">
        <v>46180</v>
      </c>
      <c r="C1854" s="2" t="s">
        <v>185</v>
      </c>
      <c r="D1854" s="3" t="str">
        <f aca="false">INDEX(Vendedores!$C$2:$C$101,MATCH(C1854,Vendedores!$A$2:$A$101,0))</f>
        <v>L08</v>
      </c>
      <c r="E1854" s="3" t="str">
        <f aca="false">INDEX(Lojas!$E$2:$E$11,MATCH(D1854,Lojas!$A$2:$A$11,0))</f>
        <v>Nordeste</v>
      </c>
      <c r="F1854" s="2" t="s">
        <v>260</v>
      </c>
      <c r="G1854" s="3" t="str">
        <f aca="false">INDEX(Produtos!$B$2:$B$11,MATCH(F1854,Produtos!$A$2:$A$11,0))&amp;" "&amp;INDEX(Produtos!$C$2:$C$11,MATCH(F1854,Produtos!$A$2:$A$11,0))</f>
        <v>Celular Motorola</v>
      </c>
      <c r="H1854" s="2" t="n">
        <v>2</v>
      </c>
      <c r="I1854" s="5" t="n">
        <f aca="false">INDEX(Produtos!$D$2:$D$11,MATCH(F1854,Produtos!$A$2:$A$11,0))</f>
        <v>1799</v>
      </c>
      <c r="J1854" s="5" t="n">
        <f aca="false">H1854*I1854</f>
        <v>3598</v>
      </c>
      <c r="K1854" s="5" t="n">
        <f aca="false">INDEX(Produtos!$E$2:$E$11,MATCH(F1854,Produtos!$A$2:$A$11,0))</f>
        <v>1250</v>
      </c>
      <c r="L1854" s="5" t="n">
        <f aca="false">H1854*K1854</f>
        <v>2500</v>
      </c>
    </row>
    <row r="1855" customFormat="false" ht="15" hidden="false" customHeight="false" outlineLevel="0" collapsed="false">
      <c r="A1855" s="2" t="s">
        <v>2137</v>
      </c>
      <c r="B1855" s="8" t="n">
        <v>46180</v>
      </c>
      <c r="C1855" s="2" t="s">
        <v>137</v>
      </c>
      <c r="D1855" s="3" t="str">
        <f aca="false">INDEX(Vendedores!$C$2:$C$101,MATCH(C1855,Vendedores!$A$2:$A$101,0))</f>
        <v>L05</v>
      </c>
      <c r="E1855" s="3" t="str">
        <f aca="false">INDEX(Lojas!$E$2:$E$11,MATCH(D1855,Lojas!$A$2:$A$11,0))</f>
        <v>Sul</v>
      </c>
      <c r="F1855" s="2" t="s">
        <v>270</v>
      </c>
      <c r="G1855" s="3" t="str">
        <f aca="false">INDEX(Produtos!$B$2:$B$11,MATCH(F1855,Produtos!$A$2:$A$11,0))&amp;" "&amp;INDEX(Produtos!$C$2:$C$11,MATCH(F1855,Produtos!$A$2:$A$11,0))</f>
        <v>Controle de Videogame Xbox</v>
      </c>
      <c r="H1855" s="2" t="n">
        <v>1</v>
      </c>
      <c r="I1855" s="5" t="n">
        <f aca="false">INDEX(Produtos!$D$2:$D$11,MATCH(F1855,Produtos!$A$2:$A$11,0))</f>
        <v>349.9</v>
      </c>
      <c r="J1855" s="5" t="n">
        <f aca="false">H1855*I1855</f>
        <v>349.9</v>
      </c>
      <c r="K1855" s="5" t="n">
        <f aca="false">INDEX(Produtos!$E$2:$E$11,MATCH(F1855,Produtos!$A$2:$A$11,0))</f>
        <v>215</v>
      </c>
      <c r="L1855" s="5" t="n">
        <f aca="false">H1855*K1855</f>
        <v>215</v>
      </c>
    </row>
    <row r="1856" customFormat="false" ht="15" hidden="false" customHeight="false" outlineLevel="0" collapsed="false">
      <c r="A1856" s="2" t="s">
        <v>2138</v>
      </c>
      <c r="B1856" s="8" t="n">
        <v>46180</v>
      </c>
      <c r="C1856" s="2" t="s">
        <v>106</v>
      </c>
      <c r="D1856" s="3" t="str">
        <f aca="false">INDEX(Vendedores!$C$2:$C$101,MATCH(C1856,Vendedores!$A$2:$A$101,0))</f>
        <v>L03</v>
      </c>
      <c r="E1856" s="3" t="str">
        <f aca="false">INDEX(Lojas!$E$2:$E$11,MATCH(D1856,Lojas!$A$2:$A$11,0))</f>
        <v>Sudeste</v>
      </c>
      <c r="F1856" s="2" t="s">
        <v>267</v>
      </c>
      <c r="G1856" s="3" t="str">
        <f aca="false">INDEX(Produtos!$B$2:$B$11,MATCH(F1856,Produtos!$A$2:$A$11,0))&amp;" "&amp;INDEX(Produtos!$C$2:$C$11,MATCH(F1856,Produtos!$A$2:$A$11,0))</f>
        <v>Carregador de Celular Tipo C</v>
      </c>
      <c r="H1856" s="2" t="n">
        <v>1</v>
      </c>
      <c r="I1856" s="5" t="n">
        <f aca="false">INDEX(Produtos!$D$2:$D$11,MATCH(F1856,Produtos!$A$2:$A$11,0))</f>
        <v>44.9</v>
      </c>
      <c r="J1856" s="5" t="n">
        <f aca="false">H1856*I1856</f>
        <v>44.9</v>
      </c>
      <c r="K1856" s="5" t="n">
        <f aca="false">INDEX(Produtos!$E$2:$E$11,MATCH(F1856,Produtos!$A$2:$A$11,0))</f>
        <v>18</v>
      </c>
      <c r="L1856" s="5" t="n">
        <f aca="false">H1856*K1856</f>
        <v>18</v>
      </c>
    </row>
    <row r="1857" customFormat="false" ht="15" hidden="false" customHeight="false" outlineLevel="0" collapsed="false">
      <c r="A1857" s="2" t="s">
        <v>2139</v>
      </c>
      <c r="B1857" s="8" t="n">
        <v>46180</v>
      </c>
      <c r="C1857" s="2" t="s">
        <v>193</v>
      </c>
      <c r="D1857" s="3" t="str">
        <f aca="false">INDEX(Vendedores!$C$2:$C$101,MATCH(C1857,Vendedores!$A$2:$A$101,0))</f>
        <v>L08</v>
      </c>
      <c r="E1857" s="3" t="str">
        <f aca="false">INDEX(Lojas!$E$2:$E$11,MATCH(D1857,Lojas!$A$2:$A$11,0))</f>
        <v>Nordeste</v>
      </c>
      <c r="F1857" s="2" t="s">
        <v>267</v>
      </c>
      <c r="G1857" s="3" t="str">
        <f aca="false">INDEX(Produtos!$B$2:$B$11,MATCH(F1857,Produtos!$A$2:$A$11,0))&amp;" "&amp;INDEX(Produtos!$C$2:$C$11,MATCH(F1857,Produtos!$A$2:$A$11,0))</f>
        <v>Carregador de Celular Tipo C</v>
      </c>
      <c r="H1857" s="2" t="n">
        <v>1</v>
      </c>
      <c r="I1857" s="5" t="n">
        <f aca="false">INDEX(Produtos!$D$2:$D$11,MATCH(F1857,Produtos!$A$2:$A$11,0))</f>
        <v>44.9</v>
      </c>
      <c r="J1857" s="5" t="n">
        <f aca="false">H1857*I1857</f>
        <v>44.9</v>
      </c>
      <c r="K1857" s="5" t="n">
        <f aca="false">INDEX(Produtos!$E$2:$E$11,MATCH(F1857,Produtos!$A$2:$A$11,0))</f>
        <v>18</v>
      </c>
      <c r="L1857" s="5" t="n">
        <f aca="false">H1857*K1857</f>
        <v>18</v>
      </c>
    </row>
    <row r="1858" customFormat="false" ht="15" hidden="false" customHeight="false" outlineLevel="0" collapsed="false">
      <c r="A1858" s="2" t="s">
        <v>2140</v>
      </c>
      <c r="B1858" s="8" t="n">
        <v>46180</v>
      </c>
      <c r="C1858" s="2" t="s">
        <v>128</v>
      </c>
      <c r="D1858" s="3" t="str">
        <f aca="false">INDEX(Vendedores!$C$2:$C$101,MATCH(C1858,Vendedores!$A$2:$A$101,0))</f>
        <v>L04</v>
      </c>
      <c r="E1858" s="3" t="str">
        <f aca="false">INDEX(Lojas!$E$2:$E$11,MATCH(D1858,Lojas!$A$2:$A$11,0))</f>
        <v>Sudeste</v>
      </c>
      <c r="F1858" s="2" t="s">
        <v>267</v>
      </c>
      <c r="G1858" s="3" t="str">
        <f aca="false">INDEX(Produtos!$B$2:$B$11,MATCH(F1858,Produtos!$A$2:$A$11,0))&amp;" "&amp;INDEX(Produtos!$C$2:$C$11,MATCH(F1858,Produtos!$A$2:$A$11,0))</f>
        <v>Carregador de Celular Tipo C</v>
      </c>
      <c r="H1858" s="2" t="n">
        <v>1</v>
      </c>
      <c r="I1858" s="5" t="n">
        <f aca="false">INDEX(Produtos!$D$2:$D$11,MATCH(F1858,Produtos!$A$2:$A$11,0))</f>
        <v>44.9</v>
      </c>
      <c r="J1858" s="5" t="n">
        <f aca="false">H1858*I1858</f>
        <v>44.9</v>
      </c>
      <c r="K1858" s="5" t="n">
        <f aca="false">INDEX(Produtos!$E$2:$E$11,MATCH(F1858,Produtos!$A$2:$A$11,0))</f>
        <v>18</v>
      </c>
      <c r="L1858" s="5" t="n">
        <f aca="false">H1858*K1858</f>
        <v>18</v>
      </c>
    </row>
    <row r="1859" customFormat="false" ht="15" hidden="false" customHeight="false" outlineLevel="0" collapsed="false">
      <c r="A1859" s="2" t="s">
        <v>2141</v>
      </c>
      <c r="B1859" s="8" t="n">
        <v>46180</v>
      </c>
      <c r="C1859" s="2" t="s">
        <v>133</v>
      </c>
      <c r="D1859" s="3" t="str">
        <f aca="false">INDEX(Vendedores!$C$2:$C$101,MATCH(C1859,Vendedores!$A$2:$A$101,0))</f>
        <v>L05</v>
      </c>
      <c r="E1859" s="3" t="str">
        <f aca="false">INDEX(Lojas!$E$2:$E$11,MATCH(D1859,Lojas!$A$2:$A$11,0))</f>
        <v>Sul</v>
      </c>
      <c r="F1859" s="2" t="s">
        <v>275</v>
      </c>
      <c r="G1859" s="3" t="str">
        <f aca="false">INDEX(Produtos!$B$2:$B$11,MATCH(F1859,Produtos!$A$2:$A$11,0))&amp;" "&amp;INDEX(Produtos!$C$2:$C$11,MATCH(F1859,Produtos!$A$2:$A$11,0))</f>
        <v>Controle de Videogame PS5</v>
      </c>
      <c r="H1859" s="2" t="n">
        <v>1</v>
      </c>
      <c r="I1859" s="5" t="n">
        <f aca="false">INDEX(Produtos!$D$2:$D$11,MATCH(F1859,Produtos!$A$2:$A$11,0))</f>
        <v>379.9</v>
      </c>
      <c r="J1859" s="5" t="n">
        <f aca="false">H1859*I1859</f>
        <v>379.9</v>
      </c>
      <c r="K1859" s="5" t="n">
        <f aca="false">INDEX(Produtos!$E$2:$E$11,MATCH(F1859,Produtos!$A$2:$A$11,0))</f>
        <v>235</v>
      </c>
      <c r="L1859" s="5" t="n">
        <f aca="false">H1859*K1859</f>
        <v>235</v>
      </c>
    </row>
    <row r="1860" customFormat="false" ht="15" hidden="false" customHeight="false" outlineLevel="0" collapsed="false">
      <c r="A1860" s="2" t="s">
        <v>2142</v>
      </c>
      <c r="B1860" s="8" t="n">
        <v>46180</v>
      </c>
      <c r="C1860" s="2" t="s">
        <v>98</v>
      </c>
      <c r="D1860" s="3" t="str">
        <f aca="false">INDEX(Vendedores!$C$2:$C$101,MATCH(C1860,Vendedores!$A$2:$A$101,0))</f>
        <v>L03</v>
      </c>
      <c r="E1860" s="3" t="str">
        <f aca="false">INDEX(Lojas!$E$2:$E$11,MATCH(D1860,Lojas!$A$2:$A$11,0))</f>
        <v>Sudeste</v>
      </c>
      <c r="F1860" s="2" t="s">
        <v>273</v>
      </c>
      <c r="G1860" s="3" t="str">
        <f aca="false">INDEX(Produtos!$B$2:$B$11,MATCH(F1860,Produtos!$A$2:$A$11,0))&amp;" "&amp;INDEX(Produtos!$C$2:$C$11,MATCH(F1860,Produtos!$A$2:$A$11,0))</f>
        <v>Controle de Videogame PS4</v>
      </c>
      <c r="H1860" s="2" t="n">
        <v>1</v>
      </c>
      <c r="I1860" s="5" t="n">
        <f aca="false">INDEX(Produtos!$D$2:$D$11,MATCH(F1860,Produtos!$A$2:$A$11,0))</f>
        <v>299.9</v>
      </c>
      <c r="J1860" s="5" t="n">
        <f aca="false">H1860*I1860</f>
        <v>299.9</v>
      </c>
      <c r="K1860" s="5" t="n">
        <f aca="false">INDEX(Produtos!$E$2:$E$11,MATCH(F1860,Produtos!$A$2:$A$11,0))</f>
        <v>175</v>
      </c>
      <c r="L1860" s="5" t="n">
        <f aca="false">H1860*K1860</f>
        <v>175</v>
      </c>
    </row>
    <row r="1861" customFormat="false" ht="15" hidden="false" customHeight="false" outlineLevel="0" collapsed="false">
      <c r="A1861" s="2" t="s">
        <v>2143</v>
      </c>
      <c r="B1861" s="8" t="n">
        <v>46180</v>
      </c>
      <c r="C1861" s="2" t="s">
        <v>50</v>
      </c>
      <c r="D1861" s="3" t="str">
        <f aca="false">INDEX(Vendedores!$C$2:$C$101,MATCH(C1861,Vendedores!$A$2:$A$101,0))</f>
        <v>L01</v>
      </c>
      <c r="E1861" s="3" t="str">
        <f aca="false">INDEX(Lojas!$E$2:$E$11,MATCH(D1861,Lojas!$A$2:$A$11,0))</f>
        <v>Sudeste</v>
      </c>
      <c r="F1861" s="2" t="s">
        <v>257</v>
      </c>
      <c r="G1861" s="3" t="str">
        <f aca="false">INDEX(Produtos!$B$2:$B$11,MATCH(F1861,Produtos!$A$2:$A$11,0))&amp;" "&amp;INDEX(Produtos!$C$2:$C$11,MATCH(F1861,Produtos!$A$2:$A$11,0))</f>
        <v>Celular Samsung</v>
      </c>
      <c r="H1861" s="2" t="n">
        <v>1</v>
      </c>
      <c r="I1861" s="5" t="n">
        <f aca="false">INDEX(Produtos!$D$2:$D$11,MATCH(F1861,Produtos!$A$2:$A$11,0))</f>
        <v>2499</v>
      </c>
      <c r="J1861" s="5" t="n">
        <f aca="false">H1861*I1861</f>
        <v>2499</v>
      </c>
      <c r="K1861" s="5" t="n">
        <f aca="false">INDEX(Produtos!$E$2:$E$11,MATCH(F1861,Produtos!$A$2:$A$11,0))</f>
        <v>1800</v>
      </c>
      <c r="L1861" s="5" t="n">
        <f aca="false">H1861*K1861</f>
        <v>1800</v>
      </c>
    </row>
    <row r="1862" customFormat="false" ht="15" hidden="false" customHeight="false" outlineLevel="0" collapsed="false">
      <c r="A1862" s="2" t="s">
        <v>2144</v>
      </c>
      <c r="B1862" s="8" t="n">
        <v>46180</v>
      </c>
      <c r="C1862" s="2" t="s">
        <v>229</v>
      </c>
      <c r="D1862" s="3" t="str">
        <f aca="false">INDEX(Vendedores!$C$2:$C$101,MATCH(C1862,Vendedores!$A$2:$A$101,0))</f>
        <v>L10</v>
      </c>
      <c r="E1862" s="3" t="str">
        <f aca="false">INDEX(Lojas!$E$2:$E$11,MATCH(D1862,Lojas!$A$2:$A$11,0))</f>
        <v>Nordeste</v>
      </c>
      <c r="F1862" s="2" t="s">
        <v>262</v>
      </c>
      <c r="G1862" s="3" t="str">
        <f aca="false">INDEX(Produtos!$B$2:$B$11,MATCH(F1862,Produtos!$A$2:$A$11,0))&amp;" "&amp;INDEX(Produtos!$C$2:$C$11,MATCH(F1862,Produtos!$A$2:$A$11,0))</f>
        <v>Fone de Ouvido De Celular</v>
      </c>
      <c r="H1862" s="2" t="n">
        <v>2</v>
      </c>
      <c r="I1862" s="5" t="n">
        <f aca="false">INDEX(Produtos!$D$2:$D$11,MATCH(F1862,Produtos!$A$2:$A$11,0))</f>
        <v>59.9</v>
      </c>
      <c r="J1862" s="5" t="n">
        <f aca="false">H1862*I1862</f>
        <v>119.8</v>
      </c>
      <c r="K1862" s="5" t="n">
        <f aca="false">INDEX(Produtos!$E$2:$E$11,MATCH(F1862,Produtos!$A$2:$A$11,0))</f>
        <v>28</v>
      </c>
      <c r="L1862" s="5" t="n">
        <f aca="false">H1862*K1862</f>
        <v>56</v>
      </c>
    </row>
    <row r="1863" customFormat="false" ht="15" hidden="false" customHeight="false" outlineLevel="0" collapsed="false">
      <c r="A1863" s="2" t="s">
        <v>2145</v>
      </c>
      <c r="B1863" s="8" t="n">
        <v>46180</v>
      </c>
      <c r="C1863" s="2" t="s">
        <v>137</v>
      </c>
      <c r="D1863" s="3" t="str">
        <f aca="false">INDEX(Vendedores!$C$2:$C$101,MATCH(C1863,Vendedores!$A$2:$A$101,0))</f>
        <v>L05</v>
      </c>
      <c r="E1863" s="3" t="str">
        <f aca="false">INDEX(Lojas!$E$2:$E$11,MATCH(D1863,Lojas!$A$2:$A$11,0))</f>
        <v>Sul</v>
      </c>
      <c r="F1863" s="2" t="s">
        <v>262</v>
      </c>
      <c r="G1863" s="3" t="str">
        <f aca="false">INDEX(Produtos!$B$2:$B$11,MATCH(F1863,Produtos!$A$2:$A$11,0))&amp;" "&amp;INDEX(Produtos!$C$2:$C$11,MATCH(F1863,Produtos!$A$2:$A$11,0))</f>
        <v>Fone de Ouvido De Celular</v>
      </c>
      <c r="H1863" s="2" t="n">
        <v>1</v>
      </c>
      <c r="I1863" s="5" t="n">
        <f aca="false">INDEX(Produtos!$D$2:$D$11,MATCH(F1863,Produtos!$A$2:$A$11,0))</f>
        <v>59.9</v>
      </c>
      <c r="J1863" s="5" t="n">
        <f aca="false">H1863*I1863</f>
        <v>59.9</v>
      </c>
      <c r="K1863" s="5" t="n">
        <f aca="false">INDEX(Produtos!$E$2:$E$11,MATCH(F1863,Produtos!$A$2:$A$11,0))</f>
        <v>28</v>
      </c>
      <c r="L1863" s="5" t="n">
        <f aca="false">H1863*K1863</f>
        <v>28</v>
      </c>
    </row>
    <row r="1864" customFormat="false" ht="15" hidden="false" customHeight="false" outlineLevel="0" collapsed="false">
      <c r="A1864" s="2" t="s">
        <v>2146</v>
      </c>
      <c r="B1864" s="8" t="n">
        <v>46180</v>
      </c>
      <c r="C1864" s="2" t="s">
        <v>180</v>
      </c>
      <c r="D1864" s="3" t="str">
        <f aca="false">INDEX(Vendedores!$C$2:$C$101,MATCH(C1864,Vendedores!$A$2:$A$101,0))</f>
        <v>L07</v>
      </c>
      <c r="E1864" s="3" t="str">
        <f aca="false">INDEX(Lojas!$E$2:$E$11,MATCH(D1864,Lojas!$A$2:$A$11,0))</f>
        <v>Sul</v>
      </c>
      <c r="F1864" s="2" t="s">
        <v>265</v>
      </c>
      <c r="G1864" s="3" t="str">
        <f aca="false">INDEX(Produtos!$B$2:$B$11,MATCH(F1864,Produtos!$A$2:$A$11,0))&amp;" "&amp;INDEX(Produtos!$C$2:$C$11,MATCH(F1864,Produtos!$A$2:$A$11,0))</f>
        <v>Fone de Ouvido Headset</v>
      </c>
      <c r="H1864" s="2" t="n">
        <v>1</v>
      </c>
      <c r="I1864" s="5" t="n">
        <f aca="false">INDEX(Produtos!$D$2:$D$11,MATCH(F1864,Produtos!$A$2:$A$11,0))</f>
        <v>249.9</v>
      </c>
      <c r="J1864" s="5" t="n">
        <f aca="false">H1864*I1864</f>
        <v>249.9</v>
      </c>
      <c r="K1864" s="5" t="n">
        <f aca="false">INDEX(Produtos!$E$2:$E$11,MATCH(F1864,Produtos!$A$2:$A$11,0))</f>
        <v>145</v>
      </c>
      <c r="L1864" s="5" t="n">
        <f aca="false">H1864*K1864</f>
        <v>145</v>
      </c>
    </row>
    <row r="1865" customFormat="false" ht="15" hidden="false" customHeight="false" outlineLevel="0" collapsed="false">
      <c r="A1865" s="2" t="s">
        <v>2147</v>
      </c>
      <c r="B1865" s="8" t="n">
        <v>46180</v>
      </c>
      <c r="C1865" s="2" t="s">
        <v>137</v>
      </c>
      <c r="D1865" s="3" t="str">
        <f aca="false">INDEX(Vendedores!$C$2:$C$101,MATCH(C1865,Vendedores!$A$2:$A$101,0))</f>
        <v>L05</v>
      </c>
      <c r="E1865" s="3" t="str">
        <f aca="false">INDEX(Lojas!$E$2:$E$11,MATCH(D1865,Lojas!$A$2:$A$11,0))</f>
        <v>Sul</v>
      </c>
      <c r="F1865" s="2" t="s">
        <v>267</v>
      </c>
      <c r="G1865" s="3" t="str">
        <f aca="false">INDEX(Produtos!$B$2:$B$11,MATCH(F1865,Produtos!$A$2:$A$11,0))&amp;" "&amp;INDEX(Produtos!$C$2:$C$11,MATCH(F1865,Produtos!$A$2:$A$11,0))</f>
        <v>Carregador de Celular Tipo C</v>
      </c>
      <c r="H1865" s="2" t="n">
        <v>1</v>
      </c>
      <c r="I1865" s="5" t="n">
        <f aca="false">INDEX(Produtos!$D$2:$D$11,MATCH(F1865,Produtos!$A$2:$A$11,0))</f>
        <v>44.9</v>
      </c>
      <c r="J1865" s="5" t="n">
        <f aca="false">H1865*I1865</f>
        <v>44.9</v>
      </c>
      <c r="K1865" s="5" t="n">
        <f aca="false">INDEX(Produtos!$E$2:$E$11,MATCH(F1865,Produtos!$A$2:$A$11,0))</f>
        <v>18</v>
      </c>
      <c r="L1865" s="5" t="n">
        <f aca="false">H1865*K1865</f>
        <v>18</v>
      </c>
    </row>
    <row r="1866" customFormat="false" ht="15" hidden="false" customHeight="false" outlineLevel="0" collapsed="false">
      <c r="A1866" s="2" t="s">
        <v>2148</v>
      </c>
      <c r="B1866" s="8" t="n">
        <v>46180</v>
      </c>
      <c r="C1866" s="2" t="s">
        <v>72</v>
      </c>
      <c r="D1866" s="3" t="str">
        <f aca="false">INDEX(Vendedores!$C$2:$C$101,MATCH(C1866,Vendedores!$A$2:$A$101,0))</f>
        <v>L02</v>
      </c>
      <c r="E1866" s="3" t="str">
        <f aca="false">INDEX(Lojas!$E$2:$E$11,MATCH(D1866,Lojas!$A$2:$A$11,0))</f>
        <v>Sudeste</v>
      </c>
      <c r="F1866" s="2" t="s">
        <v>252</v>
      </c>
      <c r="G1866" s="3" t="str">
        <f aca="false">INDEX(Produtos!$B$2:$B$11,MATCH(F1866,Produtos!$A$2:$A$11,0))&amp;" "&amp;INDEX(Produtos!$C$2:$C$11,MATCH(F1866,Produtos!$A$2:$A$11,0))</f>
        <v>Notebook Lenovo</v>
      </c>
      <c r="H1866" s="2" t="n">
        <v>1</v>
      </c>
      <c r="I1866" s="5" t="n">
        <f aca="false">INDEX(Produtos!$D$2:$D$11,MATCH(F1866,Produtos!$A$2:$A$11,0))</f>
        <v>3199</v>
      </c>
      <c r="J1866" s="5" t="n">
        <f aca="false">H1866*I1866</f>
        <v>3199</v>
      </c>
      <c r="K1866" s="5" t="n">
        <f aca="false">INDEX(Produtos!$E$2:$E$11,MATCH(F1866,Produtos!$A$2:$A$11,0))</f>
        <v>2350</v>
      </c>
      <c r="L1866" s="5" t="n">
        <f aca="false">H1866*K1866</f>
        <v>2350</v>
      </c>
    </row>
    <row r="1867" customFormat="false" ht="15" hidden="false" customHeight="false" outlineLevel="0" collapsed="false">
      <c r="A1867" s="2" t="s">
        <v>2149</v>
      </c>
      <c r="B1867" s="8" t="n">
        <v>46180</v>
      </c>
      <c r="C1867" s="2" t="s">
        <v>178</v>
      </c>
      <c r="D1867" s="3" t="str">
        <f aca="false">INDEX(Vendedores!$C$2:$C$101,MATCH(C1867,Vendedores!$A$2:$A$101,0))</f>
        <v>L07</v>
      </c>
      <c r="E1867" s="3" t="str">
        <f aca="false">INDEX(Lojas!$E$2:$E$11,MATCH(D1867,Lojas!$A$2:$A$11,0))</f>
        <v>Sul</v>
      </c>
      <c r="F1867" s="2" t="s">
        <v>273</v>
      </c>
      <c r="G1867" s="3" t="str">
        <f aca="false">INDEX(Produtos!$B$2:$B$11,MATCH(F1867,Produtos!$A$2:$A$11,0))&amp;" "&amp;INDEX(Produtos!$C$2:$C$11,MATCH(F1867,Produtos!$A$2:$A$11,0))</f>
        <v>Controle de Videogame PS4</v>
      </c>
      <c r="H1867" s="2" t="n">
        <v>2</v>
      </c>
      <c r="I1867" s="5" t="n">
        <f aca="false">INDEX(Produtos!$D$2:$D$11,MATCH(F1867,Produtos!$A$2:$A$11,0))</f>
        <v>299.9</v>
      </c>
      <c r="J1867" s="5" t="n">
        <f aca="false">H1867*I1867</f>
        <v>599.8</v>
      </c>
      <c r="K1867" s="5" t="n">
        <f aca="false">INDEX(Produtos!$E$2:$E$11,MATCH(F1867,Produtos!$A$2:$A$11,0))</f>
        <v>175</v>
      </c>
      <c r="L1867" s="5" t="n">
        <f aca="false">H1867*K1867</f>
        <v>350</v>
      </c>
    </row>
    <row r="1868" customFormat="false" ht="15" hidden="false" customHeight="false" outlineLevel="0" collapsed="false">
      <c r="A1868" s="2" t="s">
        <v>2150</v>
      </c>
      <c r="B1868" s="8" t="n">
        <v>46181</v>
      </c>
      <c r="C1868" s="2" t="s">
        <v>106</v>
      </c>
      <c r="D1868" s="3" t="str">
        <f aca="false">INDEX(Vendedores!$C$2:$C$101,MATCH(C1868,Vendedores!$A$2:$A$101,0))</f>
        <v>L03</v>
      </c>
      <c r="E1868" s="3" t="str">
        <f aca="false">INDEX(Lojas!$E$2:$E$11,MATCH(D1868,Lojas!$A$2:$A$11,0))</f>
        <v>Sudeste</v>
      </c>
      <c r="F1868" s="2" t="s">
        <v>260</v>
      </c>
      <c r="G1868" s="3" t="str">
        <f aca="false">INDEX(Produtos!$B$2:$B$11,MATCH(F1868,Produtos!$A$2:$A$11,0))&amp;" "&amp;INDEX(Produtos!$C$2:$C$11,MATCH(F1868,Produtos!$A$2:$A$11,0))</f>
        <v>Celular Motorola</v>
      </c>
      <c r="H1868" s="2" t="n">
        <v>1</v>
      </c>
      <c r="I1868" s="5" t="n">
        <f aca="false">INDEX(Produtos!$D$2:$D$11,MATCH(F1868,Produtos!$A$2:$A$11,0))</f>
        <v>1799</v>
      </c>
      <c r="J1868" s="5" t="n">
        <f aca="false">H1868*I1868</f>
        <v>1799</v>
      </c>
      <c r="K1868" s="5" t="n">
        <f aca="false">INDEX(Produtos!$E$2:$E$11,MATCH(F1868,Produtos!$A$2:$A$11,0))</f>
        <v>1250</v>
      </c>
      <c r="L1868" s="5" t="n">
        <f aca="false">H1868*K1868</f>
        <v>1250</v>
      </c>
    </row>
    <row r="1869" customFormat="false" ht="15" hidden="false" customHeight="false" outlineLevel="0" collapsed="false">
      <c r="A1869" s="2" t="s">
        <v>2151</v>
      </c>
      <c r="B1869" s="8" t="n">
        <v>46181</v>
      </c>
      <c r="C1869" s="2" t="s">
        <v>217</v>
      </c>
      <c r="D1869" s="3" t="str">
        <f aca="false">INDEX(Vendedores!$C$2:$C$101,MATCH(C1869,Vendedores!$A$2:$A$101,0))</f>
        <v>L09</v>
      </c>
      <c r="E1869" s="3" t="str">
        <f aca="false">INDEX(Lojas!$E$2:$E$11,MATCH(D1869,Lojas!$A$2:$A$11,0))</f>
        <v>Nordeste</v>
      </c>
      <c r="F1869" s="2" t="s">
        <v>262</v>
      </c>
      <c r="G1869" s="3" t="str">
        <f aca="false">INDEX(Produtos!$B$2:$B$11,MATCH(F1869,Produtos!$A$2:$A$11,0))&amp;" "&amp;INDEX(Produtos!$C$2:$C$11,MATCH(F1869,Produtos!$A$2:$A$11,0))</f>
        <v>Fone de Ouvido De Celular</v>
      </c>
      <c r="H1869" s="2" t="n">
        <v>1</v>
      </c>
      <c r="I1869" s="5" t="n">
        <f aca="false">INDEX(Produtos!$D$2:$D$11,MATCH(F1869,Produtos!$A$2:$A$11,0))</f>
        <v>59.9</v>
      </c>
      <c r="J1869" s="5" t="n">
        <f aca="false">H1869*I1869</f>
        <v>59.9</v>
      </c>
      <c r="K1869" s="5" t="n">
        <f aca="false">INDEX(Produtos!$E$2:$E$11,MATCH(F1869,Produtos!$A$2:$A$11,0))</f>
        <v>28</v>
      </c>
      <c r="L1869" s="5" t="n">
        <f aca="false">H1869*K1869</f>
        <v>28</v>
      </c>
    </row>
    <row r="1870" customFormat="false" ht="15" hidden="false" customHeight="false" outlineLevel="0" collapsed="false">
      <c r="A1870" s="2" t="s">
        <v>2152</v>
      </c>
      <c r="B1870" s="8" t="n">
        <v>46181</v>
      </c>
      <c r="C1870" s="2" t="s">
        <v>135</v>
      </c>
      <c r="D1870" s="3" t="str">
        <f aca="false">INDEX(Vendedores!$C$2:$C$101,MATCH(C1870,Vendedores!$A$2:$A$101,0))</f>
        <v>L05</v>
      </c>
      <c r="E1870" s="3" t="str">
        <f aca="false">INDEX(Lojas!$E$2:$E$11,MATCH(D1870,Lojas!$A$2:$A$11,0))</f>
        <v>Sul</v>
      </c>
      <c r="F1870" s="2" t="s">
        <v>270</v>
      </c>
      <c r="G1870" s="3" t="str">
        <f aca="false">INDEX(Produtos!$B$2:$B$11,MATCH(F1870,Produtos!$A$2:$A$11,0))&amp;" "&amp;INDEX(Produtos!$C$2:$C$11,MATCH(F1870,Produtos!$A$2:$A$11,0))</f>
        <v>Controle de Videogame Xbox</v>
      </c>
      <c r="H1870" s="2" t="n">
        <v>1</v>
      </c>
      <c r="I1870" s="5" t="n">
        <f aca="false">INDEX(Produtos!$D$2:$D$11,MATCH(F1870,Produtos!$A$2:$A$11,0))</f>
        <v>349.9</v>
      </c>
      <c r="J1870" s="5" t="n">
        <f aca="false">H1870*I1870</f>
        <v>349.9</v>
      </c>
      <c r="K1870" s="5" t="n">
        <f aca="false">INDEX(Produtos!$E$2:$E$11,MATCH(F1870,Produtos!$A$2:$A$11,0))</f>
        <v>215</v>
      </c>
      <c r="L1870" s="5" t="n">
        <f aca="false">H1870*K1870</f>
        <v>215</v>
      </c>
    </row>
    <row r="1871" customFormat="false" ht="15" hidden="false" customHeight="false" outlineLevel="0" collapsed="false">
      <c r="A1871" s="2" t="s">
        <v>2153</v>
      </c>
      <c r="B1871" s="8" t="n">
        <v>46181</v>
      </c>
      <c r="C1871" s="2" t="s">
        <v>126</v>
      </c>
      <c r="D1871" s="3" t="str">
        <f aca="false">INDEX(Vendedores!$C$2:$C$101,MATCH(C1871,Vendedores!$A$2:$A$101,0))</f>
        <v>L04</v>
      </c>
      <c r="E1871" s="3" t="str">
        <f aca="false">INDEX(Lojas!$E$2:$E$11,MATCH(D1871,Lojas!$A$2:$A$11,0))</f>
        <v>Sudeste</v>
      </c>
      <c r="F1871" s="2" t="s">
        <v>252</v>
      </c>
      <c r="G1871" s="3" t="str">
        <f aca="false">INDEX(Produtos!$B$2:$B$11,MATCH(F1871,Produtos!$A$2:$A$11,0))&amp;" "&amp;INDEX(Produtos!$C$2:$C$11,MATCH(F1871,Produtos!$A$2:$A$11,0))</f>
        <v>Notebook Lenovo</v>
      </c>
      <c r="H1871" s="2" t="n">
        <v>1</v>
      </c>
      <c r="I1871" s="5" t="n">
        <f aca="false">INDEX(Produtos!$D$2:$D$11,MATCH(F1871,Produtos!$A$2:$A$11,0))</f>
        <v>3199</v>
      </c>
      <c r="J1871" s="5" t="n">
        <f aca="false">H1871*I1871</f>
        <v>3199</v>
      </c>
      <c r="K1871" s="5" t="n">
        <f aca="false">INDEX(Produtos!$E$2:$E$11,MATCH(F1871,Produtos!$A$2:$A$11,0))</f>
        <v>2350</v>
      </c>
      <c r="L1871" s="5" t="n">
        <f aca="false">H1871*K1871</f>
        <v>2350</v>
      </c>
    </row>
    <row r="1872" customFormat="false" ht="15" hidden="false" customHeight="false" outlineLevel="0" collapsed="false">
      <c r="A1872" s="2" t="s">
        <v>2154</v>
      </c>
      <c r="B1872" s="8" t="n">
        <v>46181</v>
      </c>
      <c r="C1872" s="2" t="s">
        <v>176</v>
      </c>
      <c r="D1872" s="3" t="str">
        <f aca="false">INDEX(Vendedores!$C$2:$C$101,MATCH(C1872,Vendedores!$A$2:$A$101,0))</f>
        <v>L07</v>
      </c>
      <c r="E1872" s="3" t="str">
        <f aca="false">INDEX(Lojas!$E$2:$E$11,MATCH(D1872,Lojas!$A$2:$A$11,0))</f>
        <v>Sul</v>
      </c>
      <c r="F1872" s="2" t="s">
        <v>255</v>
      </c>
      <c r="G1872" s="3" t="str">
        <f aca="false">INDEX(Produtos!$B$2:$B$11,MATCH(F1872,Produtos!$A$2:$A$11,0))&amp;" "&amp;INDEX(Produtos!$C$2:$C$11,MATCH(F1872,Produtos!$A$2:$A$11,0))</f>
        <v>Notebook Positivo</v>
      </c>
      <c r="H1872" s="2" t="n">
        <v>1</v>
      </c>
      <c r="I1872" s="5" t="n">
        <f aca="false">INDEX(Produtos!$D$2:$D$11,MATCH(F1872,Produtos!$A$2:$A$11,0))</f>
        <v>2199</v>
      </c>
      <c r="J1872" s="5" t="n">
        <f aca="false">H1872*I1872</f>
        <v>2199</v>
      </c>
      <c r="K1872" s="5" t="n">
        <f aca="false">INDEX(Produtos!$E$2:$E$11,MATCH(F1872,Produtos!$A$2:$A$11,0))</f>
        <v>1550</v>
      </c>
      <c r="L1872" s="5" t="n">
        <f aca="false">H1872*K1872</f>
        <v>1550</v>
      </c>
    </row>
    <row r="1873" customFormat="false" ht="15" hidden="false" customHeight="false" outlineLevel="0" collapsed="false">
      <c r="A1873" s="2" t="s">
        <v>2155</v>
      </c>
      <c r="B1873" s="8" t="n">
        <v>46181</v>
      </c>
      <c r="C1873" s="2" t="s">
        <v>207</v>
      </c>
      <c r="D1873" s="3" t="str">
        <f aca="false">INDEX(Vendedores!$C$2:$C$101,MATCH(C1873,Vendedores!$A$2:$A$101,0))</f>
        <v>L09</v>
      </c>
      <c r="E1873" s="3" t="str">
        <f aca="false">INDEX(Lojas!$E$2:$E$11,MATCH(D1873,Lojas!$A$2:$A$11,0))</f>
        <v>Nordeste</v>
      </c>
      <c r="F1873" s="2" t="s">
        <v>267</v>
      </c>
      <c r="G1873" s="3" t="str">
        <f aca="false">INDEX(Produtos!$B$2:$B$11,MATCH(F1873,Produtos!$A$2:$A$11,0))&amp;" "&amp;INDEX(Produtos!$C$2:$C$11,MATCH(F1873,Produtos!$A$2:$A$11,0))</f>
        <v>Carregador de Celular Tipo C</v>
      </c>
      <c r="H1873" s="2" t="n">
        <v>1</v>
      </c>
      <c r="I1873" s="5" t="n">
        <f aca="false">INDEX(Produtos!$D$2:$D$11,MATCH(F1873,Produtos!$A$2:$A$11,0))</f>
        <v>44.9</v>
      </c>
      <c r="J1873" s="5" t="n">
        <f aca="false">H1873*I1873</f>
        <v>44.9</v>
      </c>
      <c r="K1873" s="5" t="n">
        <f aca="false">INDEX(Produtos!$E$2:$E$11,MATCH(F1873,Produtos!$A$2:$A$11,0))</f>
        <v>18</v>
      </c>
      <c r="L1873" s="5" t="n">
        <f aca="false">H1873*K1873</f>
        <v>18</v>
      </c>
    </row>
    <row r="1874" customFormat="false" ht="15" hidden="false" customHeight="false" outlineLevel="0" collapsed="false">
      <c r="A1874" s="2" t="s">
        <v>2156</v>
      </c>
      <c r="B1874" s="8" t="n">
        <v>46181</v>
      </c>
      <c r="C1874" s="2" t="s">
        <v>176</v>
      </c>
      <c r="D1874" s="3" t="str">
        <f aca="false">INDEX(Vendedores!$C$2:$C$101,MATCH(C1874,Vendedores!$A$2:$A$101,0))</f>
        <v>L07</v>
      </c>
      <c r="E1874" s="3" t="str">
        <f aca="false">INDEX(Lojas!$E$2:$E$11,MATCH(D1874,Lojas!$A$2:$A$11,0))</f>
        <v>Sul</v>
      </c>
      <c r="F1874" s="2" t="s">
        <v>260</v>
      </c>
      <c r="G1874" s="3" t="str">
        <f aca="false">INDEX(Produtos!$B$2:$B$11,MATCH(F1874,Produtos!$A$2:$A$11,0))&amp;" "&amp;INDEX(Produtos!$C$2:$C$11,MATCH(F1874,Produtos!$A$2:$A$11,0))</f>
        <v>Celular Motorola</v>
      </c>
      <c r="H1874" s="2" t="n">
        <v>1</v>
      </c>
      <c r="I1874" s="5" t="n">
        <f aca="false">INDEX(Produtos!$D$2:$D$11,MATCH(F1874,Produtos!$A$2:$A$11,0))</f>
        <v>1799</v>
      </c>
      <c r="J1874" s="5" t="n">
        <f aca="false">H1874*I1874</f>
        <v>1799</v>
      </c>
      <c r="K1874" s="5" t="n">
        <f aca="false">INDEX(Produtos!$E$2:$E$11,MATCH(F1874,Produtos!$A$2:$A$11,0))</f>
        <v>1250</v>
      </c>
      <c r="L1874" s="5" t="n">
        <f aca="false">H1874*K1874</f>
        <v>1250</v>
      </c>
    </row>
    <row r="1875" customFormat="false" ht="15" hidden="false" customHeight="false" outlineLevel="0" collapsed="false">
      <c r="A1875" s="2" t="s">
        <v>2157</v>
      </c>
      <c r="B1875" s="8" t="n">
        <v>46181</v>
      </c>
      <c r="C1875" s="2" t="s">
        <v>135</v>
      </c>
      <c r="D1875" s="3" t="str">
        <f aca="false">INDEX(Vendedores!$C$2:$C$101,MATCH(C1875,Vendedores!$A$2:$A$101,0))</f>
        <v>L05</v>
      </c>
      <c r="E1875" s="3" t="str">
        <f aca="false">INDEX(Lojas!$E$2:$E$11,MATCH(D1875,Lojas!$A$2:$A$11,0))</f>
        <v>Sul</v>
      </c>
      <c r="F1875" s="2" t="s">
        <v>275</v>
      </c>
      <c r="G1875" s="3" t="str">
        <f aca="false">INDEX(Produtos!$B$2:$B$11,MATCH(F1875,Produtos!$A$2:$A$11,0))&amp;" "&amp;INDEX(Produtos!$C$2:$C$11,MATCH(F1875,Produtos!$A$2:$A$11,0))</f>
        <v>Controle de Videogame PS5</v>
      </c>
      <c r="H1875" s="2" t="n">
        <v>1</v>
      </c>
      <c r="I1875" s="5" t="n">
        <f aca="false">INDEX(Produtos!$D$2:$D$11,MATCH(F1875,Produtos!$A$2:$A$11,0))</f>
        <v>379.9</v>
      </c>
      <c r="J1875" s="5" t="n">
        <f aca="false">H1875*I1875</f>
        <v>379.9</v>
      </c>
      <c r="K1875" s="5" t="n">
        <f aca="false">INDEX(Produtos!$E$2:$E$11,MATCH(F1875,Produtos!$A$2:$A$11,0))</f>
        <v>235</v>
      </c>
      <c r="L1875" s="5" t="n">
        <f aca="false">H1875*K1875</f>
        <v>235</v>
      </c>
    </row>
    <row r="1876" customFormat="false" ht="15" hidden="false" customHeight="false" outlineLevel="0" collapsed="false">
      <c r="A1876" s="2" t="s">
        <v>2158</v>
      </c>
      <c r="B1876" s="8" t="n">
        <v>46181</v>
      </c>
      <c r="C1876" s="2" t="s">
        <v>98</v>
      </c>
      <c r="D1876" s="3" t="str">
        <f aca="false">INDEX(Vendedores!$C$2:$C$101,MATCH(C1876,Vendedores!$A$2:$A$101,0))</f>
        <v>L03</v>
      </c>
      <c r="E1876" s="3" t="str">
        <f aca="false">INDEX(Lojas!$E$2:$E$11,MATCH(D1876,Lojas!$A$2:$A$11,0))</f>
        <v>Sudeste</v>
      </c>
      <c r="F1876" s="2" t="s">
        <v>255</v>
      </c>
      <c r="G1876" s="3" t="str">
        <f aca="false">INDEX(Produtos!$B$2:$B$11,MATCH(F1876,Produtos!$A$2:$A$11,0))&amp;" "&amp;INDEX(Produtos!$C$2:$C$11,MATCH(F1876,Produtos!$A$2:$A$11,0))</f>
        <v>Notebook Positivo</v>
      </c>
      <c r="H1876" s="2" t="n">
        <v>1</v>
      </c>
      <c r="I1876" s="5" t="n">
        <f aca="false">INDEX(Produtos!$D$2:$D$11,MATCH(F1876,Produtos!$A$2:$A$11,0))</f>
        <v>2199</v>
      </c>
      <c r="J1876" s="5" t="n">
        <f aca="false">H1876*I1876</f>
        <v>2199</v>
      </c>
      <c r="K1876" s="5" t="n">
        <f aca="false">INDEX(Produtos!$E$2:$E$11,MATCH(F1876,Produtos!$A$2:$A$11,0))</f>
        <v>1550</v>
      </c>
      <c r="L1876" s="5" t="n">
        <f aca="false">H1876*K1876</f>
        <v>1550</v>
      </c>
    </row>
    <row r="1877" customFormat="false" ht="15" hidden="false" customHeight="false" outlineLevel="0" collapsed="false">
      <c r="A1877" s="2" t="s">
        <v>2159</v>
      </c>
      <c r="B1877" s="8" t="n">
        <v>46181</v>
      </c>
      <c r="C1877" s="2" t="s">
        <v>156</v>
      </c>
      <c r="D1877" s="3" t="str">
        <f aca="false">INDEX(Vendedores!$C$2:$C$101,MATCH(C1877,Vendedores!$A$2:$A$101,0))</f>
        <v>L06</v>
      </c>
      <c r="E1877" s="3" t="str">
        <f aca="false">INDEX(Lojas!$E$2:$E$11,MATCH(D1877,Lojas!$A$2:$A$11,0))</f>
        <v>Sul</v>
      </c>
      <c r="F1877" s="2" t="s">
        <v>260</v>
      </c>
      <c r="G1877" s="3" t="str">
        <f aca="false">INDEX(Produtos!$B$2:$B$11,MATCH(F1877,Produtos!$A$2:$A$11,0))&amp;" "&amp;INDEX(Produtos!$C$2:$C$11,MATCH(F1877,Produtos!$A$2:$A$11,0))</f>
        <v>Celular Motorola</v>
      </c>
      <c r="H1877" s="2" t="n">
        <v>1</v>
      </c>
      <c r="I1877" s="5" t="n">
        <f aca="false">INDEX(Produtos!$D$2:$D$11,MATCH(F1877,Produtos!$A$2:$A$11,0))</f>
        <v>1799</v>
      </c>
      <c r="J1877" s="5" t="n">
        <f aca="false">H1877*I1877</f>
        <v>1799</v>
      </c>
      <c r="K1877" s="5" t="n">
        <f aca="false">INDEX(Produtos!$E$2:$E$11,MATCH(F1877,Produtos!$A$2:$A$11,0))</f>
        <v>1250</v>
      </c>
      <c r="L1877" s="5" t="n">
        <f aca="false">H1877*K1877</f>
        <v>1250</v>
      </c>
    </row>
    <row r="1878" customFormat="false" ht="15" hidden="false" customHeight="false" outlineLevel="0" collapsed="false">
      <c r="A1878" s="2" t="s">
        <v>2160</v>
      </c>
      <c r="B1878" s="8" t="n">
        <v>46181</v>
      </c>
      <c r="C1878" s="2" t="s">
        <v>142</v>
      </c>
      <c r="D1878" s="3" t="str">
        <f aca="false">INDEX(Vendedores!$C$2:$C$101,MATCH(C1878,Vendedores!$A$2:$A$101,0))</f>
        <v>L05</v>
      </c>
      <c r="E1878" s="3" t="str">
        <f aca="false">INDEX(Lojas!$E$2:$E$11,MATCH(D1878,Lojas!$A$2:$A$11,0))</f>
        <v>Sul</v>
      </c>
      <c r="F1878" s="2" t="s">
        <v>270</v>
      </c>
      <c r="G1878" s="3" t="str">
        <f aca="false">INDEX(Produtos!$B$2:$B$11,MATCH(F1878,Produtos!$A$2:$A$11,0))&amp;" "&amp;INDEX(Produtos!$C$2:$C$11,MATCH(F1878,Produtos!$A$2:$A$11,0))</f>
        <v>Controle de Videogame Xbox</v>
      </c>
      <c r="H1878" s="2" t="n">
        <v>1</v>
      </c>
      <c r="I1878" s="5" t="n">
        <f aca="false">INDEX(Produtos!$D$2:$D$11,MATCH(F1878,Produtos!$A$2:$A$11,0))</f>
        <v>349.9</v>
      </c>
      <c r="J1878" s="5" t="n">
        <f aca="false">H1878*I1878</f>
        <v>349.9</v>
      </c>
      <c r="K1878" s="5" t="n">
        <f aca="false">INDEX(Produtos!$E$2:$E$11,MATCH(F1878,Produtos!$A$2:$A$11,0))</f>
        <v>215</v>
      </c>
      <c r="L1878" s="5" t="n">
        <f aca="false">H1878*K1878</f>
        <v>215</v>
      </c>
    </row>
    <row r="1879" customFormat="false" ht="15" hidden="false" customHeight="false" outlineLevel="0" collapsed="false">
      <c r="A1879" s="2" t="s">
        <v>2161</v>
      </c>
      <c r="B1879" s="8" t="n">
        <v>46181</v>
      </c>
      <c r="C1879" s="2" t="s">
        <v>164</v>
      </c>
      <c r="D1879" s="3" t="str">
        <f aca="false">INDEX(Vendedores!$C$2:$C$101,MATCH(C1879,Vendedores!$A$2:$A$101,0))</f>
        <v>L06</v>
      </c>
      <c r="E1879" s="3" t="str">
        <f aca="false">INDEX(Lojas!$E$2:$E$11,MATCH(D1879,Lojas!$A$2:$A$11,0))</f>
        <v>Sul</v>
      </c>
      <c r="F1879" s="2" t="s">
        <v>262</v>
      </c>
      <c r="G1879" s="3" t="str">
        <f aca="false">INDEX(Produtos!$B$2:$B$11,MATCH(F1879,Produtos!$A$2:$A$11,0))&amp;" "&amp;INDEX(Produtos!$C$2:$C$11,MATCH(F1879,Produtos!$A$2:$A$11,0))</f>
        <v>Fone de Ouvido De Celular</v>
      </c>
      <c r="H1879" s="2" t="n">
        <v>1</v>
      </c>
      <c r="I1879" s="5" t="n">
        <f aca="false">INDEX(Produtos!$D$2:$D$11,MATCH(F1879,Produtos!$A$2:$A$11,0))</f>
        <v>59.9</v>
      </c>
      <c r="J1879" s="5" t="n">
        <f aca="false">H1879*I1879</f>
        <v>59.9</v>
      </c>
      <c r="K1879" s="5" t="n">
        <f aca="false">INDEX(Produtos!$E$2:$E$11,MATCH(F1879,Produtos!$A$2:$A$11,0))</f>
        <v>28</v>
      </c>
      <c r="L1879" s="5" t="n">
        <f aca="false">H1879*K1879</f>
        <v>28</v>
      </c>
    </row>
    <row r="1880" customFormat="false" ht="15" hidden="false" customHeight="false" outlineLevel="0" collapsed="false">
      <c r="A1880" s="2" t="s">
        <v>2162</v>
      </c>
      <c r="B1880" s="8" t="n">
        <v>46181</v>
      </c>
      <c r="C1880" s="2" t="s">
        <v>142</v>
      </c>
      <c r="D1880" s="3" t="str">
        <f aca="false">INDEX(Vendedores!$C$2:$C$101,MATCH(C1880,Vendedores!$A$2:$A$101,0))</f>
        <v>L05</v>
      </c>
      <c r="E1880" s="3" t="str">
        <f aca="false">INDEX(Lojas!$E$2:$E$11,MATCH(D1880,Lojas!$A$2:$A$11,0))</f>
        <v>Sul</v>
      </c>
      <c r="F1880" s="2" t="s">
        <v>267</v>
      </c>
      <c r="G1880" s="3" t="str">
        <f aca="false">INDEX(Produtos!$B$2:$B$11,MATCH(F1880,Produtos!$A$2:$A$11,0))&amp;" "&amp;INDEX(Produtos!$C$2:$C$11,MATCH(F1880,Produtos!$A$2:$A$11,0))</f>
        <v>Carregador de Celular Tipo C</v>
      </c>
      <c r="H1880" s="2" t="n">
        <v>1</v>
      </c>
      <c r="I1880" s="5" t="n">
        <f aca="false">INDEX(Produtos!$D$2:$D$11,MATCH(F1880,Produtos!$A$2:$A$11,0))</f>
        <v>44.9</v>
      </c>
      <c r="J1880" s="5" t="n">
        <f aca="false">H1880*I1880</f>
        <v>44.9</v>
      </c>
      <c r="K1880" s="5" t="n">
        <f aca="false">INDEX(Produtos!$E$2:$E$11,MATCH(F1880,Produtos!$A$2:$A$11,0))</f>
        <v>18</v>
      </c>
      <c r="L1880" s="5" t="n">
        <f aca="false">H1880*K1880</f>
        <v>18</v>
      </c>
    </row>
    <row r="1881" customFormat="false" ht="15" hidden="false" customHeight="false" outlineLevel="0" collapsed="false">
      <c r="A1881" s="2" t="s">
        <v>2163</v>
      </c>
      <c r="B1881" s="8" t="n">
        <v>46181</v>
      </c>
      <c r="C1881" s="2" t="s">
        <v>154</v>
      </c>
      <c r="D1881" s="3" t="str">
        <f aca="false">INDEX(Vendedores!$C$2:$C$101,MATCH(C1881,Vendedores!$A$2:$A$101,0))</f>
        <v>L06</v>
      </c>
      <c r="E1881" s="3" t="str">
        <f aca="false">INDEX(Lojas!$E$2:$E$11,MATCH(D1881,Lojas!$A$2:$A$11,0))</f>
        <v>Sul</v>
      </c>
      <c r="F1881" s="2" t="s">
        <v>275</v>
      </c>
      <c r="G1881" s="3" t="str">
        <f aca="false">INDEX(Produtos!$B$2:$B$11,MATCH(F1881,Produtos!$A$2:$A$11,0))&amp;" "&amp;INDEX(Produtos!$C$2:$C$11,MATCH(F1881,Produtos!$A$2:$A$11,0))</f>
        <v>Controle de Videogame PS5</v>
      </c>
      <c r="H1881" s="2" t="n">
        <v>1</v>
      </c>
      <c r="I1881" s="5" t="n">
        <f aca="false">INDEX(Produtos!$D$2:$D$11,MATCH(F1881,Produtos!$A$2:$A$11,0))</f>
        <v>379.9</v>
      </c>
      <c r="J1881" s="5" t="n">
        <f aca="false">H1881*I1881</f>
        <v>379.9</v>
      </c>
      <c r="K1881" s="5" t="n">
        <f aca="false">INDEX(Produtos!$E$2:$E$11,MATCH(F1881,Produtos!$A$2:$A$11,0))</f>
        <v>235</v>
      </c>
      <c r="L1881" s="5" t="n">
        <f aca="false">H1881*K1881</f>
        <v>235</v>
      </c>
    </row>
    <row r="1882" customFormat="false" ht="15" hidden="false" customHeight="false" outlineLevel="0" collapsed="false">
      <c r="A1882" s="2" t="s">
        <v>2164</v>
      </c>
      <c r="B1882" s="8" t="n">
        <v>46181</v>
      </c>
      <c r="C1882" s="2" t="s">
        <v>128</v>
      </c>
      <c r="D1882" s="3" t="str">
        <f aca="false">INDEX(Vendedores!$C$2:$C$101,MATCH(C1882,Vendedores!$A$2:$A$101,0))</f>
        <v>L04</v>
      </c>
      <c r="E1882" s="3" t="str">
        <f aca="false">INDEX(Lojas!$E$2:$E$11,MATCH(D1882,Lojas!$A$2:$A$11,0))</f>
        <v>Sudeste</v>
      </c>
      <c r="F1882" s="2" t="s">
        <v>262</v>
      </c>
      <c r="G1882" s="3" t="str">
        <f aca="false">INDEX(Produtos!$B$2:$B$11,MATCH(F1882,Produtos!$A$2:$A$11,0))&amp;" "&amp;INDEX(Produtos!$C$2:$C$11,MATCH(F1882,Produtos!$A$2:$A$11,0))</f>
        <v>Fone de Ouvido De Celular</v>
      </c>
      <c r="H1882" s="2" t="n">
        <v>1</v>
      </c>
      <c r="I1882" s="5" t="n">
        <f aca="false">INDEX(Produtos!$D$2:$D$11,MATCH(F1882,Produtos!$A$2:$A$11,0))</f>
        <v>59.9</v>
      </c>
      <c r="J1882" s="5" t="n">
        <f aca="false">H1882*I1882</f>
        <v>59.9</v>
      </c>
      <c r="K1882" s="5" t="n">
        <f aca="false">INDEX(Produtos!$E$2:$E$11,MATCH(F1882,Produtos!$A$2:$A$11,0))</f>
        <v>28</v>
      </c>
      <c r="L1882" s="5" t="n">
        <f aca="false">H1882*K1882</f>
        <v>28</v>
      </c>
    </row>
    <row r="1883" customFormat="false" ht="15" hidden="false" customHeight="false" outlineLevel="0" collapsed="false">
      <c r="A1883" s="2" t="s">
        <v>2165</v>
      </c>
      <c r="B1883" s="8" t="n">
        <v>46181</v>
      </c>
      <c r="C1883" s="2" t="s">
        <v>138</v>
      </c>
      <c r="D1883" s="3" t="str">
        <f aca="false">INDEX(Vendedores!$C$2:$C$101,MATCH(C1883,Vendedores!$A$2:$A$101,0))</f>
        <v>L05</v>
      </c>
      <c r="E1883" s="3" t="str">
        <f aca="false">INDEX(Lojas!$E$2:$E$11,MATCH(D1883,Lojas!$A$2:$A$11,0))</f>
        <v>Sul</v>
      </c>
      <c r="F1883" s="2" t="s">
        <v>270</v>
      </c>
      <c r="G1883" s="3" t="str">
        <f aca="false">INDEX(Produtos!$B$2:$B$11,MATCH(F1883,Produtos!$A$2:$A$11,0))&amp;" "&amp;INDEX(Produtos!$C$2:$C$11,MATCH(F1883,Produtos!$A$2:$A$11,0))</f>
        <v>Controle de Videogame Xbox</v>
      </c>
      <c r="H1883" s="2" t="n">
        <v>2</v>
      </c>
      <c r="I1883" s="5" t="n">
        <f aca="false">INDEX(Produtos!$D$2:$D$11,MATCH(F1883,Produtos!$A$2:$A$11,0))</f>
        <v>349.9</v>
      </c>
      <c r="J1883" s="5" t="n">
        <f aca="false">H1883*I1883</f>
        <v>699.8</v>
      </c>
      <c r="K1883" s="5" t="n">
        <f aca="false">INDEX(Produtos!$E$2:$E$11,MATCH(F1883,Produtos!$A$2:$A$11,0))</f>
        <v>215</v>
      </c>
      <c r="L1883" s="5" t="n">
        <f aca="false">H1883*K1883</f>
        <v>430</v>
      </c>
    </row>
    <row r="1884" customFormat="false" ht="15" hidden="false" customHeight="false" outlineLevel="0" collapsed="false">
      <c r="A1884" s="2" t="s">
        <v>2166</v>
      </c>
      <c r="B1884" s="8" t="n">
        <v>46181</v>
      </c>
      <c r="C1884" s="2" t="s">
        <v>129</v>
      </c>
      <c r="D1884" s="3" t="str">
        <f aca="false">INDEX(Vendedores!$C$2:$C$101,MATCH(C1884,Vendedores!$A$2:$A$101,0))</f>
        <v>L05</v>
      </c>
      <c r="E1884" s="3" t="str">
        <f aca="false">INDEX(Lojas!$E$2:$E$11,MATCH(D1884,Lojas!$A$2:$A$11,0))</f>
        <v>Sul</v>
      </c>
      <c r="F1884" s="2" t="s">
        <v>255</v>
      </c>
      <c r="G1884" s="3" t="str">
        <f aca="false">INDEX(Produtos!$B$2:$B$11,MATCH(F1884,Produtos!$A$2:$A$11,0))&amp;" "&amp;INDEX(Produtos!$C$2:$C$11,MATCH(F1884,Produtos!$A$2:$A$11,0))</f>
        <v>Notebook Positivo</v>
      </c>
      <c r="H1884" s="2" t="n">
        <v>2</v>
      </c>
      <c r="I1884" s="5" t="n">
        <f aca="false">INDEX(Produtos!$D$2:$D$11,MATCH(F1884,Produtos!$A$2:$A$11,0))</f>
        <v>2199</v>
      </c>
      <c r="J1884" s="5" t="n">
        <f aca="false">H1884*I1884</f>
        <v>4398</v>
      </c>
      <c r="K1884" s="5" t="n">
        <f aca="false">INDEX(Produtos!$E$2:$E$11,MATCH(F1884,Produtos!$A$2:$A$11,0))</f>
        <v>1550</v>
      </c>
      <c r="L1884" s="5" t="n">
        <f aca="false">H1884*K1884</f>
        <v>3100</v>
      </c>
    </row>
    <row r="1885" customFormat="false" ht="15" hidden="false" customHeight="false" outlineLevel="0" collapsed="false">
      <c r="A1885" s="2" t="s">
        <v>2167</v>
      </c>
      <c r="B1885" s="8" t="n">
        <v>46181</v>
      </c>
      <c r="C1885" s="2" t="s">
        <v>237</v>
      </c>
      <c r="D1885" s="3" t="str">
        <f aca="false">INDEX(Vendedores!$C$2:$C$101,MATCH(C1885,Vendedores!$A$2:$A$101,0))</f>
        <v>L10</v>
      </c>
      <c r="E1885" s="3" t="str">
        <f aca="false">INDEX(Lojas!$E$2:$E$11,MATCH(D1885,Lojas!$A$2:$A$11,0))</f>
        <v>Nordeste</v>
      </c>
      <c r="F1885" s="2" t="s">
        <v>275</v>
      </c>
      <c r="G1885" s="3" t="str">
        <f aca="false">INDEX(Produtos!$B$2:$B$11,MATCH(F1885,Produtos!$A$2:$A$11,0))&amp;" "&amp;INDEX(Produtos!$C$2:$C$11,MATCH(F1885,Produtos!$A$2:$A$11,0))</f>
        <v>Controle de Videogame PS5</v>
      </c>
      <c r="H1885" s="2" t="n">
        <v>1</v>
      </c>
      <c r="I1885" s="5" t="n">
        <f aca="false">INDEX(Produtos!$D$2:$D$11,MATCH(F1885,Produtos!$A$2:$A$11,0))</f>
        <v>379.9</v>
      </c>
      <c r="J1885" s="5" t="n">
        <f aca="false">H1885*I1885</f>
        <v>379.9</v>
      </c>
      <c r="K1885" s="5" t="n">
        <f aca="false">INDEX(Produtos!$E$2:$E$11,MATCH(F1885,Produtos!$A$2:$A$11,0))</f>
        <v>235</v>
      </c>
      <c r="L1885" s="5" t="n">
        <f aca="false">H1885*K1885</f>
        <v>235</v>
      </c>
    </row>
    <row r="1886" customFormat="false" ht="15" hidden="false" customHeight="false" outlineLevel="0" collapsed="false">
      <c r="A1886" s="2" t="s">
        <v>2168</v>
      </c>
      <c r="B1886" s="8" t="n">
        <v>46182</v>
      </c>
      <c r="C1886" s="2" t="s">
        <v>237</v>
      </c>
      <c r="D1886" s="3" t="str">
        <f aca="false">INDEX(Vendedores!$C$2:$C$101,MATCH(C1886,Vendedores!$A$2:$A$101,0))</f>
        <v>L10</v>
      </c>
      <c r="E1886" s="3" t="str">
        <f aca="false">INDEX(Lojas!$E$2:$E$11,MATCH(D1886,Lojas!$A$2:$A$11,0))</f>
        <v>Nordeste</v>
      </c>
      <c r="F1886" s="2" t="s">
        <v>255</v>
      </c>
      <c r="G1886" s="3" t="str">
        <f aca="false">INDEX(Produtos!$B$2:$B$11,MATCH(F1886,Produtos!$A$2:$A$11,0))&amp;" "&amp;INDEX(Produtos!$C$2:$C$11,MATCH(F1886,Produtos!$A$2:$A$11,0))</f>
        <v>Notebook Positivo</v>
      </c>
      <c r="H1886" s="2" t="n">
        <v>1</v>
      </c>
      <c r="I1886" s="5" t="n">
        <f aca="false">INDEX(Produtos!$D$2:$D$11,MATCH(F1886,Produtos!$A$2:$A$11,0))</f>
        <v>2199</v>
      </c>
      <c r="J1886" s="5" t="n">
        <f aca="false">H1886*I1886</f>
        <v>2199</v>
      </c>
      <c r="K1886" s="5" t="n">
        <f aca="false">INDEX(Produtos!$E$2:$E$11,MATCH(F1886,Produtos!$A$2:$A$11,0))</f>
        <v>1550</v>
      </c>
      <c r="L1886" s="5" t="n">
        <f aca="false">H1886*K1886</f>
        <v>1550</v>
      </c>
    </row>
    <row r="1887" customFormat="false" ht="15" hidden="false" customHeight="false" outlineLevel="0" collapsed="false">
      <c r="A1887" s="2" t="s">
        <v>2169</v>
      </c>
      <c r="B1887" s="8" t="n">
        <v>46182</v>
      </c>
      <c r="C1887" s="2" t="s">
        <v>162</v>
      </c>
      <c r="D1887" s="3" t="str">
        <f aca="false">INDEX(Vendedores!$C$2:$C$101,MATCH(C1887,Vendedores!$A$2:$A$101,0))</f>
        <v>L06</v>
      </c>
      <c r="E1887" s="3" t="str">
        <f aca="false">INDEX(Lojas!$E$2:$E$11,MATCH(D1887,Lojas!$A$2:$A$11,0))</f>
        <v>Sul</v>
      </c>
      <c r="F1887" s="2" t="s">
        <v>262</v>
      </c>
      <c r="G1887" s="3" t="str">
        <f aca="false">INDEX(Produtos!$B$2:$B$11,MATCH(F1887,Produtos!$A$2:$A$11,0))&amp;" "&amp;INDEX(Produtos!$C$2:$C$11,MATCH(F1887,Produtos!$A$2:$A$11,0))</f>
        <v>Fone de Ouvido De Celular</v>
      </c>
      <c r="H1887" s="2" t="n">
        <v>1</v>
      </c>
      <c r="I1887" s="5" t="n">
        <f aca="false">INDEX(Produtos!$D$2:$D$11,MATCH(F1887,Produtos!$A$2:$A$11,0))</f>
        <v>59.9</v>
      </c>
      <c r="J1887" s="5" t="n">
        <f aca="false">H1887*I1887</f>
        <v>59.9</v>
      </c>
      <c r="K1887" s="5" t="n">
        <f aca="false">INDEX(Produtos!$E$2:$E$11,MATCH(F1887,Produtos!$A$2:$A$11,0))</f>
        <v>28</v>
      </c>
      <c r="L1887" s="5" t="n">
        <f aca="false">H1887*K1887</f>
        <v>28</v>
      </c>
    </row>
    <row r="1888" customFormat="false" ht="15" hidden="false" customHeight="false" outlineLevel="0" collapsed="false">
      <c r="A1888" s="2" t="s">
        <v>2170</v>
      </c>
      <c r="B1888" s="8" t="n">
        <v>46182</v>
      </c>
      <c r="C1888" s="2" t="s">
        <v>205</v>
      </c>
      <c r="D1888" s="3" t="str">
        <f aca="false">INDEX(Vendedores!$C$2:$C$101,MATCH(C1888,Vendedores!$A$2:$A$101,0))</f>
        <v>L09</v>
      </c>
      <c r="E1888" s="3" t="str">
        <f aca="false">INDEX(Lojas!$E$2:$E$11,MATCH(D1888,Lojas!$A$2:$A$11,0))</f>
        <v>Nordeste</v>
      </c>
      <c r="F1888" s="2" t="s">
        <v>255</v>
      </c>
      <c r="G1888" s="3" t="str">
        <f aca="false">INDEX(Produtos!$B$2:$B$11,MATCH(F1888,Produtos!$A$2:$A$11,0))&amp;" "&amp;INDEX(Produtos!$C$2:$C$11,MATCH(F1888,Produtos!$A$2:$A$11,0))</f>
        <v>Notebook Positivo</v>
      </c>
      <c r="H1888" s="2" t="n">
        <v>1</v>
      </c>
      <c r="I1888" s="5" t="n">
        <f aca="false">INDEX(Produtos!$D$2:$D$11,MATCH(F1888,Produtos!$A$2:$A$11,0))</f>
        <v>2199</v>
      </c>
      <c r="J1888" s="5" t="n">
        <f aca="false">H1888*I1888</f>
        <v>2199</v>
      </c>
      <c r="K1888" s="5" t="n">
        <f aca="false">INDEX(Produtos!$E$2:$E$11,MATCH(F1888,Produtos!$A$2:$A$11,0))</f>
        <v>1550</v>
      </c>
      <c r="L1888" s="5" t="n">
        <f aca="false">H1888*K1888</f>
        <v>1550</v>
      </c>
    </row>
    <row r="1889" customFormat="false" ht="15" hidden="false" customHeight="false" outlineLevel="0" collapsed="false">
      <c r="A1889" s="2" t="s">
        <v>2171</v>
      </c>
      <c r="B1889" s="8" t="n">
        <v>46182</v>
      </c>
      <c r="C1889" s="2" t="s">
        <v>225</v>
      </c>
      <c r="D1889" s="3" t="str">
        <f aca="false">INDEX(Vendedores!$C$2:$C$101,MATCH(C1889,Vendedores!$A$2:$A$101,0))</f>
        <v>L10</v>
      </c>
      <c r="E1889" s="3" t="str">
        <f aca="false">INDEX(Lojas!$E$2:$E$11,MATCH(D1889,Lojas!$A$2:$A$11,0))</f>
        <v>Nordeste</v>
      </c>
      <c r="F1889" s="2" t="s">
        <v>255</v>
      </c>
      <c r="G1889" s="3" t="str">
        <f aca="false">INDEX(Produtos!$B$2:$B$11,MATCH(F1889,Produtos!$A$2:$A$11,0))&amp;" "&amp;INDEX(Produtos!$C$2:$C$11,MATCH(F1889,Produtos!$A$2:$A$11,0))</f>
        <v>Notebook Positivo</v>
      </c>
      <c r="H1889" s="2" t="n">
        <v>1</v>
      </c>
      <c r="I1889" s="5" t="n">
        <f aca="false">INDEX(Produtos!$D$2:$D$11,MATCH(F1889,Produtos!$A$2:$A$11,0))</f>
        <v>2199</v>
      </c>
      <c r="J1889" s="5" t="n">
        <f aca="false">H1889*I1889</f>
        <v>2199</v>
      </c>
      <c r="K1889" s="5" t="n">
        <f aca="false">INDEX(Produtos!$E$2:$E$11,MATCH(F1889,Produtos!$A$2:$A$11,0))</f>
        <v>1550</v>
      </c>
      <c r="L1889" s="5" t="n">
        <f aca="false">H1889*K1889</f>
        <v>1550</v>
      </c>
    </row>
    <row r="1890" customFormat="false" ht="15" hidden="false" customHeight="false" outlineLevel="0" collapsed="false">
      <c r="A1890" s="2" t="s">
        <v>2172</v>
      </c>
      <c r="B1890" s="8" t="n">
        <v>46182</v>
      </c>
      <c r="C1890" s="2" t="s">
        <v>72</v>
      </c>
      <c r="D1890" s="3" t="str">
        <f aca="false">INDEX(Vendedores!$C$2:$C$101,MATCH(C1890,Vendedores!$A$2:$A$101,0))</f>
        <v>L02</v>
      </c>
      <c r="E1890" s="3" t="str">
        <f aca="false">INDEX(Lojas!$E$2:$E$11,MATCH(D1890,Lojas!$A$2:$A$11,0))</f>
        <v>Sudeste</v>
      </c>
      <c r="F1890" s="2" t="s">
        <v>265</v>
      </c>
      <c r="G1890" s="3" t="str">
        <f aca="false">INDEX(Produtos!$B$2:$B$11,MATCH(F1890,Produtos!$A$2:$A$11,0))&amp;" "&amp;INDEX(Produtos!$C$2:$C$11,MATCH(F1890,Produtos!$A$2:$A$11,0))</f>
        <v>Fone de Ouvido Headset</v>
      </c>
      <c r="H1890" s="2" t="n">
        <v>1</v>
      </c>
      <c r="I1890" s="5" t="n">
        <f aca="false">INDEX(Produtos!$D$2:$D$11,MATCH(F1890,Produtos!$A$2:$A$11,0))</f>
        <v>249.9</v>
      </c>
      <c r="J1890" s="5" t="n">
        <f aca="false">H1890*I1890</f>
        <v>249.9</v>
      </c>
      <c r="K1890" s="5" t="n">
        <f aca="false">INDEX(Produtos!$E$2:$E$11,MATCH(F1890,Produtos!$A$2:$A$11,0))</f>
        <v>145</v>
      </c>
      <c r="L1890" s="5" t="n">
        <f aca="false">H1890*K1890</f>
        <v>145</v>
      </c>
    </row>
    <row r="1891" customFormat="false" ht="15" hidden="false" customHeight="false" outlineLevel="0" collapsed="false">
      <c r="A1891" s="2" t="s">
        <v>2173</v>
      </c>
      <c r="B1891" s="8" t="n">
        <v>46182</v>
      </c>
      <c r="C1891" s="2" t="s">
        <v>156</v>
      </c>
      <c r="D1891" s="3" t="str">
        <f aca="false">INDEX(Vendedores!$C$2:$C$101,MATCH(C1891,Vendedores!$A$2:$A$101,0))</f>
        <v>L06</v>
      </c>
      <c r="E1891" s="3" t="str">
        <f aca="false">INDEX(Lojas!$E$2:$E$11,MATCH(D1891,Lojas!$A$2:$A$11,0))</f>
        <v>Sul</v>
      </c>
      <c r="F1891" s="2" t="s">
        <v>275</v>
      </c>
      <c r="G1891" s="3" t="str">
        <f aca="false">INDEX(Produtos!$B$2:$B$11,MATCH(F1891,Produtos!$A$2:$A$11,0))&amp;" "&amp;INDEX(Produtos!$C$2:$C$11,MATCH(F1891,Produtos!$A$2:$A$11,0))</f>
        <v>Controle de Videogame PS5</v>
      </c>
      <c r="H1891" s="2" t="n">
        <v>2</v>
      </c>
      <c r="I1891" s="5" t="n">
        <f aca="false">INDEX(Produtos!$D$2:$D$11,MATCH(F1891,Produtos!$A$2:$A$11,0))</f>
        <v>379.9</v>
      </c>
      <c r="J1891" s="5" t="n">
        <f aca="false">H1891*I1891</f>
        <v>759.8</v>
      </c>
      <c r="K1891" s="5" t="n">
        <f aca="false">INDEX(Produtos!$E$2:$E$11,MATCH(F1891,Produtos!$A$2:$A$11,0))</f>
        <v>235</v>
      </c>
      <c r="L1891" s="5" t="n">
        <f aca="false">H1891*K1891</f>
        <v>470</v>
      </c>
    </row>
    <row r="1892" customFormat="false" ht="15" hidden="false" customHeight="false" outlineLevel="0" collapsed="false">
      <c r="A1892" s="2" t="s">
        <v>2174</v>
      </c>
      <c r="B1892" s="8" t="n">
        <v>46182</v>
      </c>
      <c r="C1892" s="2" t="s">
        <v>146</v>
      </c>
      <c r="D1892" s="3" t="str">
        <f aca="false">INDEX(Vendedores!$C$2:$C$101,MATCH(C1892,Vendedores!$A$2:$A$101,0))</f>
        <v>L05</v>
      </c>
      <c r="E1892" s="3" t="str">
        <f aca="false">INDEX(Lojas!$E$2:$E$11,MATCH(D1892,Lojas!$A$2:$A$11,0))</f>
        <v>Sul</v>
      </c>
      <c r="F1892" s="2" t="s">
        <v>262</v>
      </c>
      <c r="G1892" s="3" t="str">
        <f aca="false">INDEX(Produtos!$B$2:$B$11,MATCH(F1892,Produtos!$A$2:$A$11,0))&amp;" "&amp;INDEX(Produtos!$C$2:$C$11,MATCH(F1892,Produtos!$A$2:$A$11,0))</f>
        <v>Fone de Ouvido De Celular</v>
      </c>
      <c r="H1892" s="2" t="n">
        <v>1</v>
      </c>
      <c r="I1892" s="5" t="n">
        <f aca="false">INDEX(Produtos!$D$2:$D$11,MATCH(F1892,Produtos!$A$2:$A$11,0))</f>
        <v>59.9</v>
      </c>
      <c r="J1892" s="5" t="n">
        <f aca="false">H1892*I1892</f>
        <v>59.9</v>
      </c>
      <c r="K1892" s="5" t="n">
        <f aca="false">INDEX(Produtos!$E$2:$E$11,MATCH(F1892,Produtos!$A$2:$A$11,0))</f>
        <v>28</v>
      </c>
      <c r="L1892" s="5" t="n">
        <f aca="false">H1892*K1892</f>
        <v>28</v>
      </c>
    </row>
    <row r="1893" customFormat="false" ht="15" hidden="false" customHeight="false" outlineLevel="0" collapsed="false">
      <c r="A1893" s="2" t="s">
        <v>2175</v>
      </c>
      <c r="B1893" s="8" t="n">
        <v>46182</v>
      </c>
      <c r="C1893" s="2" t="s">
        <v>129</v>
      </c>
      <c r="D1893" s="3" t="str">
        <f aca="false">INDEX(Vendedores!$C$2:$C$101,MATCH(C1893,Vendedores!$A$2:$A$101,0))</f>
        <v>L05</v>
      </c>
      <c r="E1893" s="3" t="str">
        <f aca="false">INDEX(Lojas!$E$2:$E$11,MATCH(D1893,Lojas!$A$2:$A$11,0))</f>
        <v>Sul</v>
      </c>
      <c r="F1893" s="2" t="s">
        <v>267</v>
      </c>
      <c r="G1893" s="3" t="str">
        <f aca="false">INDEX(Produtos!$B$2:$B$11,MATCH(F1893,Produtos!$A$2:$A$11,0))&amp;" "&amp;INDEX(Produtos!$C$2:$C$11,MATCH(F1893,Produtos!$A$2:$A$11,0))</f>
        <v>Carregador de Celular Tipo C</v>
      </c>
      <c r="H1893" s="2" t="n">
        <v>1</v>
      </c>
      <c r="I1893" s="5" t="n">
        <f aca="false">INDEX(Produtos!$D$2:$D$11,MATCH(F1893,Produtos!$A$2:$A$11,0))</f>
        <v>44.9</v>
      </c>
      <c r="J1893" s="5" t="n">
        <f aca="false">H1893*I1893</f>
        <v>44.9</v>
      </c>
      <c r="K1893" s="5" t="n">
        <f aca="false">INDEX(Produtos!$E$2:$E$11,MATCH(F1893,Produtos!$A$2:$A$11,0))</f>
        <v>18</v>
      </c>
      <c r="L1893" s="5" t="n">
        <f aca="false">H1893*K1893</f>
        <v>18</v>
      </c>
    </row>
    <row r="1894" customFormat="false" ht="15" hidden="false" customHeight="false" outlineLevel="0" collapsed="false">
      <c r="A1894" s="2" t="s">
        <v>2176</v>
      </c>
      <c r="B1894" s="8" t="n">
        <v>46182</v>
      </c>
      <c r="C1894" s="2" t="s">
        <v>128</v>
      </c>
      <c r="D1894" s="3" t="str">
        <f aca="false">INDEX(Vendedores!$C$2:$C$101,MATCH(C1894,Vendedores!$A$2:$A$101,0))</f>
        <v>L04</v>
      </c>
      <c r="E1894" s="3" t="str">
        <f aca="false">INDEX(Lojas!$E$2:$E$11,MATCH(D1894,Lojas!$A$2:$A$11,0))</f>
        <v>Sudeste</v>
      </c>
      <c r="F1894" s="2" t="s">
        <v>265</v>
      </c>
      <c r="G1894" s="3" t="str">
        <f aca="false">INDEX(Produtos!$B$2:$B$11,MATCH(F1894,Produtos!$A$2:$A$11,0))&amp;" "&amp;INDEX(Produtos!$C$2:$C$11,MATCH(F1894,Produtos!$A$2:$A$11,0))</f>
        <v>Fone de Ouvido Headset</v>
      </c>
      <c r="H1894" s="2" t="n">
        <v>1</v>
      </c>
      <c r="I1894" s="5" t="n">
        <f aca="false">INDEX(Produtos!$D$2:$D$11,MATCH(F1894,Produtos!$A$2:$A$11,0))</f>
        <v>249.9</v>
      </c>
      <c r="J1894" s="5" t="n">
        <f aca="false">H1894*I1894</f>
        <v>249.9</v>
      </c>
      <c r="K1894" s="5" t="n">
        <f aca="false">INDEX(Produtos!$E$2:$E$11,MATCH(F1894,Produtos!$A$2:$A$11,0))</f>
        <v>145</v>
      </c>
      <c r="L1894" s="5" t="n">
        <f aca="false">H1894*K1894</f>
        <v>145</v>
      </c>
    </row>
    <row r="1895" customFormat="false" ht="15" hidden="false" customHeight="false" outlineLevel="0" collapsed="false">
      <c r="A1895" s="2" t="s">
        <v>2177</v>
      </c>
      <c r="B1895" s="8" t="n">
        <v>46182</v>
      </c>
      <c r="C1895" s="2" t="s">
        <v>92</v>
      </c>
      <c r="D1895" s="3" t="str">
        <f aca="false">INDEX(Vendedores!$C$2:$C$101,MATCH(C1895,Vendedores!$A$2:$A$101,0))</f>
        <v>L03</v>
      </c>
      <c r="E1895" s="3" t="str">
        <f aca="false">INDEX(Lojas!$E$2:$E$11,MATCH(D1895,Lojas!$A$2:$A$11,0))</f>
        <v>Sudeste</v>
      </c>
      <c r="F1895" s="2" t="s">
        <v>252</v>
      </c>
      <c r="G1895" s="3" t="str">
        <f aca="false">INDEX(Produtos!$B$2:$B$11,MATCH(F1895,Produtos!$A$2:$A$11,0))&amp;" "&amp;INDEX(Produtos!$C$2:$C$11,MATCH(F1895,Produtos!$A$2:$A$11,0))</f>
        <v>Notebook Lenovo</v>
      </c>
      <c r="H1895" s="2" t="n">
        <v>1</v>
      </c>
      <c r="I1895" s="5" t="n">
        <f aca="false">INDEX(Produtos!$D$2:$D$11,MATCH(F1895,Produtos!$A$2:$A$11,0))</f>
        <v>3199</v>
      </c>
      <c r="J1895" s="5" t="n">
        <f aca="false">H1895*I1895</f>
        <v>3199</v>
      </c>
      <c r="K1895" s="5" t="n">
        <f aca="false">INDEX(Produtos!$E$2:$E$11,MATCH(F1895,Produtos!$A$2:$A$11,0))</f>
        <v>2350</v>
      </c>
      <c r="L1895" s="5" t="n">
        <f aca="false">H1895*K1895</f>
        <v>2350</v>
      </c>
    </row>
    <row r="1896" customFormat="false" ht="15" hidden="false" customHeight="false" outlineLevel="0" collapsed="false">
      <c r="A1896" s="2" t="s">
        <v>2178</v>
      </c>
      <c r="B1896" s="8" t="n">
        <v>46182</v>
      </c>
      <c r="C1896" s="2" t="s">
        <v>52</v>
      </c>
      <c r="D1896" s="3" t="str">
        <f aca="false">INDEX(Vendedores!$C$2:$C$101,MATCH(C1896,Vendedores!$A$2:$A$101,0))</f>
        <v>L01</v>
      </c>
      <c r="E1896" s="3" t="str">
        <f aca="false">INDEX(Lojas!$E$2:$E$11,MATCH(D1896,Lojas!$A$2:$A$11,0))</f>
        <v>Sudeste</v>
      </c>
      <c r="F1896" s="2" t="s">
        <v>252</v>
      </c>
      <c r="G1896" s="3" t="str">
        <f aca="false">INDEX(Produtos!$B$2:$B$11,MATCH(F1896,Produtos!$A$2:$A$11,0))&amp;" "&amp;INDEX(Produtos!$C$2:$C$11,MATCH(F1896,Produtos!$A$2:$A$11,0))</f>
        <v>Notebook Lenovo</v>
      </c>
      <c r="H1896" s="2" t="n">
        <v>1</v>
      </c>
      <c r="I1896" s="5" t="n">
        <f aca="false">INDEX(Produtos!$D$2:$D$11,MATCH(F1896,Produtos!$A$2:$A$11,0))</f>
        <v>3199</v>
      </c>
      <c r="J1896" s="5" t="n">
        <f aca="false">H1896*I1896</f>
        <v>3199</v>
      </c>
      <c r="K1896" s="5" t="n">
        <f aca="false">INDEX(Produtos!$E$2:$E$11,MATCH(F1896,Produtos!$A$2:$A$11,0))</f>
        <v>2350</v>
      </c>
      <c r="L1896" s="5" t="n">
        <f aca="false">H1896*K1896</f>
        <v>2350</v>
      </c>
    </row>
    <row r="1897" customFormat="false" ht="15" hidden="false" customHeight="false" outlineLevel="0" collapsed="false">
      <c r="A1897" s="2" t="s">
        <v>2179</v>
      </c>
      <c r="B1897" s="8" t="n">
        <v>46183</v>
      </c>
      <c r="C1897" s="2" t="s">
        <v>215</v>
      </c>
      <c r="D1897" s="3" t="str">
        <f aca="false">INDEX(Vendedores!$C$2:$C$101,MATCH(C1897,Vendedores!$A$2:$A$101,0))</f>
        <v>L09</v>
      </c>
      <c r="E1897" s="3" t="str">
        <f aca="false">INDEX(Lojas!$E$2:$E$11,MATCH(D1897,Lojas!$A$2:$A$11,0))</f>
        <v>Nordeste</v>
      </c>
      <c r="F1897" s="2" t="s">
        <v>255</v>
      </c>
      <c r="G1897" s="3" t="str">
        <f aca="false">INDEX(Produtos!$B$2:$B$11,MATCH(F1897,Produtos!$A$2:$A$11,0))&amp;" "&amp;INDEX(Produtos!$C$2:$C$11,MATCH(F1897,Produtos!$A$2:$A$11,0))</f>
        <v>Notebook Positivo</v>
      </c>
      <c r="H1897" s="2" t="n">
        <v>1</v>
      </c>
      <c r="I1897" s="5" t="n">
        <f aca="false">INDEX(Produtos!$D$2:$D$11,MATCH(F1897,Produtos!$A$2:$A$11,0))</f>
        <v>2199</v>
      </c>
      <c r="J1897" s="5" t="n">
        <f aca="false">H1897*I1897</f>
        <v>2199</v>
      </c>
      <c r="K1897" s="5" t="n">
        <f aca="false">INDEX(Produtos!$E$2:$E$11,MATCH(F1897,Produtos!$A$2:$A$11,0))</f>
        <v>1550</v>
      </c>
      <c r="L1897" s="5" t="n">
        <f aca="false">H1897*K1897</f>
        <v>1550</v>
      </c>
    </row>
    <row r="1898" customFormat="false" ht="15" hidden="false" customHeight="false" outlineLevel="0" collapsed="false">
      <c r="A1898" s="2" t="s">
        <v>2180</v>
      </c>
      <c r="B1898" s="8" t="n">
        <v>46183</v>
      </c>
      <c r="C1898" s="2" t="s">
        <v>201</v>
      </c>
      <c r="D1898" s="3" t="str">
        <f aca="false">INDEX(Vendedores!$C$2:$C$101,MATCH(C1898,Vendedores!$A$2:$A$101,0))</f>
        <v>L08</v>
      </c>
      <c r="E1898" s="3" t="str">
        <f aca="false">INDEX(Lojas!$E$2:$E$11,MATCH(D1898,Lojas!$A$2:$A$11,0))</f>
        <v>Nordeste</v>
      </c>
      <c r="F1898" s="2" t="s">
        <v>260</v>
      </c>
      <c r="G1898" s="3" t="str">
        <f aca="false">INDEX(Produtos!$B$2:$B$11,MATCH(F1898,Produtos!$A$2:$A$11,0))&amp;" "&amp;INDEX(Produtos!$C$2:$C$11,MATCH(F1898,Produtos!$A$2:$A$11,0))</f>
        <v>Celular Motorola</v>
      </c>
      <c r="H1898" s="2" t="n">
        <v>1</v>
      </c>
      <c r="I1898" s="5" t="n">
        <f aca="false">INDEX(Produtos!$D$2:$D$11,MATCH(F1898,Produtos!$A$2:$A$11,0))</f>
        <v>1799</v>
      </c>
      <c r="J1898" s="5" t="n">
        <f aca="false">H1898*I1898</f>
        <v>1799</v>
      </c>
      <c r="K1898" s="5" t="n">
        <f aca="false">INDEX(Produtos!$E$2:$E$11,MATCH(F1898,Produtos!$A$2:$A$11,0))</f>
        <v>1250</v>
      </c>
      <c r="L1898" s="5" t="n">
        <f aca="false">H1898*K1898</f>
        <v>1250</v>
      </c>
    </row>
    <row r="1899" customFormat="false" ht="15" hidden="false" customHeight="false" outlineLevel="0" collapsed="false">
      <c r="A1899" s="2" t="s">
        <v>2181</v>
      </c>
      <c r="B1899" s="8" t="n">
        <v>46183</v>
      </c>
      <c r="C1899" s="2" t="s">
        <v>142</v>
      </c>
      <c r="D1899" s="3" t="str">
        <f aca="false">INDEX(Vendedores!$C$2:$C$101,MATCH(C1899,Vendedores!$A$2:$A$101,0))</f>
        <v>L05</v>
      </c>
      <c r="E1899" s="3" t="str">
        <f aca="false">INDEX(Lojas!$E$2:$E$11,MATCH(D1899,Lojas!$A$2:$A$11,0))</f>
        <v>Sul</v>
      </c>
      <c r="F1899" s="2" t="s">
        <v>260</v>
      </c>
      <c r="G1899" s="3" t="str">
        <f aca="false">INDEX(Produtos!$B$2:$B$11,MATCH(F1899,Produtos!$A$2:$A$11,0))&amp;" "&amp;INDEX(Produtos!$C$2:$C$11,MATCH(F1899,Produtos!$A$2:$A$11,0))</f>
        <v>Celular Motorola</v>
      </c>
      <c r="H1899" s="2" t="n">
        <v>1</v>
      </c>
      <c r="I1899" s="5" t="n">
        <f aca="false">INDEX(Produtos!$D$2:$D$11,MATCH(F1899,Produtos!$A$2:$A$11,0))</f>
        <v>1799</v>
      </c>
      <c r="J1899" s="5" t="n">
        <f aca="false">H1899*I1899</f>
        <v>1799</v>
      </c>
      <c r="K1899" s="5" t="n">
        <f aca="false">INDEX(Produtos!$E$2:$E$11,MATCH(F1899,Produtos!$A$2:$A$11,0))</f>
        <v>1250</v>
      </c>
      <c r="L1899" s="5" t="n">
        <f aca="false">H1899*K1899</f>
        <v>1250</v>
      </c>
    </row>
    <row r="1900" customFormat="false" ht="15" hidden="false" customHeight="false" outlineLevel="0" collapsed="false">
      <c r="A1900" s="2" t="s">
        <v>2182</v>
      </c>
      <c r="B1900" s="8" t="n">
        <v>46183</v>
      </c>
      <c r="C1900" s="2" t="s">
        <v>158</v>
      </c>
      <c r="D1900" s="3" t="str">
        <f aca="false">INDEX(Vendedores!$C$2:$C$101,MATCH(C1900,Vendedores!$A$2:$A$101,0))</f>
        <v>L06</v>
      </c>
      <c r="E1900" s="3" t="str">
        <f aca="false">INDEX(Lojas!$E$2:$E$11,MATCH(D1900,Lojas!$A$2:$A$11,0))</f>
        <v>Sul</v>
      </c>
      <c r="F1900" s="2" t="s">
        <v>252</v>
      </c>
      <c r="G1900" s="3" t="str">
        <f aca="false">INDEX(Produtos!$B$2:$B$11,MATCH(F1900,Produtos!$A$2:$A$11,0))&amp;" "&amp;INDEX(Produtos!$C$2:$C$11,MATCH(F1900,Produtos!$A$2:$A$11,0))</f>
        <v>Notebook Lenovo</v>
      </c>
      <c r="H1900" s="2" t="n">
        <v>1</v>
      </c>
      <c r="I1900" s="5" t="n">
        <f aca="false">INDEX(Produtos!$D$2:$D$11,MATCH(F1900,Produtos!$A$2:$A$11,0))</f>
        <v>3199</v>
      </c>
      <c r="J1900" s="5" t="n">
        <f aca="false">H1900*I1900</f>
        <v>3199</v>
      </c>
      <c r="K1900" s="5" t="n">
        <f aca="false">INDEX(Produtos!$E$2:$E$11,MATCH(F1900,Produtos!$A$2:$A$11,0))</f>
        <v>2350</v>
      </c>
      <c r="L1900" s="5" t="n">
        <f aca="false">H1900*K1900</f>
        <v>2350</v>
      </c>
    </row>
    <row r="1901" customFormat="false" ht="15" hidden="false" customHeight="false" outlineLevel="0" collapsed="false">
      <c r="A1901" s="2" t="s">
        <v>2183</v>
      </c>
      <c r="B1901" s="8" t="n">
        <v>46183</v>
      </c>
      <c r="C1901" s="2" t="s">
        <v>213</v>
      </c>
      <c r="D1901" s="3" t="str">
        <f aca="false">INDEX(Vendedores!$C$2:$C$101,MATCH(C1901,Vendedores!$A$2:$A$101,0))</f>
        <v>L09</v>
      </c>
      <c r="E1901" s="3" t="str">
        <f aca="false">INDEX(Lojas!$E$2:$E$11,MATCH(D1901,Lojas!$A$2:$A$11,0))</f>
        <v>Nordeste</v>
      </c>
      <c r="F1901" s="2" t="s">
        <v>267</v>
      </c>
      <c r="G1901" s="3" t="str">
        <f aca="false">INDEX(Produtos!$B$2:$B$11,MATCH(F1901,Produtos!$A$2:$A$11,0))&amp;" "&amp;INDEX(Produtos!$C$2:$C$11,MATCH(F1901,Produtos!$A$2:$A$11,0))</f>
        <v>Carregador de Celular Tipo C</v>
      </c>
      <c r="H1901" s="2" t="n">
        <v>1</v>
      </c>
      <c r="I1901" s="5" t="n">
        <f aca="false">INDEX(Produtos!$D$2:$D$11,MATCH(F1901,Produtos!$A$2:$A$11,0))</f>
        <v>44.9</v>
      </c>
      <c r="J1901" s="5" t="n">
        <f aca="false">H1901*I1901</f>
        <v>44.9</v>
      </c>
      <c r="K1901" s="5" t="n">
        <f aca="false">INDEX(Produtos!$E$2:$E$11,MATCH(F1901,Produtos!$A$2:$A$11,0))</f>
        <v>18</v>
      </c>
      <c r="L1901" s="5" t="n">
        <f aca="false">H1901*K1901</f>
        <v>18</v>
      </c>
    </row>
    <row r="1902" customFormat="false" ht="15" hidden="false" customHeight="false" outlineLevel="0" collapsed="false">
      <c r="A1902" s="2" t="s">
        <v>2184</v>
      </c>
      <c r="B1902" s="8" t="n">
        <v>46183</v>
      </c>
      <c r="C1902" s="2" t="s">
        <v>207</v>
      </c>
      <c r="D1902" s="3" t="str">
        <f aca="false">INDEX(Vendedores!$C$2:$C$101,MATCH(C1902,Vendedores!$A$2:$A$101,0))</f>
        <v>L09</v>
      </c>
      <c r="E1902" s="3" t="str">
        <f aca="false">INDEX(Lojas!$E$2:$E$11,MATCH(D1902,Lojas!$A$2:$A$11,0))</f>
        <v>Nordeste</v>
      </c>
      <c r="F1902" s="2" t="s">
        <v>267</v>
      </c>
      <c r="G1902" s="3" t="str">
        <f aca="false">INDEX(Produtos!$B$2:$B$11,MATCH(F1902,Produtos!$A$2:$A$11,0))&amp;" "&amp;INDEX(Produtos!$C$2:$C$11,MATCH(F1902,Produtos!$A$2:$A$11,0))</f>
        <v>Carregador de Celular Tipo C</v>
      </c>
      <c r="H1902" s="2" t="n">
        <v>1</v>
      </c>
      <c r="I1902" s="5" t="n">
        <f aca="false">INDEX(Produtos!$D$2:$D$11,MATCH(F1902,Produtos!$A$2:$A$11,0))</f>
        <v>44.9</v>
      </c>
      <c r="J1902" s="5" t="n">
        <f aca="false">H1902*I1902</f>
        <v>44.9</v>
      </c>
      <c r="K1902" s="5" t="n">
        <f aca="false">INDEX(Produtos!$E$2:$E$11,MATCH(F1902,Produtos!$A$2:$A$11,0))</f>
        <v>18</v>
      </c>
      <c r="L1902" s="5" t="n">
        <f aca="false">H1902*K1902</f>
        <v>18</v>
      </c>
    </row>
    <row r="1903" customFormat="false" ht="15" hidden="false" customHeight="false" outlineLevel="0" collapsed="false">
      <c r="A1903" s="2" t="s">
        <v>2185</v>
      </c>
      <c r="B1903" s="8" t="n">
        <v>46183</v>
      </c>
      <c r="C1903" s="2" t="s">
        <v>180</v>
      </c>
      <c r="D1903" s="3" t="str">
        <f aca="false">INDEX(Vendedores!$C$2:$C$101,MATCH(C1903,Vendedores!$A$2:$A$101,0))</f>
        <v>L07</v>
      </c>
      <c r="E1903" s="3" t="str">
        <f aca="false">INDEX(Lojas!$E$2:$E$11,MATCH(D1903,Lojas!$A$2:$A$11,0))</f>
        <v>Sul</v>
      </c>
      <c r="F1903" s="2" t="s">
        <v>270</v>
      </c>
      <c r="G1903" s="3" t="str">
        <f aca="false">INDEX(Produtos!$B$2:$B$11,MATCH(F1903,Produtos!$A$2:$A$11,0))&amp;" "&amp;INDEX(Produtos!$C$2:$C$11,MATCH(F1903,Produtos!$A$2:$A$11,0))</f>
        <v>Controle de Videogame Xbox</v>
      </c>
      <c r="H1903" s="2" t="n">
        <v>1</v>
      </c>
      <c r="I1903" s="5" t="n">
        <f aca="false">INDEX(Produtos!$D$2:$D$11,MATCH(F1903,Produtos!$A$2:$A$11,0))</f>
        <v>349.9</v>
      </c>
      <c r="J1903" s="5" t="n">
        <f aca="false">H1903*I1903</f>
        <v>349.9</v>
      </c>
      <c r="K1903" s="5" t="n">
        <f aca="false">INDEX(Produtos!$E$2:$E$11,MATCH(F1903,Produtos!$A$2:$A$11,0))</f>
        <v>215</v>
      </c>
      <c r="L1903" s="5" t="n">
        <f aca="false">H1903*K1903</f>
        <v>215</v>
      </c>
    </row>
    <row r="1904" customFormat="false" ht="15" hidden="false" customHeight="false" outlineLevel="0" collapsed="false">
      <c r="A1904" s="2" t="s">
        <v>2186</v>
      </c>
      <c r="B1904" s="8" t="n">
        <v>46183</v>
      </c>
      <c r="C1904" s="2" t="s">
        <v>221</v>
      </c>
      <c r="D1904" s="3" t="str">
        <f aca="false">INDEX(Vendedores!$C$2:$C$101,MATCH(C1904,Vendedores!$A$2:$A$101,0))</f>
        <v>L09</v>
      </c>
      <c r="E1904" s="3" t="str">
        <f aca="false">INDEX(Lojas!$E$2:$E$11,MATCH(D1904,Lojas!$A$2:$A$11,0))</f>
        <v>Nordeste</v>
      </c>
      <c r="F1904" s="2" t="s">
        <v>275</v>
      </c>
      <c r="G1904" s="3" t="str">
        <f aca="false">INDEX(Produtos!$B$2:$B$11,MATCH(F1904,Produtos!$A$2:$A$11,0))&amp;" "&amp;INDEX(Produtos!$C$2:$C$11,MATCH(F1904,Produtos!$A$2:$A$11,0))</f>
        <v>Controle de Videogame PS5</v>
      </c>
      <c r="H1904" s="2" t="n">
        <v>1</v>
      </c>
      <c r="I1904" s="5" t="n">
        <f aca="false">INDEX(Produtos!$D$2:$D$11,MATCH(F1904,Produtos!$A$2:$A$11,0))</f>
        <v>379.9</v>
      </c>
      <c r="J1904" s="5" t="n">
        <f aca="false">H1904*I1904</f>
        <v>379.9</v>
      </c>
      <c r="K1904" s="5" t="n">
        <f aca="false">INDEX(Produtos!$E$2:$E$11,MATCH(F1904,Produtos!$A$2:$A$11,0))</f>
        <v>235</v>
      </c>
      <c r="L1904" s="5" t="n">
        <f aca="false">H1904*K1904</f>
        <v>235</v>
      </c>
    </row>
    <row r="1905" customFormat="false" ht="15" hidden="false" customHeight="false" outlineLevel="0" collapsed="false">
      <c r="A1905" s="2" t="s">
        <v>2187</v>
      </c>
      <c r="B1905" s="8" t="n">
        <v>46183</v>
      </c>
      <c r="C1905" s="2" t="s">
        <v>150</v>
      </c>
      <c r="D1905" s="3" t="str">
        <f aca="false">INDEX(Vendedores!$C$2:$C$101,MATCH(C1905,Vendedores!$A$2:$A$101,0))</f>
        <v>L06</v>
      </c>
      <c r="E1905" s="3" t="str">
        <f aca="false">INDEX(Lojas!$E$2:$E$11,MATCH(D1905,Lojas!$A$2:$A$11,0))</f>
        <v>Sul</v>
      </c>
      <c r="F1905" s="2" t="s">
        <v>270</v>
      </c>
      <c r="G1905" s="3" t="str">
        <f aca="false">INDEX(Produtos!$B$2:$B$11,MATCH(F1905,Produtos!$A$2:$A$11,0))&amp;" "&amp;INDEX(Produtos!$C$2:$C$11,MATCH(F1905,Produtos!$A$2:$A$11,0))</f>
        <v>Controle de Videogame Xbox</v>
      </c>
      <c r="H1905" s="2" t="n">
        <v>1</v>
      </c>
      <c r="I1905" s="5" t="n">
        <f aca="false">INDEX(Produtos!$D$2:$D$11,MATCH(F1905,Produtos!$A$2:$A$11,0))</f>
        <v>349.9</v>
      </c>
      <c r="J1905" s="5" t="n">
        <f aca="false">H1905*I1905</f>
        <v>349.9</v>
      </c>
      <c r="K1905" s="5" t="n">
        <f aca="false">INDEX(Produtos!$E$2:$E$11,MATCH(F1905,Produtos!$A$2:$A$11,0))</f>
        <v>215</v>
      </c>
      <c r="L1905" s="5" t="n">
        <f aca="false">H1905*K1905</f>
        <v>215</v>
      </c>
    </row>
    <row r="1906" customFormat="false" ht="15" hidden="false" customHeight="false" outlineLevel="0" collapsed="false">
      <c r="A1906" s="2" t="s">
        <v>2188</v>
      </c>
      <c r="B1906" s="8" t="n">
        <v>46183</v>
      </c>
      <c r="C1906" s="2" t="s">
        <v>129</v>
      </c>
      <c r="D1906" s="3" t="str">
        <f aca="false">INDEX(Vendedores!$C$2:$C$101,MATCH(C1906,Vendedores!$A$2:$A$101,0))</f>
        <v>L05</v>
      </c>
      <c r="E1906" s="3" t="str">
        <f aca="false">INDEX(Lojas!$E$2:$E$11,MATCH(D1906,Lojas!$A$2:$A$11,0))</f>
        <v>Sul</v>
      </c>
      <c r="F1906" s="2" t="s">
        <v>273</v>
      </c>
      <c r="G1906" s="3" t="str">
        <f aca="false">INDEX(Produtos!$B$2:$B$11,MATCH(F1906,Produtos!$A$2:$A$11,0))&amp;" "&amp;INDEX(Produtos!$C$2:$C$11,MATCH(F1906,Produtos!$A$2:$A$11,0))</f>
        <v>Controle de Videogame PS4</v>
      </c>
      <c r="H1906" s="2" t="n">
        <v>1</v>
      </c>
      <c r="I1906" s="5" t="n">
        <f aca="false">INDEX(Produtos!$D$2:$D$11,MATCH(F1906,Produtos!$A$2:$A$11,0))</f>
        <v>299.9</v>
      </c>
      <c r="J1906" s="5" t="n">
        <f aca="false">H1906*I1906</f>
        <v>299.9</v>
      </c>
      <c r="K1906" s="5" t="n">
        <f aca="false">INDEX(Produtos!$E$2:$E$11,MATCH(F1906,Produtos!$A$2:$A$11,0))</f>
        <v>175</v>
      </c>
      <c r="L1906" s="5" t="n">
        <f aca="false">H1906*K1906</f>
        <v>175</v>
      </c>
    </row>
    <row r="1907" customFormat="false" ht="15" hidden="false" customHeight="false" outlineLevel="0" collapsed="false">
      <c r="A1907" s="2" t="s">
        <v>2189</v>
      </c>
      <c r="B1907" s="8" t="n">
        <v>46183</v>
      </c>
      <c r="C1907" s="2" t="s">
        <v>221</v>
      </c>
      <c r="D1907" s="3" t="str">
        <f aca="false">INDEX(Vendedores!$C$2:$C$101,MATCH(C1907,Vendedores!$A$2:$A$101,0))</f>
        <v>L09</v>
      </c>
      <c r="E1907" s="3" t="str">
        <f aca="false">INDEX(Lojas!$E$2:$E$11,MATCH(D1907,Lojas!$A$2:$A$11,0))</f>
        <v>Nordeste</v>
      </c>
      <c r="F1907" s="2" t="s">
        <v>267</v>
      </c>
      <c r="G1907" s="3" t="str">
        <f aca="false">INDEX(Produtos!$B$2:$B$11,MATCH(F1907,Produtos!$A$2:$A$11,0))&amp;" "&amp;INDEX(Produtos!$C$2:$C$11,MATCH(F1907,Produtos!$A$2:$A$11,0))</f>
        <v>Carregador de Celular Tipo C</v>
      </c>
      <c r="H1907" s="2" t="n">
        <v>3</v>
      </c>
      <c r="I1907" s="5" t="n">
        <f aca="false">INDEX(Produtos!$D$2:$D$11,MATCH(F1907,Produtos!$A$2:$A$11,0))</f>
        <v>44.9</v>
      </c>
      <c r="J1907" s="5" t="n">
        <f aca="false">H1907*I1907</f>
        <v>134.7</v>
      </c>
      <c r="K1907" s="5" t="n">
        <f aca="false">INDEX(Produtos!$E$2:$E$11,MATCH(F1907,Produtos!$A$2:$A$11,0))</f>
        <v>18</v>
      </c>
      <c r="L1907" s="5" t="n">
        <f aca="false">H1907*K1907</f>
        <v>54</v>
      </c>
    </row>
    <row r="1908" customFormat="false" ht="15" hidden="false" customHeight="false" outlineLevel="0" collapsed="false">
      <c r="A1908" s="2" t="s">
        <v>2190</v>
      </c>
      <c r="B1908" s="8" t="n">
        <v>46183</v>
      </c>
      <c r="C1908" s="2" t="s">
        <v>133</v>
      </c>
      <c r="D1908" s="3" t="str">
        <f aca="false">INDEX(Vendedores!$C$2:$C$101,MATCH(C1908,Vendedores!$A$2:$A$101,0))</f>
        <v>L05</v>
      </c>
      <c r="E1908" s="3" t="str">
        <f aca="false">INDEX(Lojas!$E$2:$E$11,MATCH(D1908,Lojas!$A$2:$A$11,0))</f>
        <v>Sul</v>
      </c>
      <c r="F1908" s="2" t="s">
        <v>275</v>
      </c>
      <c r="G1908" s="3" t="str">
        <f aca="false">INDEX(Produtos!$B$2:$B$11,MATCH(F1908,Produtos!$A$2:$A$11,0))&amp;" "&amp;INDEX(Produtos!$C$2:$C$11,MATCH(F1908,Produtos!$A$2:$A$11,0))</f>
        <v>Controle de Videogame PS5</v>
      </c>
      <c r="H1908" s="2" t="n">
        <v>1</v>
      </c>
      <c r="I1908" s="5" t="n">
        <f aca="false">INDEX(Produtos!$D$2:$D$11,MATCH(F1908,Produtos!$A$2:$A$11,0))</f>
        <v>379.9</v>
      </c>
      <c r="J1908" s="5" t="n">
        <f aca="false">H1908*I1908</f>
        <v>379.9</v>
      </c>
      <c r="K1908" s="5" t="n">
        <f aca="false">INDEX(Produtos!$E$2:$E$11,MATCH(F1908,Produtos!$A$2:$A$11,0))</f>
        <v>235</v>
      </c>
      <c r="L1908" s="5" t="n">
        <f aca="false">H1908*K1908</f>
        <v>235</v>
      </c>
    </row>
    <row r="1909" customFormat="false" ht="15" hidden="false" customHeight="false" outlineLevel="0" collapsed="false">
      <c r="A1909" s="2" t="s">
        <v>2191</v>
      </c>
      <c r="B1909" s="8" t="n">
        <v>46183</v>
      </c>
      <c r="C1909" s="2" t="s">
        <v>164</v>
      </c>
      <c r="D1909" s="3" t="str">
        <f aca="false">INDEX(Vendedores!$C$2:$C$101,MATCH(C1909,Vendedores!$A$2:$A$101,0))</f>
        <v>L06</v>
      </c>
      <c r="E1909" s="3" t="str">
        <f aca="false">INDEX(Lojas!$E$2:$E$11,MATCH(D1909,Lojas!$A$2:$A$11,0))</f>
        <v>Sul</v>
      </c>
      <c r="F1909" s="2" t="s">
        <v>262</v>
      </c>
      <c r="G1909" s="3" t="str">
        <f aca="false">INDEX(Produtos!$B$2:$B$11,MATCH(F1909,Produtos!$A$2:$A$11,0))&amp;" "&amp;INDEX(Produtos!$C$2:$C$11,MATCH(F1909,Produtos!$A$2:$A$11,0))</f>
        <v>Fone de Ouvido De Celular</v>
      </c>
      <c r="H1909" s="2" t="n">
        <v>1</v>
      </c>
      <c r="I1909" s="5" t="n">
        <f aca="false">INDEX(Produtos!$D$2:$D$11,MATCH(F1909,Produtos!$A$2:$A$11,0))</f>
        <v>59.9</v>
      </c>
      <c r="J1909" s="5" t="n">
        <f aca="false">H1909*I1909</f>
        <v>59.9</v>
      </c>
      <c r="K1909" s="5" t="n">
        <f aca="false">INDEX(Produtos!$E$2:$E$11,MATCH(F1909,Produtos!$A$2:$A$11,0))</f>
        <v>28</v>
      </c>
      <c r="L1909" s="5" t="n">
        <f aca="false">H1909*K1909</f>
        <v>28</v>
      </c>
    </row>
    <row r="1910" customFormat="false" ht="15" hidden="false" customHeight="false" outlineLevel="0" collapsed="false">
      <c r="A1910" s="2" t="s">
        <v>2192</v>
      </c>
      <c r="B1910" s="8" t="n">
        <v>46184</v>
      </c>
      <c r="C1910" s="2" t="s">
        <v>170</v>
      </c>
      <c r="D1910" s="3" t="str">
        <f aca="false">INDEX(Vendedores!$C$2:$C$101,MATCH(C1910,Vendedores!$A$2:$A$101,0))</f>
        <v>L07</v>
      </c>
      <c r="E1910" s="3" t="str">
        <f aca="false">INDEX(Lojas!$E$2:$E$11,MATCH(D1910,Lojas!$A$2:$A$11,0))</f>
        <v>Sul</v>
      </c>
      <c r="F1910" s="2" t="s">
        <v>262</v>
      </c>
      <c r="G1910" s="3" t="str">
        <f aca="false">INDEX(Produtos!$B$2:$B$11,MATCH(F1910,Produtos!$A$2:$A$11,0))&amp;" "&amp;INDEX(Produtos!$C$2:$C$11,MATCH(F1910,Produtos!$A$2:$A$11,0))</f>
        <v>Fone de Ouvido De Celular</v>
      </c>
      <c r="H1910" s="2" t="n">
        <v>1</v>
      </c>
      <c r="I1910" s="5" t="n">
        <f aca="false">INDEX(Produtos!$D$2:$D$11,MATCH(F1910,Produtos!$A$2:$A$11,0))</f>
        <v>59.9</v>
      </c>
      <c r="J1910" s="5" t="n">
        <f aca="false">H1910*I1910</f>
        <v>59.9</v>
      </c>
      <c r="K1910" s="5" t="n">
        <f aca="false">INDEX(Produtos!$E$2:$E$11,MATCH(F1910,Produtos!$A$2:$A$11,0))</f>
        <v>28</v>
      </c>
      <c r="L1910" s="5" t="n">
        <f aca="false">H1910*K1910</f>
        <v>28</v>
      </c>
    </row>
    <row r="1911" customFormat="false" ht="15" hidden="false" customHeight="false" outlineLevel="0" collapsed="false">
      <c r="A1911" s="2" t="s">
        <v>2193</v>
      </c>
      <c r="B1911" s="8" t="n">
        <v>46184</v>
      </c>
      <c r="C1911" s="2" t="s">
        <v>195</v>
      </c>
      <c r="D1911" s="3" t="str">
        <f aca="false">INDEX(Vendedores!$C$2:$C$101,MATCH(C1911,Vendedores!$A$2:$A$101,0))</f>
        <v>L08</v>
      </c>
      <c r="E1911" s="3" t="str">
        <f aca="false">INDEX(Lojas!$E$2:$E$11,MATCH(D1911,Lojas!$A$2:$A$11,0))</f>
        <v>Nordeste</v>
      </c>
      <c r="F1911" s="2" t="s">
        <v>267</v>
      </c>
      <c r="G1911" s="3" t="str">
        <f aca="false">INDEX(Produtos!$B$2:$B$11,MATCH(F1911,Produtos!$A$2:$A$11,0))&amp;" "&amp;INDEX(Produtos!$C$2:$C$11,MATCH(F1911,Produtos!$A$2:$A$11,0))</f>
        <v>Carregador de Celular Tipo C</v>
      </c>
      <c r="H1911" s="2" t="n">
        <v>2</v>
      </c>
      <c r="I1911" s="5" t="n">
        <f aca="false">INDEX(Produtos!$D$2:$D$11,MATCH(F1911,Produtos!$A$2:$A$11,0))</f>
        <v>44.9</v>
      </c>
      <c r="J1911" s="5" t="n">
        <f aca="false">H1911*I1911</f>
        <v>89.8</v>
      </c>
      <c r="K1911" s="5" t="n">
        <f aca="false">INDEX(Produtos!$E$2:$E$11,MATCH(F1911,Produtos!$A$2:$A$11,0))</f>
        <v>18</v>
      </c>
      <c r="L1911" s="5" t="n">
        <f aca="false">H1911*K1911</f>
        <v>36</v>
      </c>
    </row>
    <row r="1912" customFormat="false" ht="15" hidden="false" customHeight="false" outlineLevel="0" collapsed="false">
      <c r="A1912" s="2" t="s">
        <v>2194</v>
      </c>
      <c r="B1912" s="8" t="n">
        <v>46184</v>
      </c>
      <c r="C1912" s="2" t="s">
        <v>120</v>
      </c>
      <c r="D1912" s="3" t="str">
        <f aca="false">INDEX(Vendedores!$C$2:$C$101,MATCH(C1912,Vendedores!$A$2:$A$101,0))</f>
        <v>L04</v>
      </c>
      <c r="E1912" s="3" t="str">
        <f aca="false">INDEX(Lojas!$E$2:$E$11,MATCH(D1912,Lojas!$A$2:$A$11,0))</f>
        <v>Sudeste</v>
      </c>
      <c r="F1912" s="2" t="s">
        <v>265</v>
      </c>
      <c r="G1912" s="3" t="str">
        <f aca="false">INDEX(Produtos!$B$2:$B$11,MATCH(F1912,Produtos!$A$2:$A$11,0))&amp;" "&amp;INDEX(Produtos!$C$2:$C$11,MATCH(F1912,Produtos!$A$2:$A$11,0))</f>
        <v>Fone de Ouvido Headset</v>
      </c>
      <c r="H1912" s="2" t="n">
        <v>1</v>
      </c>
      <c r="I1912" s="5" t="n">
        <f aca="false">INDEX(Produtos!$D$2:$D$11,MATCH(F1912,Produtos!$A$2:$A$11,0))</f>
        <v>249.9</v>
      </c>
      <c r="J1912" s="5" t="n">
        <f aca="false">H1912*I1912</f>
        <v>249.9</v>
      </c>
      <c r="K1912" s="5" t="n">
        <f aca="false">INDEX(Produtos!$E$2:$E$11,MATCH(F1912,Produtos!$A$2:$A$11,0))</f>
        <v>145</v>
      </c>
      <c r="L1912" s="5" t="n">
        <f aca="false">H1912*K1912</f>
        <v>145</v>
      </c>
    </row>
    <row r="1913" customFormat="false" ht="15" hidden="false" customHeight="false" outlineLevel="0" collapsed="false">
      <c r="A1913" s="2" t="s">
        <v>2195</v>
      </c>
      <c r="B1913" s="8" t="n">
        <v>46184</v>
      </c>
      <c r="C1913" s="2" t="s">
        <v>213</v>
      </c>
      <c r="D1913" s="3" t="str">
        <f aca="false">INDEX(Vendedores!$C$2:$C$101,MATCH(C1913,Vendedores!$A$2:$A$101,0))</f>
        <v>L09</v>
      </c>
      <c r="E1913" s="3" t="str">
        <f aca="false">INDEX(Lojas!$E$2:$E$11,MATCH(D1913,Lojas!$A$2:$A$11,0))</f>
        <v>Nordeste</v>
      </c>
      <c r="F1913" s="2" t="s">
        <v>267</v>
      </c>
      <c r="G1913" s="3" t="str">
        <f aca="false">INDEX(Produtos!$B$2:$B$11,MATCH(F1913,Produtos!$A$2:$A$11,0))&amp;" "&amp;INDEX(Produtos!$C$2:$C$11,MATCH(F1913,Produtos!$A$2:$A$11,0))</f>
        <v>Carregador de Celular Tipo C</v>
      </c>
      <c r="H1913" s="2" t="n">
        <v>2</v>
      </c>
      <c r="I1913" s="5" t="n">
        <f aca="false">INDEX(Produtos!$D$2:$D$11,MATCH(F1913,Produtos!$A$2:$A$11,0))</f>
        <v>44.9</v>
      </c>
      <c r="J1913" s="5" t="n">
        <f aca="false">H1913*I1913</f>
        <v>89.8</v>
      </c>
      <c r="K1913" s="5" t="n">
        <f aca="false">INDEX(Produtos!$E$2:$E$11,MATCH(F1913,Produtos!$A$2:$A$11,0))</f>
        <v>18</v>
      </c>
      <c r="L1913" s="5" t="n">
        <f aca="false">H1913*K1913</f>
        <v>36</v>
      </c>
    </row>
    <row r="1914" customFormat="false" ht="15" hidden="false" customHeight="false" outlineLevel="0" collapsed="false">
      <c r="A1914" s="2" t="s">
        <v>2196</v>
      </c>
      <c r="B1914" s="8" t="n">
        <v>46184</v>
      </c>
      <c r="C1914" s="2" t="s">
        <v>133</v>
      </c>
      <c r="D1914" s="3" t="str">
        <f aca="false">INDEX(Vendedores!$C$2:$C$101,MATCH(C1914,Vendedores!$A$2:$A$101,0))</f>
        <v>L05</v>
      </c>
      <c r="E1914" s="3" t="str">
        <f aca="false">INDEX(Lojas!$E$2:$E$11,MATCH(D1914,Lojas!$A$2:$A$11,0))</f>
        <v>Sul</v>
      </c>
      <c r="F1914" s="2" t="s">
        <v>270</v>
      </c>
      <c r="G1914" s="3" t="str">
        <f aca="false">INDEX(Produtos!$B$2:$B$11,MATCH(F1914,Produtos!$A$2:$A$11,0))&amp;" "&amp;INDEX(Produtos!$C$2:$C$11,MATCH(F1914,Produtos!$A$2:$A$11,0))</f>
        <v>Controle de Videogame Xbox</v>
      </c>
      <c r="H1914" s="2" t="n">
        <v>1</v>
      </c>
      <c r="I1914" s="5" t="n">
        <f aca="false">INDEX(Produtos!$D$2:$D$11,MATCH(F1914,Produtos!$A$2:$A$11,0))</f>
        <v>349.9</v>
      </c>
      <c r="J1914" s="5" t="n">
        <f aca="false">H1914*I1914</f>
        <v>349.9</v>
      </c>
      <c r="K1914" s="5" t="n">
        <f aca="false">INDEX(Produtos!$E$2:$E$11,MATCH(F1914,Produtos!$A$2:$A$11,0))</f>
        <v>215</v>
      </c>
      <c r="L1914" s="5" t="n">
        <f aca="false">H1914*K1914</f>
        <v>215</v>
      </c>
    </row>
    <row r="1915" customFormat="false" ht="15" hidden="false" customHeight="false" outlineLevel="0" collapsed="false">
      <c r="A1915" s="2" t="s">
        <v>2197</v>
      </c>
      <c r="B1915" s="8" t="n">
        <v>46184</v>
      </c>
      <c r="C1915" s="2" t="s">
        <v>66</v>
      </c>
      <c r="D1915" s="3" t="str">
        <f aca="false">INDEX(Vendedores!$C$2:$C$101,MATCH(C1915,Vendedores!$A$2:$A$101,0))</f>
        <v>L01</v>
      </c>
      <c r="E1915" s="3" t="str">
        <f aca="false">INDEX(Lojas!$E$2:$E$11,MATCH(D1915,Lojas!$A$2:$A$11,0))</f>
        <v>Sudeste</v>
      </c>
      <c r="F1915" s="2" t="s">
        <v>260</v>
      </c>
      <c r="G1915" s="3" t="str">
        <f aca="false">INDEX(Produtos!$B$2:$B$11,MATCH(F1915,Produtos!$A$2:$A$11,0))&amp;" "&amp;INDEX(Produtos!$C$2:$C$11,MATCH(F1915,Produtos!$A$2:$A$11,0))</f>
        <v>Celular Motorola</v>
      </c>
      <c r="H1915" s="2" t="n">
        <v>1</v>
      </c>
      <c r="I1915" s="5" t="n">
        <f aca="false">INDEX(Produtos!$D$2:$D$11,MATCH(F1915,Produtos!$A$2:$A$11,0))</f>
        <v>1799</v>
      </c>
      <c r="J1915" s="5" t="n">
        <f aca="false">H1915*I1915</f>
        <v>1799</v>
      </c>
      <c r="K1915" s="5" t="n">
        <f aca="false">INDEX(Produtos!$E$2:$E$11,MATCH(F1915,Produtos!$A$2:$A$11,0))</f>
        <v>1250</v>
      </c>
      <c r="L1915" s="5" t="n">
        <f aca="false">H1915*K1915</f>
        <v>1250</v>
      </c>
    </row>
    <row r="1916" customFormat="false" ht="15" hidden="false" customHeight="false" outlineLevel="0" collapsed="false">
      <c r="A1916" s="2" t="s">
        <v>2198</v>
      </c>
      <c r="B1916" s="8" t="n">
        <v>46184</v>
      </c>
      <c r="C1916" s="2" t="s">
        <v>62</v>
      </c>
      <c r="D1916" s="3" t="str">
        <f aca="false">INDEX(Vendedores!$C$2:$C$101,MATCH(C1916,Vendedores!$A$2:$A$101,0))</f>
        <v>L01</v>
      </c>
      <c r="E1916" s="3" t="str">
        <f aca="false">INDEX(Lojas!$E$2:$E$11,MATCH(D1916,Lojas!$A$2:$A$11,0))</f>
        <v>Sudeste</v>
      </c>
      <c r="F1916" s="2" t="s">
        <v>270</v>
      </c>
      <c r="G1916" s="3" t="str">
        <f aca="false">INDEX(Produtos!$B$2:$B$11,MATCH(F1916,Produtos!$A$2:$A$11,0))&amp;" "&amp;INDEX(Produtos!$C$2:$C$11,MATCH(F1916,Produtos!$A$2:$A$11,0))</f>
        <v>Controle de Videogame Xbox</v>
      </c>
      <c r="H1916" s="2" t="n">
        <v>1</v>
      </c>
      <c r="I1916" s="5" t="n">
        <f aca="false">INDEX(Produtos!$D$2:$D$11,MATCH(F1916,Produtos!$A$2:$A$11,0))</f>
        <v>349.9</v>
      </c>
      <c r="J1916" s="5" t="n">
        <f aca="false">H1916*I1916</f>
        <v>349.9</v>
      </c>
      <c r="K1916" s="5" t="n">
        <f aca="false">INDEX(Produtos!$E$2:$E$11,MATCH(F1916,Produtos!$A$2:$A$11,0))</f>
        <v>215</v>
      </c>
      <c r="L1916" s="5" t="n">
        <f aca="false">H1916*K1916</f>
        <v>215</v>
      </c>
    </row>
    <row r="1917" customFormat="false" ht="15" hidden="false" customHeight="false" outlineLevel="0" collapsed="false">
      <c r="A1917" s="2" t="s">
        <v>2199</v>
      </c>
      <c r="B1917" s="8" t="n">
        <v>46184</v>
      </c>
      <c r="C1917" s="2" t="s">
        <v>150</v>
      </c>
      <c r="D1917" s="3" t="str">
        <f aca="false">INDEX(Vendedores!$C$2:$C$101,MATCH(C1917,Vendedores!$A$2:$A$101,0))</f>
        <v>L06</v>
      </c>
      <c r="E1917" s="3" t="str">
        <f aca="false">INDEX(Lojas!$E$2:$E$11,MATCH(D1917,Lojas!$A$2:$A$11,0))</f>
        <v>Sul</v>
      </c>
      <c r="F1917" s="2" t="s">
        <v>275</v>
      </c>
      <c r="G1917" s="3" t="str">
        <f aca="false">INDEX(Produtos!$B$2:$B$11,MATCH(F1917,Produtos!$A$2:$A$11,0))&amp;" "&amp;INDEX(Produtos!$C$2:$C$11,MATCH(F1917,Produtos!$A$2:$A$11,0))</f>
        <v>Controle de Videogame PS5</v>
      </c>
      <c r="H1917" s="2" t="n">
        <v>1</v>
      </c>
      <c r="I1917" s="5" t="n">
        <f aca="false">INDEX(Produtos!$D$2:$D$11,MATCH(F1917,Produtos!$A$2:$A$11,0))</f>
        <v>379.9</v>
      </c>
      <c r="J1917" s="5" t="n">
        <f aca="false">H1917*I1917</f>
        <v>379.9</v>
      </c>
      <c r="K1917" s="5" t="n">
        <f aca="false">INDEX(Produtos!$E$2:$E$11,MATCH(F1917,Produtos!$A$2:$A$11,0))</f>
        <v>235</v>
      </c>
      <c r="L1917" s="5" t="n">
        <f aca="false">H1917*K1917</f>
        <v>235</v>
      </c>
    </row>
    <row r="1918" customFormat="false" ht="15" hidden="false" customHeight="false" outlineLevel="0" collapsed="false">
      <c r="A1918" s="2" t="s">
        <v>2200</v>
      </c>
      <c r="B1918" s="8" t="n">
        <v>46184</v>
      </c>
      <c r="C1918" s="2" t="s">
        <v>131</v>
      </c>
      <c r="D1918" s="3" t="str">
        <f aca="false">INDEX(Vendedores!$C$2:$C$101,MATCH(C1918,Vendedores!$A$2:$A$101,0))</f>
        <v>L05</v>
      </c>
      <c r="E1918" s="3" t="str">
        <f aca="false">INDEX(Lojas!$E$2:$E$11,MATCH(D1918,Lojas!$A$2:$A$11,0))</f>
        <v>Sul</v>
      </c>
      <c r="F1918" s="2" t="s">
        <v>270</v>
      </c>
      <c r="G1918" s="3" t="str">
        <f aca="false">INDEX(Produtos!$B$2:$B$11,MATCH(F1918,Produtos!$A$2:$A$11,0))&amp;" "&amp;INDEX(Produtos!$C$2:$C$11,MATCH(F1918,Produtos!$A$2:$A$11,0))</f>
        <v>Controle de Videogame Xbox</v>
      </c>
      <c r="H1918" s="2" t="n">
        <v>1</v>
      </c>
      <c r="I1918" s="5" t="n">
        <f aca="false">INDEX(Produtos!$D$2:$D$11,MATCH(F1918,Produtos!$A$2:$A$11,0))</f>
        <v>349.9</v>
      </c>
      <c r="J1918" s="5" t="n">
        <f aca="false">H1918*I1918</f>
        <v>349.9</v>
      </c>
      <c r="K1918" s="5" t="n">
        <f aca="false">INDEX(Produtos!$E$2:$E$11,MATCH(F1918,Produtos!$A$2:$A$11,0))</f>
        <v>215</v>
      </c>
      <c r="L1918" s="5" t="n">
        <f aca="false">H1918*K1918</f>
        <v>215</v>
      </c>
    </row>
    <row r="1919" customFormat="false" ht="15" hidden="false" customHeight="false" outlineLevel="0" collapsed="false">
      <c r="A1919" s="2" t="s">
        <v>2201</v>
      </c>
      <c r="B1919" s="8" t="n">
        <v>46185</v>
      </c>
      <c r="C1919" s="2" t="s">
        <v>133</v>
      </c>
      <c r="D1919" s="3" t="str">
        <f aca="false">INDEX(Vendedores!$C$2:$C$101,MATCH(C1919,Vendedores!$A$2:$A$101,0))</f>
        <v>L05</v>
      </c>
      <c r="E1919" s="3" t="str">
        <f aca="false">INDEX(Lojas!$E$2:$E$11,MATCH(D1919,Lojas!$A$2:$A$11,0))</f>
        <v>Sul</v>
      </c>
      <c r="F1919" s="2" t="s">
        <v>275</v>
      </c>
      <c r="G1919" s="3" t="str">
        <f aca="false">INDEX(Produtos!$B$2:$B$11,MATCH(F1919,Produtos!$A$2:$A$11,0))&amp;" "&amp;INDEX(Produtos!$C$2:$C$11,MATCH(F1919,Produtos!$A$2:$A$11,0))</f>
        <v>Controle de Videogame PS5</v>
      </c>
      <c r="H1919" s="2" t="n">
        <v>1</v>
      </c>
      <c r="I1919" s="5" t="n">
        <f aca="false">INDEX(Produtos!$D$2:$D$11,MATCH(F1919,Produtos!$A$2:$A$11,0))</f>
        <v>379.9</v>
      </c>
      <c r="J1919" s="5" t="n">
        <f aca="false">H1919*I1919</f>
        <v>379.9</v>
      </c>
      <c r="K1919" s="5" t="n">
        <f aca="false">INDEX(Produtos!$E$2:$E$11,MATCH(F1919,Produtos!$A$2:$A$11,0))</f>
        <v>235</v>
      </c>
      <c r="L1919" s="5" t="n">
        <f aca="false">H1919*K1919</f>
        <v>235</v>
      </c>
    </row>
    <row r="1920" customFormat="false" ht="15" hidden="false" customHeight="false" outlineLevel="0" collapsed="false">
      <c r="A1920" s="2" t="s">
        <v>2202</v>
      </c>
      <c r="B1920" s="8" t="n">
        <v>46185</v>
      </c>
      <c r="C1920" s="2" t="s">
        <v>187</v>
      </c>
      <c r="D1920" s="3" t="str">
        <f aca="false">INDEX(Vendedores!$C$2:$C$101,MATCH(C1920,Vendedores!$A$2:$A$101,0))</f>
        <v>L08</v>
      </c>
      <c r="E1920" s="3" t="str">
        <f aca="false">INDEX(Lojas!$E$2:$E$11,MATCH(D1920,Lojas!$A$2:$A$11,0))</f>
        <v>Nordeste</v>
      </c>
      <c r="F1920" s="2" t="s">
        <v>257</v>
      </c>
      <c r="G1920" s="3" t="str">
        <f aca="false">INDEX(Produtos!$B$2:$B$11,MATCH(F1920,Produtos!$A$2:$A$11,0))&amp;" "&amp;INDEX(Produtos!$C$2:$C$11,MATCH(F1920,Produtos!$A$2:$A$11,0))</f>
        <v>Celular Samsung</v>
      </c>
      <c r="H1920" s="2" t="n">
        <v>1</v>
      </c>
      <c r="I1920" s="5" t="n">
        <f aca="false">INDEX(Produtos!$D$2:$D$11,MATCH(F1920,Produtos!$A$2:$A$11,0))</f>
        <v>2499</v>
      </c>
      <c r="J1920" s="5" t="n">
        <f aca="false">H1920*I1920</f>
        <v>2499</v>
      </c>
      <c r="K1920" s="5" t="n">
        <f aca="false">INDEX(Produtos!$E$2:$E$11,MATCH(F1920,Produtos!$A$2:$A$11,0))</f>
        <v>1800</v>
      </c>
      <c r="L1920" s="5" t="n">
        <f aca="false">H1920*K1920</f>
        <v>1800</v>
      </c>
    </row>
    <row r="1921" customFormat="false" ht="15" hidden="false" customHeight="false" outlineLevel="0" collapsed="false">
      <c r="A1921" s="2" t="s">
        <v>2203</v>
      </c>
      <c r="B1921" s="8" t="n">
        <v>46185</v>
      </c>
      <c r="C1921" s="2" t="s">
        <v>178</v>
      </c>
      <c r="D1921" s="3" t="str">
        <f aca="false">INDEX(Vendedores!$C$2:$C$101,MATCH(C1921,Vendedores!$A$2:$A$101,0))</f>
        <v>L07</v>
      </c>
      <c r="E1921" s="3" t="str">
        <f aca="false">INDEX(Lojas!$E$2:$E$11,MATCH(D1921,Lojas!$A$2:$A$11,0))</f>
        <v>Sul</v>
      </c>
      <c r="F1921" s="2" t="s">
        <v>260</v>
      </c>
      <c r="G1921" s="3" t="str">
        <f aca="false">INDEX(Produtos!$B$2:$B$11,MATCH(F1921,Produtos!$A$2:$A$11,0))&amp;" "&amp;INDEX(Produtos!$C$2:$C$11,MATCH(F1921,Produtos!$A$2:$A$11,0))</f>
        <v>Celular Motorola</v>
      </c>
      <c r="H1921" s="2" t="n">
        <v>1</v>
      </c>
      <c r="I1921" s="5" t="n">
        <f aca="false">INDEX(Produtos!$D$2:$D$11,MATCH(F1921,Produtos!$A$2:$A$11,0))</f>
        <v>1799</v>
      </c>
      <c r="J1921" s="5" t="n">
        <f aca="false">H1921*I1921</f>
        <v>1799</v>
      </c>
      <c r="K1921" s="5" t="n">
        <f aca="false">INDEX(Produtos!$E$2:$E$11,MATCH(F1921,Produtos!$A$2:$A$11,0))</f>
        <v>1250</v>
      </c>
      <c r="L1921" s="5" t="n">
        <f aca="false">H1921*K1921</f>
        <v>1250</v>
      </c>
    </row>
    <row r="1922" customFormat="false" ht="15" hidden="false" customHeight="false" outlineLevel="0" collapsed="false">
      <c r="A1922" s="2" t="s">
        <v>2204</v>
      </c>
      <c r="B1922" s="8" t="n">
        <v>46185</v>
      </c>
      <c r="C1922" s="2" t="s">
        <v>179</v>
      </c>
      <c r="D1922" s="3" t="str">
        <f aca="false">INDEX(Vendedores!$C$2:$C$101,MATCH(C1922,Vendedores!$A$2:$A$101,0))</f>
        <v>L07</v>
      </c>
      <c r="E1922" s="3" t="str">
        <f aca="false">INDEX(Lojas!$E$2:$E$11,MATCH(D1922,Lojas!$A$2:$A$11,0))</f>
        <v>Sul</v>
      </c>
      <c r="F1922" s="2" t="s">
        <v>262</v>
      </c>
      <c r="G1922" s="3" t="str">
        <f aca="false">INDEX(Produtos!$B$2:$B$11,MATCH(F1922,Produtos!$A$2:$A$11,0))&amp;" "&amp;INDEX(Produtos!$C$2:$C$11,MATCH(F1922,Produtos!$A$2:$A$11,0))</f>
        <v>Fone de Ouvido De Celular</v>
      </c>
      <c r="H1922" s="2" t="n">
        <v>3</v>
      </c>
      <c r="I1922" s="5" t="n">
        <f aca="false">INDEX(Produtos!$D$2:$D$11,MATCH(F1922,Produtos!$A$2:$A$11,0))</f>
        <v>59.9</v>
      </c>
      <c r="J1922" s="5" t="n">
        <f aca="false">H1922*I1922</f>
        <v>179.7</v>
      </c>
      <c r="K1922" s="5" t="n">
        <f aca="false">INDEX(Produtos!$E$2:$E$11,MATCH(F1922,Produtos!$A$2:$A$11,0))</f>
        <v>28</v>
      </c>
      <c r="L1922" s="5" t="n">
        <f aca="false">H1922*K1922</f>
        <v>84</v>
      </c>
    </row>
    <row r="1923" customFormat="false" ht="15" hidden="false" customHeight="false" outlineLevel="0" collapsed="false">
      <c r="A1923" s="2" t="s">
        <v>2205</v>
      </c>
      <c r="B1923" s="8" t="n">
        <v>46185</v>
      </c>
      <c r="C1923" s="2" t="s">
        <v>152</v>
      </c>
      <c r="D1923" s="3" t="str">
        <f aca="false">INDEX(Vendedores!$C$2:$C$101,MATCH(C1923,Vendedores!$A$2:$A$101,0))</f>
        <v>L06</v>
      </c>
      <c r="E1923" s="3" t="str">
        <f aca="false">INDEX(Lojas!$E$2:$E$11,MATCH(D1923,Lojas!$A$2:$A$11,0))</f>
        <v>Sul</v>
      </c>
      <c r="F1923" s="2" t="s">
        <v>267</v>
      </c>
      <c r="G1923" s="3" t="str">
        <f aca="false">INDEX(Produtos!$B$2:$B$11,MATCH(F1923,Produtos!$A$2:$A$11,0))&amp;" "&amp;INDEX(Produtos!$C$2:$C$11,MATCH(F1923,Produtos!$A$2:$A$11,0))</f>
        <v>Carregador de Celular Tipo C</v>
      </c>
      <c r="H1923" s="2" t="n">
        <v>2</v>
      </c>
      <c r="I1923" s="5" t="n">
        <f aca="false">INDEX(Produtos!$D$2:$D$11,MATCH(F1923,Produtos!$A$2:$A$11,0))</f>
        <v>44.9</v>
      </c>
      <c r="J1923" s="5" t="n">
        <f aca="false">H1923*I1923</f>
        <v>89.8</v>
      </c>
      <c r="K1923" s="5" t="n">
        <f aca="false">INDEX(Produtos!$E$2:$E$11,MATCH(F1923,Produtos!$A$2:$A$11,0))</f>
        <v>18</v>
      </c>
      <c r="L1923" s="5" t="n">
        <f aca="false">H1923*K1923</f>
        <v>36</v>
      </c>
    </row>
    <row r="1924" customFormat="false" ht="15" hidden="false" customHeight="false" outlineLevel="0" collapsed="false">
      <c r="A1924" s="2" t="s">
        <v>2206</v>
      </c>
      <c r="B1924" s="8" t="n">
        <v>46185</v>
      </c>
      <c r="C1924" s="2" t="s">
        <v>124</v>
      </c>
      <c r="D1924" s="3" t="str">
        <f aca="false">INDEX(Vendedores!$C$2:$C$101,MATCH(C1924,Vendedores!$A$2:$A$101,0))</f>
        <v>L04</v>
      </c>
      <c r="E1924" s="3" t="str">
        <f aca="false">INDEX(Lojas!$E$2:$E$11,MATCH(D1924,Lojas!$A$2:$A$11,0))</f>
        <v>Sudeste</v>
      </c>
      <c r="F1924" s="2" t="s">
        <v>270</v>
      </c>
      <c r="G1924" s="3" t="str">
        <f aca="false">INDEX(Produtos!$B$2:$B$11,MATCH(F1924,Produtos!$A$2:$A$11,0))&amp;" "&amp;INDEX(Produtos!$C$2:$C$11,MATCH(F1924,Produtos!$A$2:$A$11,0))</f>
        <v>Controle de Videogame Xbox</v>
      </c>
      <c r="H1924" s="2" t="n">
        <v>2</v>
      </c>
      <c r="I1924" s="5" t="n">
        <f aca="false">INDEX(Produtos!$D$2:$D$11,MATCH(F1924,Produtos!$A$2:$A$11,0))</f>
        <v>349.9</v>
      </c>
      <c r="J1924" s="5" t="n">
        <f aca="false">H1924*I1924</f>
        <v>699.8</v>
      </c>
      <c r="K1924" s="5" t="n">
        <f aca="false">INDEX(Produtos!$E$2:$E$11,MATCH(F1924,Produtos!$A$2:$A$11,0))</f>
        <v>215</v>
      </c>
      <c r="L1924" s="5" t="n">
        <f aca="false">H1924*K1924</f>
        <v>430</v>
      </c>
    </row>
    <row r="1925" customFormat="false" ht="15" hidden="false" customHeight="false" outlineLevel="0" collapsed="false">
      <c r="A1925" s="2" t="s">
        <v>2207</v>
      </c>
      <c r="B1925" s="8" t="n">
        <v>46185</v>
      </c>
      <c r="C1925" s="2" t="s">
        <v>191</v>
      </c>
      <c r="D1925" s="3" t="str">
        <f aca="false">INDEX(Vendedores!$C$2:$C$101,MATCH(C1925,Vendedores!$A$2:$A$101,0))</f>
        <v>L08</v>
      </c>
      <c r="E1925" s="3" t="str">
        <f aca="false">INDEX(Lojas!$E$2:$E$11,MATCH(D1925,Lojas!$A$2:$A$11,0))</f>
        <v>Nordeste</v>
      </c>
      <c r="F1925" s="2" t="s">
        <v>255</v>
      </c>
      <c r="G1925" s="3" t="str">
        <f aca="false">INDEX(Produtos!$B$2:$B$11,MATCH(F1925,Produtos!$A$2:$A$11,0))&amp;" "&amp;INDEX(Produtos!$C$2:$C$11,MATCH(F1925,Produtos!$A$2:$A$11,0))</f>
        <v>Notebook Positivo</v>
      </c>
      <c r="H1925" s="2" t="n">
        <v>1</v>
      </c>
      <c r="I1925" s="5" t="n">
        <f aca="false">INDEX(Produtos!$D$2:$D$11,MATCH(F1925,Produtos!$A$2:$A$11,0))</f>
        <v>2199</v>
      </c>
      <c r="J1925" s="5" t="n">
        <f aca="false">H1925*I1925</f>
        <v>2199</v>
      </c>
      <c r="K1925" s="5" t="n">
        <f aca="false">INDEX(Produtos!$E$2:$E$11,MATCH(F1925,Produtos!$A$2:$A$11,0))</f>
        <v>1550</v>
      </c>
      <c r="L1925" s="5" t="n">
        <f aca="false">H1925*K1925</f>
        <v>1550</v>
      </c>
    </row>
    <row r="1926" customFormat="false" ht="15" hidden="false" customHeight="false" outlineLevel="0" collapsed="false">
      <c r="A1926" s="2" t="s">
        <v>2208</v>
      </c>
      <c r="B1926" s="8" t="n">
        <v>46185</v>
      </c>
      <c r="C1926" s="2" t="s">
        <v>102</v>
      </c>
      <c r="D1926" s="3" t="str">
        <f aca="false">INDEX(Vendedores!$C$2:$C$101,MATCH(C1926,Vendedores!$A$2:$A$101,0))</f>
        <v>L03</v>
      </c>
      <c r="E1926" s="3" t="str">
        <f aca="false">INDEX(Lojas!$E$2:$E$11,MATCH(D1926,Lojas!$A$2:$A$11,0))</f>
        <v>Sudeste</v>
      </c>
      <c r="F1926" s="2" t="s">
        <v>273</v>
      </c>
      <c r="G1926" s="3" t="str">
        <f aca="false">INDEX(Produtos!$B$2:$B$11,MATCH(F1926,Produtos!$A$2:$A$11,0))&amp;" "&amp;INDEX(Produtos!$C$2:$C$11,MATCH(F1926,Produtos!$A$2:$A$11,0))</f>
        <v>Controle de Videogame PS4</v>
      </c>
      <c r="H1926" s="2" t="n">
        <v>2</v>
      </c>
      <c r="I1926" s="5" t="n">
        <f aca="false">INDEX(Produtos!$D$2:$D$11,MATCH(F1926,Produtos!$A$2:$A$11,0))</f>
        <v>299.9</v>
      </c>
      <c r="J1926" s="5" t="n">
        <f aca="false">H1926*I1926</f>
        <v>599.8</v>
      </c>
      <c r="K1926" s="5" t="n">
        <f aca="false">INDEX(Produtos!$E$2:$E$11,MATCH(F1926,Produtos!$A$2:$A$11,0))</f>
        <v>175</v>
      </c>
      <c r="L1926" s="5" t="n">
        <f aca="false">H1926*K1926</f>
        <v>350</v>
      </c>
    </row>
    <row r="1927" customFormat="false" ht="15" hidden="false" customHeight="false" outlineLevel="0" collapsed="false">
      <c r="A1927" s="2" t="s">
        <v>2209</v>
      </c>
      <c r="B1927" s="8" t="n">
        <v>46185</v>
      </c>
      <c r="C1927" s="2" t="s">
        <v>148</v>
      </c>
      <c r="D1927" s="3" t="str">
        <f aca="false">INDEX(Vendedores!$C$2:$C$101,MATCH(C1927,Vendedores!$A$2:$A$101,0))</f>
        <v>L06</v>
      </c>
      <c r="E1927" s="3" t="str">
        <f aca="false">INDEX(Lojas!$E$2:$E$11,MATCH(D1927,Lojas!$A$2:$A$11,0))</f>
        <v>Sul</v>
      </c>
      <c r="F1927" s="2" t="s">
        <v>275</v>
      </c>
      <c r="G1927" s="3" t="str">
        <f aca="false">INDEX(Produtos!$B$2:$B$11,MATCH(F1927,Produtos!$A$2:$A$11,0))&amp;" "&amp;INDEX(Produtos!$C$2:$C$11,MATCH(F1927,Produtos!$A$2:$A$11,0))</f>
        <v>Controle de Videogame PS5</v>
      </c>
      <c r="H1927" s="2" t="n">
        <v>1</v>
      </c>
      <c r="I1927" s="5" t="n">
        <f aca="false">INDEX(Produtos!$D$2:$D$11,MATCH(F1927,Produtos!$A$2:$A$11,0))</f>
        <v>379.9</v>
      </c>
      <c r="J1927" s="5" t="n">
        <f aca="false">H1927*I1927</f>
        <v>379.9</v>
      </c>
      <c r="K1927" s="5" t="n">
        <f aca="false">INDEX(Produtos!$E$2:$E$11,MATCH(F1927,Produtos!$A$2:$A$11,0))</f>
        <v>235</v>
      </c>
      <c r="L1927" s="5" t="n">
        <f aca="false">H1927*K1927</f>
        <v>235</v>
      </c>
    </row>
    <row r="1928" customFormat="false" ht="15" hidden="false" customHeight="false" outlineLevel="0" collapsed="false">
      <c r="A1928" s="2" t="s">
        <v>2210</v>
      </c>
      <c r="B1928" s="8" t="n">
        <v>46186</v>
      </c>
      <c r="C1928" s="2" t="s">
        <v>179</v>
      </c>
      <c r="D1928" s="3" t="str">
        <f aca="false">INDEX(Vendedores!$C$2:$C$101,MATCH(C1928,Vendedores!$A$2:$A$101,0))</f>
        <v>L07</v>
      </c>
      <c r="E1928" s="3" t="str">
        <f aca="false">INDEX(Lojas!$E$2:$E$11,MATCH(D1928,Lojas!$A$2:$A$11,0))</f>
        <v>Sul</v>
      </c>
      <c r="F1928" s="2" t="s">
        <v>252</v>
      </c>
      <c r="G1928" s="3" t="str">
        <f aca="false">INDEX(Produtos!$B$2:$B$11,MATCH(F1928,Produtos!$A$2:$A$11,0))&amp;" "&amp;INDEX(Produtos!$C$2:$C$11,MATCH(F1928,Produtos!$A$2:$A$11,0))</f>
        <v>Notebook Lenovo</v>
      </c>
      <c r="H1928" s="2" t="n">
        <v>1</v>
      </c>
      <c r="I1928" s="5" t="n">
        <f aca="false">INDEX(Produtos!$D$2:$D$11,MATCH(F1928,Produtos!$A$2:$A$11,0))</f>
        <v>3199</v>
      </c>
      <c r="J1928" s="5" t="n">
        <f aca="false">H1928*I1928</f>
        <v>3199</v>
      </c>
      <c r="K1928" s="5" t="n">
        <f aca="false">INDEX(Produtos!$E$2:$E$11,MATCH(F1928,Produtos!$A$2:$A$11,0))</f>
        <v>2350</v>
      </c>
      <c r="L1928" s="5" t="n">
        <f aca="false">H1928*K1928</f>
        <v>2350</v>
      </c>
    </row>
    <row r="1929" customFormat="false" ht="15" hidden="false" customHeight="false" outlineLevel="0" collapsed="false">
      <c r="A1929" s="2" t="s">
        <v>2211</v>
      </c>
      <c r="B1929" s="8" t="n">
        <v>46186</v>
      </c>
      <c r="C1929" s="2" t="s">
        <v>70</v>
      </c>
      <c r="D1929" s="3" t="str">
        <f aca="false">INDEX(Vendedores!$C$2:$C$101,MATCH(C1929,Vendedores!$A$2:$A$101,0))</f>
        <v>L02</v>
      </c>
      <c r="E1929" s="3" t="str">
        <f aca="false">INDEX(Lojas!$E$2:$E$11,MATCH(D1929,Lojas!$A$2:$A$11,0))</f>
        <v>Sudeste</v>
      </c>
      <c r="F1929" s="2" t="s">
        <v>262</v>
      </c>
      <c r="G1929" s="3" t="str">
        <f aca="false">INDEX(Produtos!$B$2:$B$11,MATCH(F1929,Produtos!$A$2:$A$11,0))&amp;" "&amp;INDEX(Produtos!$C$2:$C$11,MATCH(F1929,Produtos!$A$2:$A$11,0))</f>
        <v>Fone de Ouvido De Celular</v>
      </c>
      <c r="H1929" s="2" t="n">
        <v>1</v>
      </c>
      <c r="I1929" s="5" t="n">
        <f aca="false">INDEX(Produtos!$D$2:$D$11,MATCH(F1929,Produtos!$A$2:$A$11,0))</f>
        <v>59.9</v>
      </c>
      <c r="J1929" s="5" t="n">
        <f aca="false">H1929*I1929</f>
        <v>59.9</v>
      </c>
      <c r="K1929" s="5" t="n">
        <f aca="false">INDEX(Produtos!$E$2:$E$11,MATCH(F1929,Produtos!$A$2:$A$11,0))</f>
        <v>28</v>
      </c>
      <c r="L1929" s="5" t="n">
        <f aca="false">H1929*K1929</f>
        <v>28</v>
      </c>
    </row>
    <row r="1930" customFormat="false" ht="15" hidden="false" customHeight="false" outlineLevel="0" collapsed="false">
      <c r="A1930" s="2" t="s">
        <v>2212</v>
      </c>
      <c r="B1930" s="8" t="n">
        <v>46186</v>
      </c>
      <c r="C1930" s="2" t="s">
        <v>237</v>
      </c>
      <c r="D1930" s="3" t="str">
        <f aca="false">INDEX(Vendedores!$C$2:$C$101,MATCH(C1930,Vendedores!$A$2:$A$101,0))</f>
        <v>L10</v>
      </c>
      <c r="E1930" s="3" t="str">
        <f aca="false">INDEX(Lojas!$E$2:$E$11,MATCH(D1930,Lojas!$A$2:$A$11,0))</f>
        <v>Nordeste</v>
      </c>
      <c r="F1930" s="2" t="s">
        <v>267</v>
      </c>
      <c r="G1930" s="3" t="str">
        <f aca="false">INDEX(Produtos!$B$2:$B$11,MATCH(F1930,Produtos!$A$2:$A$11,0))&amp;" "&amp;INDEX(Produtos!$C$2:$C$11,MATCH(F1930,Produtos!$A$2:$A$11,0))</f>
        <v>Carregador de Celular Tipo C</v>
      </c>
      <c r="H1930" s="2" t="n">
        <v>2</v>
      </c>
      <c r="I1930" s="5" t="n">
        <f aca="false">INDEX(Produtos!$D$2:$D$11,MATCH(F1930,Produtos!$A$2:$A$11,0))</f>
        <v>44.9</v>
      </c>
      <c r="J1930" s="5" t="n">
        <f aca="false">H1930*I1930</f>
        <v>89.8</v>
      </c>
      <c r="K1930" s="5" t="n">
        <f aca="false">INDEX(Produtos!$E$2:$E$11,MATCH(F1930,Produtos!$A$2:$A$11,0))</f>
        <v>18</v>
      </c>
      <c r="L1930" s="5" t="n">
        <f aca="false">H1930*K1930</f>
        <v>36</v>
      </c>
    </row>
    <row r="1931" customFormat="false" ht="15" hidden="false" customHeight="false" outlineLevel="0" collapsed="false">
      <c r="A1931" s="2" t="s">
        <v>2213</v>
      </c>
      <c r="B1931" s="8" t="n">
        <v>46186</v>
      </c>
      <c r="C1931" s="2" t="s">
        <v>217</v>
      </c>
      <c r="D1931" s="3" t="str">
        <f aca="false">INDEX(Vendedores!$C$2:$C$101,MATCH(C1931,Vendedores!$A$2:$A$101,0))</f>
        <v>L09</v>
      </c>
      <c r="E1931" s="3" t="str">
        <f aca="false">INDEX(Lojas!$E$2:$E$11,MATCH(D1931,Lojas!$A$2:$A$11,0))</f>
        <v>Nordeste</v>
      </c>
      <c r="F1931" s="2" t="s">
        <v>260</v>
      </c>
      <c r="G1931" s="3" t="str">
        <f aca="false">INDEX(Produtos!$B$2:$B$11,MATCH(F1931,Produtos!$A$2:$A$11,0))&amp;" "&amp;INDEX(Produtos!$C$2:$C$11,MATCH(F1931,Produtos!$A$2:$A$11,0))</f>
        <v>Celular Motorola</v>
      </c>
      <c r="H1931" s="2" t="n">
        <v>1</v>
      </c>
      <c r="I1931" s="5" t="n">
        <f aca="false">INDEX(Produtos!$D$2:$D$11,MATCH(F1931,Produtos!$A$2:$A$11,0))</f>
        <v>1799</v>
      </c>
      <c r="J1931" s="5" t="n">
        <f aca="false">H1931*I1931</f>
        <v>1799</v>
      </c>
      <c r="K1931" s="5" t="n">
        <f aca="false">INDEX(Produtos!$E$2:$E$11,MATCH(F1931,Produtos!$A$2:$A$11,0))</f>
        <v>1250</v>
      </c>
      <c r="L1931" s="5" t="n">
        <f aca="false">H1931*K1931</f>
        <v>1250</v>
      </c>
    </row>
    <row r="1932" customFormat="false" ht="15" hidden="false" customHeight="false" outlineLevel="0" collapsed="false">
      <c r="A1932" s="2" t="s">
        <v>2214</v>
      </c>
      <c r="B1932" s="8" t="n">
        <v>46186</v>
      </c>
      <c r="C1932" s="2" t="s">
        <v>166</v>
      </c>
      <c r="D1932" s="3" t="str">
        <f aca="false">INDEX(Vendedores!$C$2:$C$101,MATCH(C1932,Vendedores!$A$2:$A$101,0))</f>
        <v>L06</v>
      </c>
      <c r="E1932" s="3" t="str">
        <f aca="false">INDEX(Lojas!$E$2:$E$11,MATCH(D1932,Lojas!$A$2:$A$11,0))</f>
        <v>Sul</v>
      </c>
      <c r="F1932" s="2" t="s">
        <v>260</v>
      </c>
      <c r="G1932" s="3" t="str">
        <f aca="false">INDEX(Produtos!$B$2:$B$11,MATCH(F1932,Produtos!$A$2:$A$11,0))&amp;" "&amp;INDEX(Produtos!$C$2:$C$11,MATCH(F1932,Produtos!$A$2:$A$11,0))</f>
        <v>Celular Motorola</v>
      </c>
      <c r="H1932" s="2" t="n">
        <v>1</v>
      </c>
      <c r="I1932" s="5" t="n">
        <f aca="false">INDEX(Produtos!$D$2:$D$11,MATCH(F1932,Produtos!$A$2:$A$11,0))</f>
        <v>1799</v>
      </c>
      <c r="J1932" s="5" t="n">
        <f aca="false">H1932*I1932</f>
        <v>1799</v>
      </c>
      <c r="K1932" s="5" t="n">
        <f aca="false">INDEX(Produtos!$E$2:$E$11,MATCH(F1932,Produtos!$A$2:$A$11,0))</f>
        <v>1250</v>
      </c>
      <c r="L1932" s="5" t="n">
        <f aca="false">H1932*K1932</f>
        <v>1250</v>
      </c>
    </row>
    <row r="1933" customFormat="false" ht="15" hidden="false" customHeight="false" outlineLevel="0" collapsed="false">
      <c r="A1933" s="2" t="s">
        <v>2215</v>
      </c>
      <c r="B1933" s="8" t="n">
        <v>46186</v>
      </c>
      <c r="C1933" s="2" t="s">
        <v>166</v>
      </c>
      <c r="D1933" s="3" t="str">
        <f aca="false">INDEX(Vendedores!$C$2:$C$101,MATCH(C1933,Vendedores!$A$2:$A$101,0))</f>
        <v>L06</v>
      </c>
      <c r="E1933" s="3" t="str">
        <f aca="false">INDEX(Lojas!$E$2:$E$11,MATCH(D1933,Lojas!$A$2:$A$11,0))</f>
        <v>Sul</v>
      </c>
      <c r="F1933" s="2" t="s">
        <v>262</v>
      </c>
      <c r="G1933" s="3" t="str">
        <f aca="false">INDEX(Produtos!$B$2:$B$11,MATCH(F1933,Produtos!$A$2:$A$11,0))&amp;" "&amp;INDEX(Produtos!$C$2:$C$11,MATCH(F1933,Produtos!$A$2:$A$11,0))</f>
        <v>Fone de Ouvido De Celular</v>
      </c>
      <c r="H1933" s="2" t="n">
        <v>1</v>
      </c>
      <c r="I1933" s="5" t="n">
        <f aca="false">INDEX(Produtos!$D$2:$D$11,MATCH(F1933,Produtos!$A$2:$A$11,0))</f>
        <v>59.9</v>
      </c>
      <c r="J1933" s="5" t="n">
        <f aca="false">H1933*I1933</f>
        <v>59.9</v>
      </c>
      <c r="K1933" s="5" t="n">
        <f aca="false">INDEX(Produtos!$E$2:$E$11,MATCH(F1933,Produtos!$A$2:$A$11,0))</f>
        <v>28</v>
      </c>
      <c r="L1933" s="5" t="n">
        <f aca="false">H1933*K1933</f>
        <v>28</v>
      </c>
    </row>
    <row r="1934" customFormat="false" ht="15" hidden="false" customHeight="false" outlineLevel="0" collapsed="false">
      <c r="A1934" s="2" t="s">
        <v>2216</v>
      </c>
      <c r="B1934" s="8" t="n">
        <v>46186</v>
      </c>
      <c r="C1934" s="2" t="s">
        <v>168</v>
      </c>
      <c r="D1934" s="3" t="str">
        <f aca="false">INDEX(Vendedores!$C$2:$C$101,MATCH(C1934,Vendedores!$A$2:$A$101,0))</f>
        <v>L07</v>
      </c>
      <c r="E1934" s="3" t="str">
        <f aca="false">INDEX(Lojas!$E$2:$E$11,MATCH(D1934,Lojas!$A$2:$A$11,0))</f>
        <v>Sul</v>
      </c>
      <c r="F1934" s="2" t="s">
        <v>270</v>
      </c>
      <c r="G1934" s="3" t="str">
        <f aca="false">INDEX(Produtos!$B$2:$B$11,MATCH(F1934,Produtos!$A$2:$A$11,0))&amp;" "&amp;INDEX(Produtos!$C$2:$C$11,MATCH(F1934,Produtos!$A$2:$A$11,0))</f>
        <v>Controle de Videogame Xbox</v>
      </c>
      <c r="H1934" s="2" t="n">
        <v>1</v>
      </c>
      <c r="I1934" s="5" t="n">
        <f aca="false">INDEX(Produtos!$D$2:$D$11,MATCH(F1934,Produtos!$A$2:$A$11,0))</f>
        <v>349.9</v>
      </c>
      <c r="J1934" s="5" t="n">
        <f aca="false">H1934*I1934</f>
        <v>349.9</v>
      </c>
      <c r="K1934" s="5" t="n">
        <f aca="false">INDEX(Produtos!$E$2:$E$11,MATCH(F1934,Produtos!$A$2:$A$11,0))</f>
        <v>215</v>
      </c>
      <c r="L1934" s="5" t="n">
        <f aca="false">H1934*K1934</f>
        <v>215</v>
      </c>
    </row>
    <row r="1935" customFormat="false" ht="15" hidden="false" customHeight="false" outlineLevel="0" collapsed="false">
      <c r="A1935" s="2" t="s">
        <v>2217</v>
      </c>
      <c r="B1935" s="8" t="n">
        <v>46186</v>
      </c>
      <c r="C1935" s="2" t="s">
        <v>137</v>
      </c>
      <c r="D1935" s="3" t="str">
        <f aca="false">INDEX(Vendedores!$C$2:$C$101,MATCH(C1935,Vendedores!$A$2:$A$101,0))</f>
        <v>L05</v>
      </c>
      <c r="E1935" s="3" t="str">
        <f aca="false">INDEX(Lojas!$E$2:$E$11,MATCH(D1935,Lojas!$A$2:$A$11,0))</f>
        <v>Sul</v>
      </c>
      <c r="F1935" s="2" t="s">
        <v>252</v>
      </c>
      <c r="G1935" s="3" t="str">
        <f aca="false">INDEX(Produtos!$B$2:$B$11,MATCH(F1935,Produtos!$A$2:$A$11,0))&amp;" "&amp;INDEX(Produtos!$C$2:$C$11,MATCH(F1935,Produtos!$A$2:$A$11,0))</f>
        <v>Notebook Lenovo</v>
      </c>
      <c r="H1935" s="2" t="n">
        <v>2</v>
      </c>
      <c r="I1935" s="5" t="n">
        <f aca="false">INDEX(Produtos!$D$2:$D$11,MATCH(F1935,Produtos!$A$2:$A$11,0))</f>
        <v>3199</v>
      </c>
      <c r="J1935" s="5" t="n">
        <f aca="false">H1935*I1935</f>
        <v>6398</v>
      </c>
      <c r="K1935" s="5" t="n">
        <f aca="false">INDEX(Produtos!$E$2:$E$11,MATCH(F1935,Produtos!$A$2:$A$11,0))</f>
        <v>2350</v>
      </c>
      <c r="L1935" s="5" t="n">
        <f aca="false">H1935*K1935</f>
        <v>4700</v>
      </c>
    </row>
    <row r="1936" customFormat="false" ht="15" hidden="false" customHeight="false" outlineLevel="0" collapsed="false">
      <c r="A1936" s="2" t="s">
        <v>2218</v>
      </c>
      <c r="B1936" s="8" t="n">
        <v>46186</v>
      </c>
      <c r="C1936" s="2" t="s">
        <v>120</v>
      </c>
      <c r="D1936" s="3" t="str">
        <f aca="false">INDEX(Vendedores!$C$2:$C$101,MATCH(C1936,Vendedores!$A$2:$A$101,0))</f>
        <v>L04</v>
      </c>
      <c r="E1936" s="3" t="str">
        <f aca="false">INDEX(Lojas!$E$2:$E$11,MATCH(D1936,Lojas!$A$2:$A$11,0))</f>
        <v>Sudeste</v>
      </c>
      <c r="F1936" s="2" t="s">
        <v>257</v>
      </c>
      <c r="G1936" s="3" t="str">
        <f aca="false">INDEX(Produtos!$B$2:$B$11,MATCH(F1936,Produtos!$A$2:$A$11,0))&amp;" "&amp;INDEX(Produtos!$C$2:$C$11,MATCH(F1936,Produtos!$A$2:$A$11,0))</f>
        <v>Celular Samsung</v>
      </c>
      <c r="H1936" s="2" t="n">
        <v>1</v>
      </c>
      <c r="I1936" s="5" t="n">
        <f aca="false">INDEX(Produtos!$D$2:$D$11,MATCH(F1936,Produtos!$A$2:$A$11,0))</f>
        <v>2499</v>
      </c>
      <c r="J1936" s="5" t="n">
        <f aca="false">H1936*I1936</f>
        <v>2499</v>
      </c>
      <c r="K1936" s="5" t="n">
        <f aca="false">INDEX(Produtos!$E$2:$E$11,MATCH(F1936,Produtos!$A$2:$A$11,0))</f>
        <v>1800</v>
      </c>
      <c r="L1936" s="5" t="n">
        <f aca="false">H1936*K1936</f>
        <v>1800</v>
      </c>
    </row>
    <row r="1937" customFormat="false" ht="15" hidden="false" customHeight="false" outlineLevel="0" collapsed="false">
      <c r="A1937" s="2" t="s">
        <v>2219</v>
      </c>
      <c r="B1937" s="8" t="n">
        <v>46186</v>
      </c>
      <c r="C1937" s="2" t="s">
        <v>122</v>
      </c>
      <c r="D1937" s="3" t="str">
        <f aca="false">INDEX(Vendedores!$C$2:$C$101,MATCH(C1937,Vendedores!$A$2:$A$101,0))</f>
        <v>L04</v>
      </c>
      <c r="E1937" s="3" t="str">
        <f aca="false">INDEX(Lojas!$E$2:$E$11,MATCH(D1937,Lojas!$A$2:$A$11,0))</f>
        <v>Sudeste</v>
      </c>
      <c r="F1937" s="2" t="s">
        <v>265</v>
      </c>
      <c r="G1937" s="3" t="str">
        <f aca="false">INDEX(Produtos!$B$2:$B$11,MATCH(F1937,Produtos!$A$2:$A$11,0))&amp;" "&amp;INDEX(Produtos!$C$2:$C$11,MATCH(F1937,Produtos!$A$2:$A$11,0))</f>
        <v>Fone de Ouvido Headset</v>
      </c>
      <c r="H1937" s="2" t="n">
        <v>1</v>
      </c>
      <c r="I1937" s="5" t="n">
        <f aca="false">INDEX(Produtos!$D$2:$D$11,MATCH(F1937,Produtos!$A$2:$A$11,0))</f>
        <v>249.9</v>
      </c>
      <c r="J1937" s="5" t="n">
        <f aca="false">H1937*I1937</f>
        <v>249.9</v>
      </c>
      <c r="K1937" s="5" t="n">
        <f aca="false">INDEX(Produtos!$E$2:$E$11,MATCH(F1937,Produtos!$A$2:$A$11,0))</f>
        <v>145</v>
      </c>
      <c r="L1937" s="5" t="n">
        <f aca="false">H1937*K1937</f>
        <v>145</v>
      </c>
    </row>
    <row r="1938" customFormat="false" ht="15" hidden="false" customHeight="false" outlineLevel="0" collapsed="false">
      <c r="A1938" s="2" t="s">
        <v>2220</v>
      </c>
      <c r="B1938" s="8" t="n">
        <v>46186</v>
      </c>
      <c r="C1938" s="2" t="s">
        <v>229</v>
      </c>
      <c r="D1938" s="3" t="str">
        <f aca="false">INDEX(Vendedores!$C$2:$C$101,MATCH(C1938,Vendedores!$A$2:$A$101,0))</f>
        <v>L10</v>
      </c>
      <c r="E1938" s="3" t="str">
        <f aca="false">INDEX(Lojas!$E$2:$E$11,MATCH(D1938,Lojas!$A$2:$A$11,0))</f>
        <v>Nordeste</v>
      </c>
      <c r="F1938" s="2" t="s">
        <v>255</v>
      </c>
      <c r="G1938" s="3" t="str">
        <f aca="false">INDEX(Produtos!$B$2:$B$11,MATCH(F1938,Produtos!$A$2:$A$11,0))&amp;" "&amp;INDEX(Produtos!$C$2:$C$11,MATCH(F1938,Produtos!$A$2:$A$11,0))</f>
        <v>Notebook Positivo</v>
      </c>
      <c r="H1938" s="2" t="n">
        <v>1</v>
      </c>
      <c r="I1938" s="5" t="n">
        <f aca="false">INDEX(Produtos!$D$2:$D$11,MATCH(F1938,Produtos!$A$2:$A$11,0))</f>
        <v>2199</v>
      </c>
      <c r="J1938" s="5" t="n">
        <f aca="false">H1938*I1938</f>
        <v>2199</v>
      </c>
      <c r="K1938" s="5" t="n">
        <f aca="false">INDEX(Produtos!$E$2:$E$11,MATCH(F1938,Produtos!$A$2:$A$11,0))</f>
        <v>1550</v>
      </c>
      <c r="L1938" s="5" t="n">
        <f aca="false">H1938*K1938</f>
        <v>1550</v>
      </c>
    </row>
    <row r="1939" customFormat="false" ht="15" hidden="false" customHeight="false" outlineLevel="0" collapsed="false">
      <c r="A1939" s="2" t="s">
        <v>2221</v>
      </c>
      <c r="B1939" s="8" t="n">
        <v>46186</v>
      </c>
      <c r="C1939" s="2" t="s">
        <v>138</v>
      </c>
      <c r="D1939" s="3" t="str">
        <f aca="false">INDEX(Vendedores!$C$2:$C$101,MATCH(C1939,Vendedores!$A$2:$A$101,0))</f>
        <v>L05</v>
      </c>
      <c r="E1939" s="3" t="str">
        <f aca="false">INDEX(Lojas!$E$2:$E$11,MATCH(D1939,Lojas!$A$2:$A$11,0))</f>
        <v>Sul</v>
      </c>
      <c r="F1939" s="2" t="s">
        <v>270</v>
      </c>
      <c r="G1939" s="3" t="str">
        <f aca="false">INDEX(Produtos!$B$2:$B$11,MATCH(F1939,Produtos!$A$2:$A$11,0))&amp;" "&amp;INDEX(Produtos!$C$2:$C$11,MATCH(F1939,Produtos!$A$2:$A$11,0))</f>
        <v>Controle de Videogame Xbox</v>
      </c>
      <c r="H1939" s="2" t="n">
        <v>3</v>
      </c>
      <c r="I1939" s="5" t="n">
        <f aca="false">INDEX(Produtos!$D$2:$D$11,MATCH(F1939,Produtos!$A$2:$A$11,0))</f>
        <v>349.9</v>
      </c>
      <c r="J1939" s="5" t="n">
        <f aca="false">H1939*I1939</f>
        <v>1049.7</v>
      </c>
      <c r="K1939" s="5" t="n">
        <f aca="false">INDEX(Produtos!$E$2:$E$11,MATCH(F1939,Produtos!$A$2:$A$11,0))</f>
        <v>215</v>
      </c>
      <c r="L1939" s="5" t="n">
        <f aca="false">H1939*K1939</f>
        <v>645</v>
      </c>
    </row>
    <row r="1940" customFormat="false" ht="15" hidden="false" customHeight="false" outlineLevel="0" collapsed="false">
      <c r="A1940" s="2" t="s">
        <v>2222</v>
      </c>
      <c r="B1940" s="8" t="n">
        <v>46186</v>
      </c>
      <c r="C1940" s="2" t="s">
        <v>70</v>
      </c>
      <c r="D1940" s="3" t="str">
        <f aca="false">INDEX(Vendedores!$C$2:$C$101,MATCH(C1940,Vendedores!$A$2:$A$101,0))</f>
        <v>L02</v>
      </c>
      <c r="E1940" s="3" t="str">
        <f aca="false">INDEX(Lojas!$E$2:$E$11,MATCH(D1940,Lojas!$A$2:$A$11,0))</f>
        <v>Sudeste</v>
      </c>
      <c r="F1940" s="2" t="s">
        <v>267</v>
      </c>
      <c r="G1940" s="3" t="str">
        <f aca="false">INDEX(Produtos!$B$2:$B$11,MATCH(F1940,Produtos!$A$2:$A$11,0))&amp;" "&amp;INDEX(Produtos!$C$2:$C$11,MATCH(F1940,Produtos!$A$2:$A$11,0))</f>
        <v>Carregador de Celular Tipo C</v>
      </c>
      <c r="H1940" s="2" t="n">
        <v>2</v>
      </c>
      <c r="I1940" s="5" t="n">
        <f aca="false">INDEX(Produtos!$D$2:$D$11,MATCH(F1940,Produtos!$A$2:$A$11,0))</f>
        <v>44.9</v>
      </c>
      <c r="J1940" s="5" t="n">
        <f aca="false">H1940*I1940</f>
        <v>89.8</v>
      </c>
      <c r="K1940" s="5" t="n">
        <f aca="false">INDEX(Produtos!$E$2:$E$11,MATCH(F1940,Produtos!$A$2:$A$11,0))</f>
        <v>18</v>
      </c>
      <c r="L1940" s="5" t="n">
        <f aca="false">H1940*K1940</f>
        <v>36</v>
      </c>
    </row>
    <row r="1941" customFormat="false" ht="15" hidden="false" customHeight="false" outlineLevel="0" collapsed="false">
      <c r="A1941" s="2" t="s">
        <v>2223</v>
      </c>
      <c r="B1941" s="8" t="n">
        <v>46187</v>
      </c>
      <c r="C1941" s="2" t="s">
        <v>166</v>
      </c>
      <c r="D1941" s="3" t="str">
        <f aca="false">INDEX(Vendedores!$C$2:$C$101,MATCH(C1941,Vendedores!$A$2:$A$101,0))</f>
        <v>L06</v>
      </c>
      <c r="E1941" s="3" t="str">
        <f aca="false">INDEX(Lojas!$E$2:$E$11,MATCH(D1941,Lojas!$A$2:$A$11,0))</f>
        <v>Sul</v>
      </c>
      <c r="F1941" s="2" t="s">
        <v>270</v>
      </c>
      <c r="G1941" s="3" t="str">
        <f aca="false">INDEX(Produtos!$B$2:$B$11,MATCH(F1941,Produtos!$A$2:$A$11,0))&amp;" "&amp;INDEX(Produtos!$C$2:$C$11,MATCH(F1941,Produtos!$A$2:$A$11,0))</f>
        <v>Controle de Videogame Xbox</v>
      </c>
      <c r="H1941" s="2" t="n">
        <v>1</v>
      </c>
      <c r="I1941" s="5" t="n">
        <f aca="false">INDEX(Produtos!$D$2:$D$11,MATCH(F1941,Produtos!$A$2:$A$11,0))</f>
        <v>349.9</v>
      </c>
      <c r="J1941" s="5" t="n">
        <f aca="false">H1941*I1941</f>
        <v>349.9</v>
      </c>
      <c r="K1941" s="5" t="n">
        <f aca="false">INDEX(Produtos!$E$2:$E$11,MATCH(F1941,Produtos!$A$2:$A$11,0))</f>
        <v>215</v>
      </c>
      <c r="L1941" s="5" t="n">
        <f aca="false">H1941*K1941</f>
        <v>215</v>
      </c>
    </row>
    <row r="1942" customFormat="false" ht="15" hidden="false" customHeight="false" outlineLevel="0" collapsed="false">
      <c r="A1942" s="2" t="s">
        <v>2224</v>
      </c>
      <c r="B1942" s="8" t="n">
        <v>46187</v>
      </c>
      <c r="C1942" s="2" t="s">
        <v>66</v>
      </c>
      <c r="D1942" s="3" t="str">
        <f aca="false">INDEX(Vendedores!$C$2:$C$101,MATCH(C1942,Vendedores!$A$2:$A$101,0))</f>
        <v>L01</v>
      </c>
      <c r="E1942" s="3" t="str">
        <f aca="false">INDEX(Lojas!$E$2:$E$11,MATCH(D1942,Lojas!$A$2:$A$11,0))</f>
        <v>Sudeste</v>
      </c>
      <c r="F1942" s="2" t="s">
        <v>260</v>
      </c>
      <c r="G1942" s="3" t="str">
        <f aca="false">INDEX(Produtos!$B$2:$B$11,MATCH(F1942,Produtos!$A$2:$A$11,0))&amp;" "&amp;INDEX(Produtos!$C$2:$C$11,MATCH(F1942,Produtos!$A$2:$A$11,0))</f>
        <v>Celular Motorola</v>
      </c>
      <c r="H1942" s="2" t="n">
        <v>3</v>
      </c>
      <c r="I1942" s="5" t="n">
        <f aca="false">INDEX(Produtos!$D$2:$D$11,MATCH(F1942,Produtos!$A$2:$A$11,0))</f>
        <v>1799</v>
      </c>
      <c r="J1942" s="5" t="n">
        <f aca="false">H1942*I1942</f>
        <v>5397</v>
      </c>
      <c r="K1942" s="5" t="n">
        <f aca="false">INDEX(Produtos!$E$2:$E$11,MATCH(F1942,Produtos!$A$2:$A$11,0))</f>
        <v>1250</v>
      </c>
      <c r="L1942" s="5" t="n">
        <f aca="false">H1942*K1942</f>
        <v>3750</v>
      </c>
    </row>
    <row r="1943" customFormat="false" ht="15" hidden="false" customHeight="false" outlineLevel="0" collapsed="false">
      <c r="A1943" s="2" t="s">
        <v>2225</v>
      </c>
      <c r="B1943" s="8" t="n">
        <v>46187</v>
      </c>
      <c r="C1943" s="2" t="s">
        <v>178</v>
      </c>
      <c r="D1943" s="3" t="str">
        <f aca="false">INDEX(Vendedores!$C$2:$C$101,MATCH(C1943,Vendedores!$A$2:$A$101,0))</f>
        <v>L07</v>
      </c>
      <c r="E1943" s="3" t="str">
        <f aca="false">INDEX(Lojas!$E$2:$E$11,MATCH(D1943,Lojas!$A$2:$A$11,0))</f>
        <v>Sul</v>
      </c>
      <c r="F1943" s="2" t="s">
        <v>273</v>
      </c>
      <c r="G1943" s="3" t="str">
        <f aca="false">INDEX(Produtos!$B$2:$B$11,MATCH(F1943,Produtos!$A$2:$A$11,0))&amp;" "&amp;INDEX(Produtos!$C$2:$C$11,MATCH(F1943,Produtos!$A$2:$A$11,0))</f>
        <v>Controle de Videogame PS4</v>
      </c>
      <c r="H1943" s="2" t="n">
        <v>3</v>
      </c>
      <c r="I1943" s="5" t="n">
        <f aca="false">INDEX(Produtos!$D$2:$D$11,MATCH(F1943,Produtos!$A$2:$A$11,0))</f>
        <v>299.9</v>
      </c>
      <c r="J1943" s="5" t="n">
        <f aca="false">H1943*I1943</f>
        <v>899.7</v>
      </c>
      <c r="K1943" s="5" t="n">
        <f aca="false">INDEX(Produtos!$E$2:$E$11,MATCH(F1943,Produtos!$A$2:$A$11,0))</f>
        <v>175</v>
      </c>
      <c r="L1943" s="5" t="n">
        <f aca="false">H1943*K1943</f>
        <v>525</v>
      </c>
    </row>
    <row r="1944" customFormat="false" ht="15" hidden="false" customHeight="false" outlineLevel="0" collapsed="false">
      <c r="A1944" s="2" t="s">
        <v>2226</v>
      </c>
      <c r="B1944" s="8" t="n">
        <v>46187</v>
      </c>
      <c r="C1944" s="2" t="s">
        <v>129</v>
      </c>
      <c r="D1944" s="3" t="str">
        <f aca="false">INDEX(Vendedores!$C$2:$C$101,MATCH(C1944,Vendedores!$A$2:$A$101,0))</f>
        <v>L05</v>
      </c>
      <c r="E1944" s="3" t="str">
        <f aca="false">INDEX(Lojas!$E$2:$E$11,MATCH(D1944,Lojas!$A$2:$A$11,0))</f>
        <v>Sul</v>
      </c>
      <c r="F1944" s="2" t="s">
        <v>262</v>
      </c>
      <c r="G1944" s="3" t="str">
        <f aca="false">INDEX(Produtos!$B$2:$B$11,MATCH(F1944,Produtos!$A$2:$A$11,0))&amp;" "&amp;INDEX(Produtos!$C$2:$C$11,MATCH(F1944,Produtos!$A$2:$A$11,0))</f>
        <v>Fone de Ouvido De Celular</v>
      </c>
      <c r="H1944" s="2" t="n">
        <v>2</v>
      </c>
      <c r="I1944" s="5" t="n">
        <f aca="false">INDEX(Produtos!$D$2:$D$11,MATCH(F1944,Produtos!$A$2:$A$11,0))</f>
        <v>59.9</v>
      </c>
      <c r="J1944" s="5" t="n">
        <f aca="false">H1944*I1944</f>
        <v>119.8</v>
      </c>
      <c r="K1944" s="5" t="n">
        <f aca="false">INDEX(Produtos!$E$2:$E$11,MATCH(F1944,Produtos!$A$2:$A$11,0))</f>
        <v>28</v>
      </c>
      <c r="L1944" s="5" t="n">
        <f aca="false">H1944*K1944</f>
        <v>56</v>
      </c>
    </row>
    <row r="1945" customFormat="false" ht="15" hidden="false" customHeight="false" outlineLevel="0" collapsed="false">
      <c r="A1945" s="2" t="s">
        <v>2227</v>
      </c>
      <c r="B1945" s="8" t="n">
        <v>46187</v>
      </c>
      <c r="C1945" s="2" t="s">
        <v>154</v>
      </c>
      <c r="D1945" s="3" t="str">
        <f aca="false">INDEX(Vendedores!$C$2:$C$101,MATCH(C1945,Vendedores!$A$2:$A$101,0))</f>
        <v>L06</v>
      </c>
      <c r="E1945" s="3" t="str">
        <f aca="false">INDEX(Lojas!$E$2:$E$11,MATCH(D1945,Lojas!$A$2:$A$11,0))</f>
        <v>Sul</v>
      </c>
      <c r="F1945" s="2" t="s">
        <v>267</v>
      </c>
      <c r="G1945" s="3" t="str">
        <f aca="false">INDEX(Produtos!$B$2:$B$11,MATCH(F1945,Produtos!$A$2:$A$11,0))&amp;" "&amp;INDEX(Produtos!$C$2:$C$11,MATCH(F1945,Produtos!$A$2:$A$11,0))</f>
        <v>Carregador de Celular Tipo C</v>
      </c>
      <c r="H1945" s="2" t="n">
        <v>1</v>
      </c>
      <c r="I1945" s="5" t="n">
        <f aca="false">INDEX(Produtos!$D$2:$D$11,MATCH(F1945,Produtos!$A$2:$A$11,0))</f>
        <v>44.9</v>
      </c>
      <c r="J1945" s="5" t="n">
        <f aca="false">H1945*I1945</f>
        <v>44.9</v>
      </c>
      <c r="K1945" s="5" t="n">
        <f aca="false">INDEX(Produtos!$E$2:$E$11,MATCH(F1945,Produtos!$A$2:$A$11,0))</f>
        <v>18</v>
      </c>
      <c r="L1945" s="5" t="n">
        <f aca="false">H1945*K1945</f>
        <v>18</v>
      </c>
    </row>
    <row r="1946" customFormat="false" ht="15" hidden="false" customHeight="false" outlineLevel="0" collapsed="false">
      <c r="A1946" s="2" t="s">
        <v>2228</v>
      </c>
      <c r="B1946" s="8" t="n">
        <v>46187</v>
      </c>
      <c r="C1946" s="2" t="s">
        <v>235</v>
      </c>
      <c r="D1946" s="3" t="str">
        <f aca="false">INDEX(Vendedores!$C$2:$C$101,MATCH(C1946,Vendedores!$A$2:$A$101,0))</f>
        <v>L10</v>
      </c>
      <c r="E1946" s="3" t="str">
        <f aca="false">INDEX(Lojas!$E$2:$E$11,MATCH(D1946,Lojas!$A$2:$A$11,0))</f>
        <v>Nordeste</v>
      </c>
      <c r="F1946" s="2" t="s">
        <v>275</v>
      </c>
      <c r="G1946" s="3" t="str">
        <f aca="false">INDEX(Produtos!$B$2:$B$11,MATCH(F1946,Produtos!$A$2:$A$11,0))&amp;" "&amp;INDEX(Produtos!$C$2:$C$11,MATCH(F1946,Produtos!$A$2:$A$11,0))</f>
        <v>Controle de Videogame PS5</v>
      </c>
      <c r="H1946" s="2" t="n">
        <v>1</v>
      </c>
      <c r="I1946" s="5" t="n">
        <f aca="false">INDEX(Produtos!$D$2:$D$11,MATCH(F1946,Produtos!$A$2:$A$11,0))</f>
        <v>379.9</v>
      </c>
      <c r="J1946" s="5" t="n">
        <f aca="false">H1946*I1946</f>
        <v>379.9</v>
      </c>
      <c r="K1946" s="5" t="n">
        <f aca="false">INDEX(Produtos!$E$2:$E$11,MATCH(F1946,Produtos!$A$2:$A$11,0))</f>
        <v>235</v>
      </c>
      <c r="L1946" s="5" t="n">
        <f aca="false">H1946*K1946</f>
        <v>235</v>
      </c>
    </row>
    <row r="1947" customFormat="false" ht="15" hidden="false" customHeight="false" outlineLevel="0" collapsed="false">
      <c r="A1947" s="2" t="s">
        <v>2229</v>
      </c>
      <c r="B1947" s="8" t="n">
        <v>46187</v>
      </c>
      <c r="C1947" s="2" t="s">
        <v>187</v>
      </c>
      <c r="D1947" s="3" t="str">
        <f aca="false">INDEX(Vendedores!$C$2:$C$101,MATCH(C1947,Vendedores!$A$2:$A$101,0))</f>
        <v>L08</v>
      </c>
      <c r="E1947" s="3" t="str">
        <f aca="false">INDEX(Lojas!$E$2:$E$11,MATCH(D1947,Lojas!$A$2:$A$11,0))</f>
        <v>Nordeste</v>
      </c>
      <c r="F1947" s="2" t="s">
        <v>270</v>
      </c>
      <c r="G1947" s="3" t="str">
        <f aca="false">INDEX(Produtos!$B$2:$B$11,MATCH(F1947,Produtos!$A$2:$A$11,0))&amp;" "&amp;INDEX(Produtos!$C$2:$C$11,MATCH(F1947,Produtos!$A$2:$A$11,0))</f>
        <v>Controle de Videogame Xbox</v>
      </c>
      <c r="H1947" s="2" t="n">
        <v>1</v>
      </c>
      <c r="I1947" s="5" t="n">
        <f aca="false">INDEX(Produtos!$D$2:$D$11,MATCH(F1947,Produtos!$A$2:$A$11,0))</f>
        <v>349.9</v>
      </c>
      <c r="J1947" s="5" t="n">
        <f aca="false">H1947*I1947</f>
        <v>349.9</v>
      </c>
      <c r="K1947" s="5" t="n">
        <f aca="false">INDEX(Produtos!$E$2:$E$11,MATCH(F1947,Produtos!$A$2:$A$11,0))</f>
        <v>215</v>
      </c>
      <c r="L1947" s="5" t="n">
        <f aca="false">H1947*K1947</f>
        <v>215</v>
      </c>
    </row>
    <row r="1948" customFormat="false" ht="15" hidden="false" customHeight="false" outlineLevel="0" collapsed="false">
      <c r="A1948" s="2" t="s">
        <v>2230</v>
      </c>
      <c r="B1948" s="8" t="n">
        <v>46187</v>
      </c>
      <c r="C1948" s="2" t="s">
        <v>231</v>
      </c>
      <c r="D1948" s="3" t="str">
        <f aca="false">INDEX(Vendedores!$C$2:$C$101,MATCH(C1948,Vendedores!$A$2:$A$101,0))</f>
        <v>L10</v>
      </c>
      <c r="E1948" s="3" t="str">
        <f aca="false">INDEX(Lojas!$E$2:$E$11,MATCH(D1948,Lojas!$A$2:$A$11,0))</f>
        <v>Nordeste</v>
      </c>
      <c r="F1948" s="2" t="s">
        <v>260</v>
      </c>
      <c r="G1948" s="3" t="str">
        <f aca="false">INDEX(Produtos!$B$2:$B$11,MATCH(F1948,Produtos!$A$2:$A$11,0))&amp;" "&amp;INDEX(Produtos!$C$2:$C$11,MATCH(F1948,Produtos!$A$2:$A$11,0))</f>
        <v>Celular Motorola</v>
      </c>
      <c r="H1948" s="2" t="n">
        <v>2</v>
      </c>
      <c r="I1948" s="5" t="n">
        <f aca="false">INDEX(Produtos!$D$2:$D$11,MATCH(F1948,Produtos!$A$2:$A$11,0))</f>
        <v>1799</v>
      </c>
      <c r="J1948" s="5" t="n">
        <f aca="false">H1948*I1948</f>
        <v>3598</v>
      </c>
      <c r="K1948" s="5" t="n">
        <f aca="false">INDEX(Produtos!$E$2:$E$11,MATCH(F1948,Produtos!$A$2:$A$11,0))</f>
        <v>1250</v>
      </c>
      <c r="L1948" s="5" t="n">
        <f aca="false">H1948*K1948</f>
        <v>2500</v>
      </c>
    </row>
    <row r="1949" customFormat="false" ht="15" hidden="false" customHeight="false" outlineLevel="0" collapsed="false">
      <c r="A1949" s="2" t="s">
        <v>2231</v>
      </c>
      <c r="B1949" s="8" t="n">
        <v>46187</v>
      </c>
      <c r="C1949" s="2" t="s">
        <v>233</v>
      </c>
      <c r="D1949" s="3" t="str">
        <f aca="false">INDEX(Vendedores!$C$2:$C$101,MATCH(C1949,Vendedores!$A$2:$A$101,0))</f>
        <v>L10</v>
      </c>
      <c r="E1949" s="3" t="str">
        <f aca="false">INDEX(Lojas!$E$2:$E$11,MATCH(D1949,Lojas!$A$2:$A$11,0))</f>
        <v>Nordeste</v>
      </c>
      <c r="F1949" s="2" t="s">
        <v>273</v>
      </c>
      <c r="G1949" s="3" t="str">
        <f aca="false">INDEX(Produtos!$B$2:$B$11,MATCH(F1949,Produtos!$A$2:$A$11,0))&amp;" "&amp;INDEX(Produtos!$C$2:$C$11,MATCH(F1949,Produtos!$A$2:$A$11,0))</f>
        <v>Controle de Videogame PS4</v>
      </c>
      <c r="H1949" s="2" t="n">
        <v>1</v>
      </c>
      <c r="I1949" s="5" t="n">
        <f aca="false">INDEX(Produtos!$D$2:$D$11,MATCH(F1949,Produtos!$A$2:$A$11,0))</f>
        <v>299.9</v>
      </c>
      <c r="J1949" s="5" t="n">
        <f aca="false">H1949*I1949</f>
        <v>299.9</v>
      </c>
      <c r="K1949" s="5" t="n">
        <f aca="false">INDEX(Produtos!$E$2:$E$11,MATCH(F1949,Produtos!$A$2:$A$11,0))</f>
        <v>175</v>
      </c>
      <c r="L1949" s="5" t="n">
        <f aca="false">H1949*K1949</f>
        <v>175</v>
      </c>
    </row>
    <row r="1950" customFormat="false" ht="15" hidden="false" customHeight="false" outlineLevel="0" collapsed="false">
      <c r="A1950" s="2" t="s">
        <v>2232</v>
      </c>
      <c r="B1950" s="8" t="n">
        <v>46187</v>
      </c>
      <c r="C1950" s="2" t="s">
        <v>172</v>
      </c>
      <c r="D1950" s="3" t="str">
        <f aca="false">INDEX(Vendedores!$C$2:$C$101,MATCH(C1950,Vendedores!$A$2:$A$101,0))</f>
        <v>L07</v>
      </c>
      <c r="E1950" s="3" t="str">
        <f aca="false">INDEX(Lojas!$E$2:$E$11,MATCH(D1950,Lojas!$A$2:$A$11,0))</f>
        <v>Sul</v>
      </c>
      <c r="F1950" s="2" t="s">
        <v>262</v>
      </c>
      <c r="G1950" s="3" t="str">
        <f aca="false">INDEX(Produtos!$B$2:$B$11,MATCH(F1950,Produtos!$A$2:$A$11,0))&amp;" "&amp;INDEX(Produtos!$C$2:$C$11,MATCH(F1950,Produtos!$A$2:$A$11,0))</f>
        <v>Fone de Ouvido De Celular</v>
      </c>
      <c r="H1950" s="2" t="n">
        <v>1</v>
      </c>
      <c r="I1950" s="5" t="n">
        <f aca="false">INDEX(Produtos!$D$2:$D$11,MATCH(F1950,Produtos!$A$2:$A$11,0))</f>
        <v>59.9</v>
      </c>
      <c r="J1950" s="5" t="n">
        <f aca="false">H1950*I1950</f>
        <v>59.9</v>
      </c>
      <c r="K1950" s="5" t="n">
        <f aca="false">INDEX(Produtos!$E$2:$E$11,MATCH(F1950,Produtos!$A$2:$A$11,0))</f>
        <v>28</v>
      </c>
      <c r="L1950" s="5" t="n">
        <f aca="false">H1950*K1950</f>
        <v>28</v>
      </c>
    </row>
    <row r="1951" customFormat="false" ht="15" hidden="false" customHeight="false" outlineLevel="0" collapsed="false">
      <c r="A1951" s="2" t="s">
        <v>2233</v>
      </c>
      <c r="B1951" s="8" t="n">
        <v>46187</v>
      </c>
      <c r="C1951" s="2" t="s">
        <v>56</v>
      </c>
      <c r="D1951" s="3" t="str">
        <f aca="false">INDEX(Vendedores!$C$2:$C$101,MATCH(C1951,Vendedores!$A$2:$A$101,0))</f>
        <v>L01</v>
      </c>
      <c r="E1951" s="3" t="str">
        <f aca="false">INDEX(Lojas!$E$2:$E$11,MATCH(D1951,Lojas!$A$2:$A$11,0))</f>
        <v>Sudeste</v>
      </c>
      <c r="F1951" s="2" t="s">
        <v>273</v>
      </c>
      <c r="G1951" s="3" t="str">
        <f aca="false">INDEX(Produtos!$B$2:$B$11,MATCH(F1951,Produtos!$A$2:$A$11,0))&amp;" "&amp;INDEX(Produtos!$C$2:$C$11,MATCH(F1951,Produtos!$A$2:$A$11,0))</f>
        <v>Controle de Videogame PS4</v>
      </c>
      <c r="H1951" s="2" t="n">
        <v>1</v>
      </c>
      <c r="I1951" s="5" t="n">
        <f aca="false">INDEX(Produtos!$D$2:$D$11,MATCH(F1951,Produtos!$A$2:$A$11,0))</f>
        <v>299.9</v>
      </c>
      <c r="J1951" s="5" t="n">
        <f aca="false">H1951*I1951</f>
        <v>299.9</v>
      </c>
      <c r="K1951" s="5" t="n">
        <f aca="false">INDEX(Produtos!$E$2:$E$11,MATCH(F1951,Produtos!$A$2:$A$11,0))</f>
        <v>175</v>
      </c>
      <c r="L1951" s="5" t="n">
        <f aca="false">H1951*K1951</f>
        <v>175</v>
      </c>
    </row>
    <row r="1952" customFormat="false" ht="15" hidden="false" customHeight="false" outlineLevel="0" collapsed="false">
      <c r="A1952" s="2" t="s">
        <v>2234</v>
      </c>
      <c r="B1952" s="8" t="n">
        <v>46187</v>
      </c>
      <c r="C1952" s="2" t="s">
        <v>178</v>
      </c>
      <c r="D1952" s="3" t="str">
        <f aca="false">INDEX(Vendedores!$C$2:$C$101,MATCH(C1952,Vendedores!$A$2:$A$101,0))</f>
        <v>L07</v>
      </c>
      <c r="E1952" s="3" t="str">
        <f aca="false">INDEX(Lojas!$E$2:$E$11,MATCH(D1952,Lojas!$A$2:$A$11,0))</f>
        <v>Sul</v>
      </c>
      <c r="F1952" s="2" t="s">
        <v>273</v>
      </c>
      <c r="G1952" s="3" t="str">
        <f aca="false">INDEX(Produtos!$B$2:$B$11,MATCH(F1952,Produtos!$A$2:$A$11,0))&amp;" "&amp;INDEX(Produtos!$C$2:$C$11,MATCH(F1952,Produtos!$A$2:$A$11,0))</f>
        <v>Controle de Videogame PS4</v>
      </c>
      <c r="H1952" s="2" t="n">
        <v>1</v>
      </c>
      <c r="I1952" s="5" t="n">
        <f aca="false">INDEX(Produtos!$D$2:$D$11,MATCH(F1952,Produtos!$A$2:$A$11,0))</f>
        <v>299.9</v>
      </c>
      <c r="J1952" s="5" t="n">
        <f aca="false">H1952*I1952</f>
        <v>299.9</v>
      </c>
      <c r="K1952" s="5" t="n">
        <f aca="false">INDEX(Produtos!$E$2:$E$11,MATCH(F1952,Produtos!$A$2:$A$11,0))</f>
        <v>175</v>
      </c>
      <c r="L1952" s="5" t="n">
        <f aca="false">H1952*K1952</f>
        <v>175</v>
      </c>
    </row>
    <row r="1953" customFormat="false" ht="15" hidden="false" customHeight="false" outlineLevel="0" collapsed="false">
      <c r="A1953" s="2" t="s">
        <v>2235</v>
      </c>
      <c r="B1953" s="8" t="n">
        <v>46187</v>
      </c>
      <c r="C1953" s="2" t="s">
        <v>94</v>
      </c>
      <c r="D1953" s="3" t="str">
        <f aca="false">INDEX(Vendedores!$C$2:$C$101,MATCH(C1953,Vendedores!$A$2:$A$101,0))</f>
        <v>L03</v>
      </c>
      <c r="E1953" s="3" t="str">
        <f aca="false">INDEX(Lojas!$E$2:$E$11,MATCH(D1953,Lojas!$A$2:$A$11,0))</f>
        <v>Sudeste</v>
      </c>
      <c r="F1953" s="2" t="s">
        <v>260</v>
      </c>
      <c r="G1953" s="3" t="str">
        <f aca="false">INDEX(Produtos!$B$2:$B$11,MATCH(F1953,Produtos!$A$2:$A$11,0))&amp;" "&amp;INDEX(Produtos!$C$2:$C$11,MATCH(F1953,Produtos!$A$2:$A$11,0))</f>
        <v>Celular Motorola</v>
      </c>
      <c r="H1953" s="2" t="n">
        <v>1</v>
      </c>
      <c r="I1953" s="5" t="n">
        <f aca="false">INDEX(Produtos!$D$2:$D$11,MATCH(F1953,Produtos!$A$2:$A$11,0))</f>
        <v>1799</v>
      </c>
      <c r="J1953" s="5" t="n">
        <f aca="false">H1953*I1953</f>
        <v>1799</v>
      </c>
      <c r="K1953" s="5" t="n">
        <f aca="false">INDEX(Produtos!$E$2:$E$11,MATCH(F1953,Produtos!$A$2:$A$11,0))</f>
        <v>1250</v>
      </c>
      <c r="L1953" s="5" t="n">
        <f aca="false">H1953*K1953</f>
        <v>1250</v>
      </c>
    </row>
    <row r="1954" customFormat="false" ht="15" hidden="false" customHeight="false" outlineLevel="0" collapsed="false">
      <c r="A1954" s="2" t="s">
        <v>2236</v>
      </c>
      <c r="B1954" s="8" t="n">
        <v>46188</v>
      </c>
      <c r="C1954" s="2" t="s">
        <v>142</v>
      </c>
      <c r="D1954" s="3" t="str">
        <f aca="false">INDEX(Vendedores!$C$2:$C$101,MATCH(C1954,Vendedores!$A$2:$A$101,0))</f>
        <v>L05</v>
      </c>
      <c r="E1954" s="3" t="str">
        <f aca="false">INDEX(Lojas!$E$2:$E$11,MATCH(D1954,Lojas!$A$2:$A$11,0))</f>
        <v>Sul</v>
      </c>
      <c r="F1954" s="2" t="s">
        <v>275</v>
      </c>
      <c r="G1954" s="3" t="str">
        <f aca="false">INDEX(Produtos!$B$2:$B$11,MATCH(F1954,Produtos!$A$2:$A$11,0))&amp;" "&amp;INDEX(Produtos!$C$2:$C$11,MATCH(F1954,Produtos!$A$2:$A$11,0))</f>
        <v>Controle de Videogame PS5</v>
      </c>
      <c r="H1954" s="2" t="n">
        <v>1</v>
      </c>
      <c r="I1954" s="5" t="n">
        <f aca="false">INDEX(Produtos!$D$2:$D$11,MATCH(F1954,Produtos!$A$2:$A$11,0))</f>
        <v>379.9</v>
      </c>
      <c r="J1954" s="5" t="n">
        <f aca="false">H1954*I1954</f>
        <v>379.9</v>
      </c>
      <c r="K1954" s="5" t="n">
        <f aca="false">INDEX(Produtos!$E$2:$E$11,MATCH(F1954,Produtos!$A$2:$A$11,0))</f>
        <v>235</v>
      </c>
      <c r="L1954" s="5" t="n">
        <f aca="false">H1954*K1954</f>
        <v>235</v>
      </c>
    </row>
    <row r="1955" customFormat="false" ht="15" hidden="false" customHeight="false" outlineLevel="0" collapsed="false">
      <c r="A1955" s="2" t="s">
        <v>2237</v>
      </c>
      <c r="B1955" s="8" t="n">
        <v>46188</v>
      </c>
      <c r="C1955" s="2" t="s">
        <v>229</v>
      </c>
      <c r="D1955" s="3" t="str">
        <f aca="false">INDEX(Vendedores!$C$2:$C$101,MATCH(C1955,Vendedores!$A$2:$A$101,0))</f>
        <v>L10</v>
      </c>
      <c r="E1955" s="3" t="str">
        <f aca="false">INDEX(Lojas!$E$2:$E$11,MATCH(D1955,Lojas!$A$2:$A$11,0))</f>
        <v>Nordeste</v>
      </c>
      <c r="F1955" s="2" t="s">
        <v>265</v>
      </c>
      <c r="G1955" s="3" t="str">
        <f aca="false">INDEX(Produtos!$B$2:$B$11,MATCH(F1955,Produtos!$A$2:$A$11,0))&amp;" "&amp;INDEX(Produtos!$C$2:$C$11,MATCH(F1955,Produtos!$A$2:$A$11,0))</f>
        <v>Fone de Ouvido Headset</v>
      </c>
      <c r="H1955" s="2" t="n">
        <v>1</v>
      </c>
      <c r="I1955" s="5" t="n">
        <f aca="false">INDEX(Produtos!$D$2:$D$11,MATCH(F1955,Produtos!$A$2:$A$11,0))</f>
        <v>249.9</v>
      </c>
      <c r="J1955" s="5" t="n">
        <f aca="false">H1955*I1955</f>
        <v>249.9</v>
      </c>
      <c r="K1955" s="5" t="n">
        <f aca="false">INDEX(Produtos!$E$2:$E$11,MATCH(F1955,Produtos!$A$2:$A$11,0))</f>
        <v>145</v>
      </c>
      <c r="L1955" s="5" t="n">
        <f aca="false">H1955*K1955</f>
        <v>145</v>
      </c>
    </row>
    <row r="1956" customFormat="false" ht="15" hidden="false" customHeight="false" outlineLevel="0" collapsed="false">
      <c r="A1956" s="2" t="s">
        <v>2238</v>
      </c>
      <c r="B1956" s="8" t="n">
        <v>46188</v>
      </c>
      <c r="C1956" s="2" t="s">
        <v>187</v>
      </c>
      <c r="D1956" s="3" t="str">
        <f aca="false">INDEX(Vendedores!$C$2:$C$101,MATCH(C1956,Vendedores!$A$2:$A$101,0))</f>
        <v>L08</v>
      </c>
      <c r="E1956" s="3" t="str">
        <f aca="false">INDEX(Lojas!$E$2:$E$11,MATCH(D1956,Lojas!$A$2:$A$11,0))</f>
        <v>Nordeste</v>
      </c>
      <c r="F1956" s="2" t="s">
        <v>270</v>
      </c>
      <c r="G1956" s="3" t="str">
        <f aca="false">INDEX(Produtos!$B$2:$B$11,MATCH(F1956,Produtos!$A$2:$A$11,0))&amp;" "&amp;INDEX(Produtos!$C$2:$C$11,MATCH(F1956,Produtos!$A$2:$A$11,0))</f>
        <v>Controle de Videogame Xbox</v>
      </c>
      <c r="H1956" s="2" t="n">
        <v>1</v>
      </c>
      <c r="I1956" s="5" t="n">
        <f aca="false">INDEX(Produtos!$D$2:$D$11,MATCH(F1956,Produtos!$A$2:$A$11,0))</f>
        <v>349.9</v>
      </c>
      <c r="J1956" s="5" t="n">
        <f aca="false">H1956*I1956</f>
        <v>349.9</v>
      </c>
      <c r="K1956" s="5" t="n">
        <f aca="false">INDEX(Produtos!$E$2:$E$11,MATCH(F1956,Produtos!$A$2:$A$11,0))</f>
        <v>215</v>
      </c>
      <c r="L1956" s="5" t="n">
        <f aca="false">H1956*K1956</f>
        <v>215</v>
      </c>
    </row>
    <row r="1957" customFormat="false" ht="15" hidden="false" customHeight="false" outlineLevel="0" collapsed="false">
      <c r="A1957" s="2" t="s">
        <v>2239</v>
      </c>
      <c r="B1957" s="8" t="n">
        <v>46188</v>
      </c>
      <c r="C1957" s="2" t="s">
        <v>221</v>
      </c>
      <c r="D1957" s="3" t="str">
        <f aca="false">INDEX(Vendedores!$C$2:$C$101,MATCH(C1957,Vendedores!$A$2:$A$101,0))</f>
        <v>L09</v>
      </c>
      <c r="E1957" s="3" t="str">
        <f aca="false">INDEX(Lojas!$E$2:$E$11,MATCH(D1957,Lojas!$A$2:$A$11,0))</f>
        <v>Nordeste</v>
      </c>
      <c r="F1957" s="2" t="s">
        <v>260</v>
      </c>
      <c r="G1957" s="3" t="str">
        <f aca="false">INDEX(Produtos!$B$2:$B$11,MATCH(F1957,Produtos!$A$2:$A$11,0))&amp;" "&amp;INDEX(Produtos!$C$2:$C$11,MATCH(F1957,Produtos!$A$2:$A$11,0))</f>
        <v>Celular Motorola</v>
      </c>
      <c r="H1957" s="2" t="n">
        <v>1</v>
      </c>
      <c r="I1957" s="5" t="n">
        <f aca="false">INDEX(Produtos!$D$2:$D$11,MATCH(F1957,Produtos!$A$2:$A$11,0))</f>
        <v>1799</v>
      </c>
      <c r="J1957" s="5" t="n">
        <f aca="false">H1957*I1957</f>
        <v>1799</v>
      </c>
      <c r="K1957" s="5" t="n">
        <f aca="false">INDEX(Produtos!$E$2:$E$11,MATCH(F1957,Produtos!$A$2:$A$11,0))</f>
        <v>1250</v>
      </c>
      <c r="L1957" s="5" t="n">
        <f aca="false">H1957*K1957</f>
        <v>1250</v>
      </c>
    </row>
    <row r="1958" customFormat="false" ht="15" hidden="false" customHeight="false" outlineLevel="0" collapsed="false">
      <c r="A1958" s="2" t="s">
        <v>2240</v>
      </c>
      <c r="B1958" s="8" t="n">
        <v>46188</v>
      </c>
      <c r="C1958" s="2" t="s">
        <v>168</v>
      </c>
      <c r="D1958" s="3" t="str">
        <f aca="false">INDEX(Vendedores!$C$2:$C$101,MATCH(C1958,Vendedores!$A$2:$A$101,0))</f>
        <v>L07</v>
      </c>
      <c r="E1958" s="3" t="str">
        <f aca="false">INDEX(Lojas!$E$2:$E$11,MATCH(D1958,Lojas!$A$2:$A$11,0))</f>
        <v>Sul</v>
      </c>
      <c r="F1958" s="2" t="s">
        <v>262</v>
      </c>
      <c r="G1958" s="3" t="str">
        <f aca="false">INDEX(Produtos!$B$2:$B$11,MATCH(F1958,Produtos!$A$2:$A$11,0))&amp;" "&amp;INDEX(Produtos!$C$2:$C$11,MATCH(F1958,Produtos!$A$2:$A$11,0))</f>
        <v>Fone de Ouvido De Celular</v>
      </c>
      <c r="H1958" s="2" t="n">
        <v>1</v>
      </c>
      <c r="I1958" s="5" t="n">
        <f aca="false">INDEX(Produtos!$D$2:$D$11,MATCH(F1958,Produtos!$A$2:$A$11,0))</f>
        <v>59.9</v>
      </c>
      <c r="J1958" s="5" t="n">
        <f aca="false">H1958*I1958</f>
        <v>59.9</v>
      </c>
      <c r="K1958" s="5" t="n">
        <f aca="false">INDEX(Produtos!$E$2:$E$11,MATCH(F1958,Produtos!$A$2:$A$11,0))</f>
        <v>28</v>
      </c>
      <c r="L1958" s="5" t="n">
        <f aca="false">H1958*K1958</f>
        <v>28</v>
      </c>
    </row>
    <row r="1959" customFormat="false" ht="15" hidden="false" customHeight="false" outlineLevel="0" collapsed="false">
      <c r="A1959" s="2" t="s">
        <v>2241</v>
      </c>
      <c r="B1959" s="8" t="n">
        <v>46188</v>
      </c>
      <c r="C1959" s="2" t="s">
        <v>174</v>
      </c>
      <c r="D1959" s="3" t="str">
        <f aca="false">INDEX(Vendedores!$C$2:$C$101,MATCH(C1959,Vendedores!$A$2:$A$101,0))</f>
        <v>L07</v>
      </c>
      <c r="E1959" s="3" t="str">
        <f aca="false">INDEX(Lojas!$E$2:$E$11,MATCH(D1959,Lojas!$A$2:$A$11,0))</f>
        <v>Sul</v>
      </c>
      <c r="F1959" s="2" t="s">
        <v>270</v>
      </c>
      <c r="G1959" s="3" t="str">
        <f aca="false">INDEX(Produtos!$B$2:$B$11,MATCH(F1959,Produtos!$A$2:$A$11,0))&amp;" "&amp;INDEX(Produtos!$C$2:$C$11,MATCH(F1959,Produtos!$A$2:$A$11,0))</f>
        <v>Controle de Videogame Xbox</v>
      </c>
      <c r="H1959" s="2" t="n">
        <v>1</v>
      </c>
      <c r="I1959" s="5" t="n">
        <f aca="false">INDEX(Produtos!$D$2:$D$11,MATCH(F1959,Produtos!$A$2:$A$11,0))</f>
        <v>349.9</v>
      </c>
      <c r="J1959" s="5" t="n">
        <f aca="false">H1959*I1959</f>
        <v>349.9</v>
      </c>
      <c r="K1959" s="5" t="n">
        <f aca="false">INDEX(Produtos!$E$2:$E$11,MATCH(F1959,Produtos!$A$2:$A$11,0))</f>
        <v>215</v>
      </c>
      <c r="L1959" s="5" t="n">
        <f aca="false">H1959*K1959</f>
        <v>215</v>
      </c>
    </row>
    <row r="1960" customFormat="false" ht="15" hidden="false" customHeight="false" outlineLevel="0" collapsed="false">
      <c r="A1960" s="2" t="s">
        <v>2242</v>
      </c>
      <c r="B1960" s="8" t="n">
        <v>46188</v>
      </c>
      <c r="C1960" s="2" t="s">
        <v>154</v>
      </c>
      <c r="D1960" s="3" t="str">
        <f aca="false">INDEX(Vendedores!$C$2:$C$101,MATCH(C1960,Vendedores!$A$2:$A$101,0))</f>
        <v>L06</v>
      </c>
      <c r="E1960" s="3" t="str">
        <f aca="false">INDEX(Lojas!$E$2:$E$11,MATCH(D1960,Lojas!$A$2:$A$11,0))</f>
        <v>Sul</v>
      </c>
      <c r="F1960" s="2" t="s">
        <v>265</v>
      </c>
      <c r="G1960" s="3" t="str">
        <f aca="false">INDEX(Produtos!$B$2:$B$11,MATCH(F1960,Produtos!$A$2:$A$11,0))&amp;" "&amp;INDEX(Produtos!$C$2:$C$11,MATCH(F1960,Produtos!$A$2:$A$11,0))</f>
        <v>Fone de Ouvido Headset</v>
      </c>
      <c r="H1960" s="2" t="n">
        <v>2</v>
      </c>
      <c r="I1960" s="5" t="n">
        <f aca="false">INDEX(Produtos!$D$2:$D$11,MATCH(F1960,Produtos!$A$2:$A$11,0))</f>
        <v>249.9</v>
      </c>
      <c r="J1960" s="5" t="n">
        <f aca="false">H1960*I1960</f>
        <v>499.8</v>
      </c>
      <c r="K1960" s="5" t="n">
        <f aca="false">INDEX(Produtos!$E$2:$E$11,MATCH(F1960,Produtos!$A$2:$A$11,0))</f>
        <v>145</v>
      </c>
      <c r="L1960" s="5" t="n">
        <f aca="false">H1960*K1960</f>
        <v>290</v>
      </c>
    </row>
    <row r="1961" customFormat="false" ht="15" hidden="false" customHeight="false" outlineLevel="0" collapsed="false">
      <c r="A1961" s="2" t="s">
        <v>2243</v>
      </c>
      <c r="B1961" s="8" t="n">
        <v>46188</v>
      </c>
      <c r="C1961" s="2" t="s">
        <v>243</v>
      </c>
      <c r="D1961" s="3" t="str">
        <f aca="false">INDEX(Vendedores!$C$2:$C$101,MATCH(C1961,Vendedores!$A$2:$A$101,0))</f>
        <v>L10</v>
      </c>
      <c r="E1961" s="3" t="str">
        <f aca="false">INDEX(Lojas!$E$2:$E$11,MATCH(D1961,Lojas!$A$2:$A$11,0))</f>
        <v>Nordeste</v>
      </c>
      <c r="F1961" s="2" t="s">
        <v>260</v>
      </c>
      <c r="G1961" s="3" t="str">
        <f aca="false">INDEX(Produtos!$B$2:$B$11,MATCH(F1961,Produtos!$A$2:$A$11,0))&amp;" "&amp;INDEX(Produtos!$C$2:$C$11,MATCH(F1961,Produtos!$A$2:$A$11,0))</f>
        <v>Celular Motorola</v>
      </c>
      <c r="H1961" s="2" t="n">
        <v>2</v>
      </c>
      <c r="I1961" s="5" t="n">
        <f aca="false">INDEX(Produtos!$D$2:$D$11,MATCH(F1961,Produtos!$A$2:$A$11,0))</f>
        <v>1799</v>
      </c>
      <c r="J1961" s="5" t="n">
        <f aca="false">H1961*I1961</f>
        <v>3598</v>
      </c>
      <c r="K1961" s="5" t="n">
        <f aca="false">INDEX(Produtos!$E$2:$E$11,MATCH(F1961,Produtos!$A$2:$A$11,0))</f>
        <v>1250</v>
      </c>
      <c r="L1961" s="5" t="n">
        <f aca="false">H1961*K1961</f>
        <v>2500</v>
      </c>
    </row>
    <row r="1962" customFormat="false" ht="15" hidden="false" customHeight="false" outlineLevel="0" collapsed="false">
      <c r="A1962" s="2" t="s">
        <v>2244</v>
      </c>
      <c r="B1962" s="8" t="n">
        <v>46188</v>
      </c>
      <c r="C1962" s="2" t="s">
        <v>146</v>
      </c>
      <c r="D1962" s="3" t="str">
        <f aca="false">INDEX(Vendedores!$C$2:$C$101,MATCH(C1962,Vendedores!$A$2:$A$101,0))</f>
        <v>L05</v>
      </c>
      <c r="E1962" s="3" t="str">
        <f aca="false">INDEX(Lojas!$E$2:$E$11,MATCH(D1962,Lojas!$A$2:$A$11,0))</f>
        <v>Sul</v>
      </c>
      <c r="F1962" s="2" t="s">
        <v>270</v>
      </c>
      <c r="G1962" s="3" t="str">
        <f aca="false">INDEX(Produtos!$B$2:$B$11,MATCH(F1962,Produtos!$A$2:$A$11,0))&amp;" "&amp;INDEX(Produtos!$C$2:$C$11,MATCH(F1962,Produtos!$A$2:$A$11,0))</f>
        <v>Controle de Videogame Xbox</v>
      </c>
      <c r="H1962" s="2" t="n">
        <v>1</v>
      </c>
      <c r="I1962" s="5" t="n">
        <f aca="false">INDEX(Produtos!$D$2:$D$11,MATCH(F1962,Produtos!$A$2:$A$11,0))</f>
        <v>349.9</v>
      </c>
      <c r="J1962" s="5" t="n">
        <f aca="false">H1962*I1962</f>
        <v>349.9</v>
      </c>
      <c r="K1962" s="5" t="n">
        <f aca="false">INDEX(Produtos!$E$2:$E$11,MATCH(F1962,Produtos!$A$2:$A$11,0))</f>
        <v>215</v>
      </c>
      <c r="L1962" s="5" t="n">
        <f aca="false">H1962*K1962</f>
        <v>215</v>
      </c>
    </row>
    <row r="1963" customFormat="false" ht="15" hidden="false" customHeight="false" outlineLevel="0" collapsed="false">
      <c r="A1963" s="2" t="s">
        <v>2245</v>
      </c>
      <c r="B1963" s="8" t="n">
        <v>46188</v>
      </c>
      <c r="C1963" s="2" t="s">
        <v>168</v>
      </c>
      <c r="D1963" s="3" t="str">
        <f aca="false">INDEX(Vendedores!$C$2:$C$101,MATCH(C1963,Vendedores!$A$2:$A$101,0))</f>
        <v>L07</v>
      </c>
      <c r="E1963" s="3" t="str">
        <f aca="false">INDEX(Lojas!$E$2:$E$11,MATCH(D1963,Lojas!$A$2:$A$11,0))</f>
        <v>Sul</v>
      </c>
      <c r="F1963" s="2" t="s">
        <v>270</v>
      </c>
      <c r="G1963" s="3" t="str">
        <f aca="false">INDEX(Produtos!$B$2:$B$11,MATCH(F1963,Produtos!$A$2:$A$11,0))&amp;" "&amp;INDEX(Produtos!$C$2:$C$11,MATCH(F1963,Produtos!$A$2:$A$11,0))</f>
        <v>Controle de Videogame Xbox</v>
      </c>
      <c r="H1963" s="2" t="n">
        <v>1</v>
      </c>
      <c r="I1963" s="5" t="n">
        <f aca="false">INDEX(Produtos!$D$2:$D$11,MATCH(F1963,Produtos!$A$2:$A$11,0))</f>
        <v>349.9</v>
      </c>
      <c r="J1963" s="5" t="n">
        <f aca="false">H1963*I1963</f>
        <v>349.9</v>
      </c>
      <c r="K1963" s="5" t="n">
        <f aca="false">INDEX(Produtos!$E$2:$E$11,MATCH(F1963,Produtos!$A$2:$A$11,0))</f>
        <v>215</v>
      </c>
      <c r="L1963" s="5" t="n">
        <f aca="false">H1963*K1963</f>
        <v>215</v>
      </c>
    </row>
    <row r="1964" customFormat="false" ht="15" hidden="false" customHeight="false" outlineLevel="0" collapsed="false">
      <c r="A1964" s="2" t="s">
        <v>2246</v>
      </c>
      <c r="B1964" s="8" t="n">
        <v>46188</v>
      </c>
      <c r="C1964" s="2" t="s">
        <v>187</v>
      </c>
      <c r="D1964" s="3" t="str">
        <f aca="false">INDEX(Vendedores!$C$2:$C$101,MATCH(C1964,Vendedores!$A$2:$A$101,0))</f>
        <v>L08</v>
      </c>
      <c r="E1964" s="3" t="str">
        <f aca="false">INDEX(Lojas!$E$2:$E$11,MATCH(D1964,Lojas!$A$2:$A$11,0))</f>
        <v>Nordeste</v>
      </c>
      <c r="F1964" s="2" t="s">
        <v>267</v>
      </c>
      <c r="G1964" s="3" t="str">
        <f aca="false">INDEX(Produtos!$B$2:$B$11,MATCH(F1964,Produtos!$A$2:$A$11,0))&amp;" "&amp;INDEX(Produtos!$C$2:$C$11,MATCH(F1964,Produtos!$A$2:$A$11,0))</f>
        <v>Carregador de Celular Tipo C</v>
      </c>
      <c r="H1964" s="2" t="n">
        <v>1</v>
      </c>
      <c r="I1964" s="5" t="n">
        <f aca="false">INDEX(Produtos!$D$2:$D$11,MATCH(F1964,Produtos!$A$2:$A$11,0))</f>
        <v>44.9</v>
      </c>
      <c r="J1964" s="5" t="n">
        <f aca="false">H1964*I1964</f>
        <v>44.9</v>
      </c>
      <c r="K1964" s="5" t="n">
        <f aca="false">INDEX(Produtos!$E$2:$E$11,MATCH(F1964,Produtos!$A$2:$A$11,0))</f>
        <v>18</v>
      </c>
      <c r="L1964" s="5" t="n">
        <f aca="false">H1964*K1964</f>
        <v>18</v>
      </c>
    </row>
    <row r="1965" customFormat="false" ht="15" hidden="false" customHeight="false" outlineLevel="0" collapsed="false">
      <c r="A1965" s="2" t="s">
        <v>2247</v>
      </c>
      <c r="B1965" s="8" t="n">
        <v>46188</v>
      </c>
      <c r="C1965" s="2" t="s">
        <v>213</v>
      </c>
      <c r="D1965" s="3" t="str">
        <f aca="false">INDEX(Vendedores!$C$2:$C$101,MATCH(C1965,Vendedores!$A$2:$A$101,0))</f>
        <v>L09</v>
      </c>
      <c r="E1965" s="3" t="str">
        <f aca="false">INDEX(Lojas!$E$2:$E$11,MATCH(D1965,Lojas!$A$2:$A$11,0))</f>
        <v>Nordeste</v>
      </c>
      <c r="F1965" s="2" t="s">
        <v>267</v>
      </c>
      <c r="G1965" s="3" t="str">
        <f aca="false">INDEX(Produtos!$B$2:$B$11,MATCH(F1965,Produtos!$A$2:$A$11,0))&amp;" "&amp;INDEX(Produtos!$C$2:$C$11,MATCH(F1965,Produtos!$A$2:$A$11,0))</f>
        <v>Carregador de Celular Tipo C</v>
      </c>
      <c r="H1965" s="2" t="n">
        <v>1</v>
      </c>
      <c r="I1965" s="5" t="n">
        <f aca="false">INDEX(Produtos!$D$2:$D$11,MATCH(F1965,Produtos!$A$2:$A$11,0))</f>
        <v>44.9</v>
      </c>
      <c r="J1965" s="5" t="n">
        <f aca="false">H1965*I1965</f>
        <v>44.9</v>
      </c>
      <c r="K1965" s="5" t="n">
        <f aca="false">INDEX(Produtos!$E$2:$E$11,MATCH(F1965,Produtos!$A$2:$A$11,0))</f>
        <v>18</v>
      </c>
      <c r="L1965" s="5" t="n">
        <f aca="false">H1965*K1965</f>
        <v>18</v>
      </c>
    </row>
    <row r="1966" customFormat="false" ht="15" hidden="false" customHeight="false" outlineLevel="0" collapsed="false">
      <c r="A1966" s="2" t="s">
        <v>2248</v>
      </c>
      <c r="B1966" s="8" t="n">
        <v>46188</v>
      </c>
      <c r="C1966" s="2" t="s">
        <v>239</v>
      </c>
      <c r="D1966" s="3" t="str">
        <f aca="false">INDEX(Vendedores!$C$2:$C$101,MATCH(C1966,Vendedores!$A$2:$A$101,0))</f>
        <v>L10</v>
      </c>
      <c r="E1966" s="3" t="str">
        <f aca="false">INDEX(Lojas!$E$2:$E$11,MATCH(D1966,Lojas!$A$2:$A$11,0))</f>
        <v>Nordeste</v>
      </c>
      <c r="F1966" s="2" t="s">
        <v>265</v>
      </c>
      <c r="G1966" s="3" t="str">
        <f aca="false">INDEX(Produtos!$B$2:$B$11,MATCH(F1966,Produtos!$A$2:$A$11,0))&amp;" "&amp;INDEX(Produtos!$C$2:$C$11,MATCH(F1966,Produtos!$A$2:$A$11,0))</f>
        <v>Fone de Ouvido Headset</v>
      </c>
      <c r="H1966" s="2" t="n">
        <v>1</v>
      </c>
      <c r="I1966" s="5" t="n">
        <f aca="false">INDEX(Produtos!$D$2:$D$11,MATCH(F1966,Produtos!$A$2:$A$11,0))</f>
        <v>249.9</v>
      </c>
      <c r="J1966" s="5" t="n">
        <f aca="false">H1966*I1966</f>
        <v>249.9</v>
      </c>
      <c r="K1966" s="5" t="n">
        <f aca="false">INDEX(Produtos!$E$2:$E$11,MATCH(F1966,Produtos!$A$2:$A$11,0))</f>
        <v>145</v>
      </c>
      <c r="L1966" s="5" t="n">
        <f aca="false">H1966*K1966</f>
        <v>145</v>
      </c>
    </row>
    <row r="1967" customFormat="false" ht="15" hidden="false" customHeight="false" outlineLevel="0" collapsed="false">
      <c r="A1967" s="2" t="s">
        <v>2249</v>
      </c>
      <c r="B1967" s="8" t="n">
        <v>46189</v>
      </c>
      <c r="C1967" s="2" t="s">
        <v>168</v>
      </c>
      <c r="D1967" s="3" t="str">
        <f aca="false">INDEX(Vendedores!$C$2:$C$101,MATCH(C1967,Vendedores!$A$2:$A$101,0))</f>
        <v>L07</v>
      </c>
      <c r="E1967" s="3" t="str">
        <f aca="false">INDEX(Lojas!$E$2:$E$11,MATCH(D1967,Lojas!$A$2:$A$11,0))</f>
        <v>Sul</v>
      </c>
      <c r="F1967" s="2" t="s">
        <v>275</v>
      </c>
      <c r="G1967" s="3" t="str">
        <f aca="false">INDEX(Produtos!$B$2:$B$11,MATCH(F1967,Produtos!$A$2:$A$11,0))&amp;" "&amp;INDEX(Produtos!$C$2:$C$11,MATCH(F1967,Produtos!$A$2:$A$11,0))</f>
        <v>Controle de Videogame PS5</v>
      </c>
      <c r="H1967" s="2" t="n">
        <v>1</v>
      </c>
      <c r="I1967" s="5" t="n">
        <f aca="false">INDEX(Produtos!$D$2:$D$11,MATCH(F1967,Produtos!$A$2:$A$11,0))</f>
        <v>379.9</v>
      </c>
      <c r="J1967" s="5" t="n">
        <f aca="false">H1967*I1967</f>
        <v>379.9</v>
      </c>
      <c r="K1967" s="5" t="n">
        <f aca="false">INDEX(Produtos!$E$2:$E$11,MATCH(F1967,Produtos!$A$2:$A$11,0))</f>
        <v>235</v>
      </c>
      <c r="L1967" s="5" t="n">
        <f aca="false">H1967*K1967</f>
        <v>235</v>
      </c>
    </row>
    <row r="1968" customFormat="false" ht="15" hidden="false" customHeight="false" outlineLevel="0" collapsed="false">
      <c r="A1968" s="2" t="s">
        <v>2250</v>
      </c>
      <c r="B1968" s="8" t="n">
        <v>46189</v>
      </c>
      <c r="C1968" s="2" t="s">
        <v>60</v>
      </c>
      <c r="D1968" s="3" t="str">
        <f aca="false">INDEX(Vendedores!$C$2:$C$101,MATCH(C1968,Vendedores!$A$2:$A$101,0))</f>
        <v>L01</v>
      </c>
      <c r="E1968" s="3" t="str">
        <f aca="false">INDEX(Lojas!$E$2:$E$11,MATCH(D1968,Lojas!$A$2:$A$11,0))</f>
        <v>Sudeste</v>
      </c>
      <c r="F1968" s="2" t="s">
        <v>257</v>
      </c>
      <c r="G1968" s="3" t="str">
        <f aca="false">INDEX(Produtos!$B$2:$B$11,MATCH(F1968,Produtos!$A$2:$A$11,0))&amp;" "&amp;INDEX(Produtos!$C$2:$C$11,MATCH(F1968,Produtos!$A$2:$A$11,0))</f>
        <v>Celular Samsung</v>
      </c>
      <c r="H1968" s="2" t="n">
        <v>1</v>
      </c>
      <c r="I1968" s="5" t="n">
        <f aca="false">INDEX(Produtos!$D$2:$D$11,MATCH(F1968,Produtos!$A$2:$A$11,0))</f>
        <v>2499</v>
      </c>
      <c r="J1968" s="5" t="n">
        <f aca="false">H1968*I1968</f>
        <v>2499</v>
      </c>
      <c r="K1968" s="5" t="n">
        <f aca="false">INDEX(Produtos!$E$2:$E$11,MATCH(F1968,Produtos!$A$2:$A$11,0))</f>
        <v>1800</v>
      </c>
      <c r="L1968" s="5" t="n">
        <f aca="false">H1968*K1968</f>
        <v>1800</v>
      </c>
    </row>
    <row r="1969" customFormat="false" ht="15" hidden="false" customHeight="false" outlineLevel="0" collapsed="false">
      <c r="A1969" s="2" t="s">
        <v>2251</v>
      </c>
      <c r="B1969" s="8" t="n">
        <v>46189</v>
      </c>
      <c r="C1969" s="2" t="s">
        <v>237</v>
      </c>
      <c r="D1969" s="3" t="str">
        <f aca="false">INDEX(Vendedores!$C$2:$C$101,MATCH(C1969,Vendedores!$A$2:$A$101,0))</f>
        <v>L10</v>
      </c>
      <c r="E1969" s="3" t="str">
        <f aca="false">INDEX(Lojas!$E$2:$E$11,MATCH(D1969,Lojas!$A$2:$A$11,0))</f>
        <v>Nordeste</v>
      </c>
      <c r="F1969" s="2" t="s">
        <v>260</v>
      </c>
      <c r="G1969" s="3" t="str">
        <f aca="false">INDEX(Produtos!$B$2:$B$11,MATCH(F1969,Produtos!$A$2:$A$11,0))&amp;" "&amp;INDEX(Produtos!$C$2:$C$11,MATCH(F1969,Produtos!$A$2:$A$11,0))</f>
        <v>Celular Motorola</v>
      </c>
      <c r="H1969" s="2" t="n">
        <v>3</v>
      </c>
      <c r="I1969" s="5" t="n">
        <f aca="false">INDEX(Produtos!$D$2:$D$11,MATCH(F1969,Produtos!$A$2:$A$11,0))</f>
        <v>1799</v>
      </c>
      <c r="J1969" s="5" t="n">
        <f aca="false">H1969*I1969</f>
        <v>5397</v>
      </c>
      <c r="K1969" s="5" t="n">
        <f aca="false">INDEX(Produtos!$E$2:$E$11,MATCH(F1969,Produtos!$A$2:$A$11,0))</f>
        <v>1250</v>
      </c>
      <c r="L1969" s="5" t="n">
        <f aca="false">H1969*K1969</f>
        <v>3750</v>
      </c>
    </row>
    <row r="1970" customFormat="false" ht="15" hidden="false" customHeight="false" outlineLevel="0" collapsed="false">
      <c r="A1970" s="2" t="s">
        <v>2252</v>
      </c>
      <c r="B1970" s="8" t="n">
        <v>46189</v>
      </c>
      <c r="C1970" s="2" t="s">
        <v>116</v>
      </c>
      <c r="D1970" s="3" t="str">
        <f aca="false">INDEX(Vendedores!$C$2:$C$101,MATCH(C1970,Vendedores!$A$2:$A$101,0))</f>
        <v>L04</v>
      </c>
      <c r="E1970" s="3" t="str">
        <f aca="false">INDEX(Lojas!$E$2:$E$11,MATCH(D1970,Lojas!$A$2:$A$11,0))</f>
        <v>Sudeste</v>
      </c>
      <c r="F1970" s="2" t="s">
        <v>252</v>
      </c>
      <c r="G1970" s="3" t="str">
        <f aca="false">INDEX(Produtos!$B$2:$B$11,MATCH(F1970,Produtos!$A$2:$A$11,0))&amp;" "&amp;INDEX(Produtos!$C$2:$C$11,MATCH(F1970,Produtos!$A$2:$A$11,0))</f>
        <v>Notebook Lenovo</v>
      </c>
      <c r="H1970" s="2" t="n">
        <v>1</v>
      </c>
      <c r="I1970" s="5" t="n">
        <f aca="false">INDEX(Produtos!$D$2:$D$11,MATCH(F1970,Produtos!$A$2:$A$11,0))</f>
        <v>3199</v>
      </c>
      <c r="J1970" s="5" t="n">
        <f aca="false">H1970*I1970</f>
        <v>3199</v>
      </c>
      <c r="K1970" s="5" t="n">
        <f aca="false">INDEX(Produtos!$E$2:$E$11,MATCH(F1970,Produtos!$A$2:$A$11,0))</f>
        <v>2350</v>
      </c>
      <c r="L1970" s="5" t="n">
        <f aca="false">H1970*K1970</f>
        <v>2350</v>
      </c>
    </row>
    <row r="1971" customFormat="false" ht="15" hidden="false" customHeight="false" outlineLevel="0" collapsed="false">
      <c r="A1971" s="2" t="s">
        <v>2253</v>
      </c>
      <c r="B1971" s="8" t="n">
        <v>46189</v>
      </c>
      <c r="C1971" s="2" t="s">
        <v>135</v>
      </c>
      <c r="D1971" s="3" t="str">
        <f aca="false">INDEX(Vendedores!$C$2:$C$101,MATCH(C1971,Vendedores!$A$2:$A$101,0))</f>
        <v>L05</v>
      </c>
      <c r="E1971" s="3" t="str">
        <f aca="false">INDEX(Lojas!$E$2:$E$11,MATCH(D1971,Lojas!$A$2:$A$11,0))</f>
        <v>Sul</v>
      </c>
      <c r="F1971" s="2" t="s">
        <v>270</v>
      </c>
      <c r="G1971" s="3" t="str">
        <f aca="false">INDEX(Produtos!$B$2:$B$11,MATCH(F1971,Produtos!$A$2:$A$11,0))&amp;" "&amp;INDEX(Produtos!$C$2:$C$11,MATCH(F1971,Produtos!$A$2:$A$11,0))</f>
        <v>Controle de Videogame Xbox</v>
      </c>
      <c r="H1971" s="2" t="n">
        <v>1</v>
      </c>
      <c r="I1971" s="5" t="n">
        <f aca="false">INDEX(Produtos!$D$2:$D$11,MATCH(F1971,Produtos!$A$2:$A$11,0))</f>
        <v>349.9</v>
      </c>
      <c r="J1971" s="5" t="n">
        <f aca="false">H1971*I1971</f>
        <v>349.9</v>
      </c>
      <c r="K1971" s="5" t="n">
        <f aca="false">INDEX(Produtos!$E$2:$E$11,MATCH(F1971,Produtos!$A$2:$A$11,0))</f>
        <v>215</v>
      </c>
      <c r="L1971" s="5" t="n">
        <f aca="false">H1971*K1971</f>
        <v>215</v>
      </c>
    </row>
    <row r="1972" customFormat="false" ht="15" hidden="false" customHeight="false" outlineLevel="0" collapsed="false">
      <c r="A1972" s="2" t="s">
        <v>2254</v>
      </c>
      <c r="B1972" s="8" t="n">
        <v>46189</v>
      </c>
      <c r="C1972" s="2" t="s">
        <v>170</v>
      </c>
      <c r="D1972" s="3" t="str">
        <f aca="false">INDEX(Vendedores!$C$2:$C$101,MATCH(C1972,Vendedores!$A$2:$A$101,0))</f>
        <v>L07</v>
      </c>
      <c r="E1972" s="3" t="str">
        <f aca="false">INDEX(Lojas!$E$2:$E$11,MATCH(D1972,Lojas!$A$2:$A$11,0))</f>
        <v>Sul</v>
      </c>
      <c r="F1972" s="2" t="s">
        <v>275</v>
      </c>
      <c r="G1972" s="3" t="str">
        <f aca="false">INDEX(Produtos!$B$2:$B$11,MATCH(F1972,Produtos!$A$2:$A$11,0))&amp;" "&amp;INDEX(Produtos!$C$2:$C$11,MATCH(F1972,Produtos!$A$2:$A$11,0))</f>
        <v>Controle de Videogame PS5</v>
      </c>
      <c r="H1972" s="2" t="n">
        <v>1</v>
      </c>
      <c r="I1972" s="5" t="n">
        <f aca="false">INDEX(Produtos!$D$2:$D$11,MATCH(F1972,Produtos!$A$2:$A$11,0))</f>
        <v>379.9</v>
      </c>
      <c r="J1972" s="5" t="n">
        <f aca="false">H1972*I1972</f>
        <v>379.9</v>
      </c>
      <c r="K1972" s="5" t="n">
        <f aca="false">INDEX(Produtos!$E$2:$E$11,MATCH(F1972,Produtos!$A$2:$A$11,0))</f>
        <v>235</v>
      </c>
      <c r="L1972" s="5" t="n">
        <f aca="false">H1972*K1972</f>
        <v>235</v>
      </c>
    </row>
    <row r="1973" customFormat="false" ht="15" hidden="false" customHeight="false" outlineLevel="0" collapsed="false">
      <c r="A1973" s="2" t="s">
        <v>2255</v>
      </c>
      <c r="B1973" s="8" t="n">
        <v>46189</v>
      </c>
      <c r="C1973" s="2" t="s">
        <v>172</v>
      </c>
      <c r="D1973" s="3" t="str">
        <f aca="false">INDEX(Vendedores!$C$2:$C$101,MATCH(C1973,Vendedores!$A$2:$A$101,0))</f>
        <v>L07</v>
      </c>
      <c r="E1973" s="3" t="str">
        <f aca="false">INDEX(Lojas!$E$2:$E$11,MATCH(D1973,Lojas!$A$2:$A$11,0))</f>
        <v>Sul</v>
      </c>
      <c r="F1973" s="2" t="s">
        <v>265</v>
      </c>
      <c r="G1973" s="3" t="str">
        <f aca="false">INDEX(Produtos!$B$2:$B$11,MATCH(F1973,Produtos!$A$2:$A$11,0))&amp;" "&amp;INDEX(Produtos!$C$2:$C$11,MATCH(F1973,Produtos!$A$2:$A$11,0))</f>
        <v>Fone de Ouvido Headset</v>
      </c>
      <c r="H1973" s="2" t="n">
        <v>3</v>
      </c>
      <c r="I1973" s="5" t="n">
        <f aca="false">INDEX(Produtos!$D$2:$D$11,MATCH(F1973,Produtos!$A$2:$A$11,0))</f>
        <v>249.9</v>
      </c>
      <c r="J1973" s="5" t="n">
        <f aca="false">H1973*I1973</f>
        <v>749.7</v>
      </c>
      <c r="K1973" s="5" t="n">
        <f aca="false">INDEX(Produtos!$E$2:$E$11,MATCH(F1973,Produtos!$A$2:$A$11,0))</f>
        <v>145</v>
      </c>
      <c r="L1973" s="5" t="n">
        <f aca="false">H1973*K1973</f>
        <v>435</v>
      </c>
    </row>
    <row r="1974" customFormat="false" ht="15" hidden="false" customHeight="false" outlineLevel="0" collapsed="false">
      <c r="A1974" s="2" t="s">
        <v>2256</v>
      </c>
      <c r="B1974" s="8" t="n">
        <v>46189</v>
      </c>
      <c r="C1974" s="2" t="s">
        <v>62</v>
      </c>
      <c r="D1974" s="3" t="str">
        <f aca="false">INDEX(Vendedores!$C$2:$C$101,MATCH(C1974,Vendedores!$A$2:$A$101,0))</f>
        <v>L01</v>
      </c>
      <c r="E1974" s="3" t="str">
        <f aca="false">INDEX(Lojas!$E$2:$E$11,MATCH(D1974,Lojas!$A$2:$A$11,0))</f>
        <v>Sudeste</v>
      </c>
      <c r="F1974" s="2" t="s">
        <v>257</v>
      </c>
      <c r="G1974" s="3" t="str">
        <f aca="false">INDEX(Produtos!$B$2:$B$11,MATCH(F1974,Produtos!$A$2:$A$11,0))&amp;" "&amp;INDEX(Produtos!$C$2:$C$11,MATCH(F1974,Produtos!$A$2:$A$11,0))</f>
        <v>Celular Samsung</v>
      </c>
      <c r="H1974" s="2" t="n">
        <v>1</v>
      </c>
      <c r="I1974" s="5" t="n">
        <f aca="false">INDEX(Produtos!$D$2:$D$11,MATCH(F1974,Produtos!$A$2:$A$11,0))</f>
        <v>2499</v>
      </c>
      <c r="J1974" s="5" t="n">
        <f aca="false">H1974*I1974</f>
        <v>2499</v>
      </c>
      <c r="K1974" s="5" t="n">
        <f aca="false">INDEX(Produtos!$E$2:$E$11,MATCH(F1974,Produtos!$A$2:$A$11,0))</f>
        <v>1800</v>
      </c>
      <c r="L1974" s="5" t="n">
        <f aca="false">H1974*K1974</f>
        <v>1800</v>
      </c>
    </row>
    <row r="1975" customFormat="false" ht="15" hidden="false" customHeight="false" outlineLevel="0" collapsed="false">
      <c r="A1975" s="2" t="s">
        <v>2257</v>
      </c>
      <c r="B1975" s="8" t="n">
        <v>46189</v>
      </c>
      <c r="C1975" s="2" t="s">
        <v>86</v>
      </c>
      <c r="D1975" s="3" t="str">
        <f aca="false">INDEX(Vendedores!$C$2:$C$101,MATCH(C1975,Vendedores!$A$2:$A$101,0))</f>
        <v>L02</v>
      </c>
      <c r="E1975" s="3" t="str">
        <f aca="false">INDEX(Lojas!$E$2:$E$11,MATCH(D1975,Lojas!$A$2:$A$11,0))</f>
        <v>Sudeste</v>
      </c>
      <c r="F1975" s="2" t="s">
        <v>267</v>
      </c>
      <c r="G1975" s="3" t="str">
        <f aca="false">INDEX(Produtos!$B$2:$B$11,MATCH(F1975,Produtos!$A$2:$A$11,0))&amp;" "&amp;INDEX(Produtos!$C$2:$C$11,MATCH(F1975,Produtos!$A$2:$A$11,0))</f>
        <v>Carregador de Celular Tipo C</v>
      </c>
      <c r="H1975" s="2" t="n">
        <v>1</v>
      </c>
      <c r="I1975" s="5" t="n">
        <f aca="false">INDEX(Produtos!$D$2:$D$11,MATCH(F1975,Produtos!$A$2:$A$11,0))</f>
        <v>44.9</v>
      </c>
      <c r="J1975" s="5" t="n">
        <f aca="false">H1975*I1975</f>
        <v>44.9</v>
      </c>
      <c r="K1975" s="5" t="n">
        <f aca="false">INDEX(Produtos!$E$2:$E$11,MATCH(F1975,Produtos!$A$2:$A$11,0))</f>
        <v>18</v>
      </c>
      <c r="L1975" s="5" t="n">
        <f aca="false">H1975*K1975</f>
        <v>18</v>
      </c>
    </row>
    <row r="1976" customFormat="false" ht="15" hidden="false" customHeight="false" outlineLevel="0" collapsed="false">
      <c r="A1976" s="2" t="s">
        <v>2258</v>
      </c>
      <c r="B1976" s="8" t="n">
        <v>46189</v>
      </c>
      <c r="C1976" s="2" t="s">
        <v>122</v>
      </c>
      <c r="D1976" s="3" t="str">
        <f aca="false">INDEX(Vendedores!$C$2:$C$101,MATCH(C1976,Vendedores!$A$2:$A$101,0))</f>
        <v>L04</v>
      </c>
      <c r="E1976" s="3" t="str">
        <f aca="false">INDEX(Lojas!$E$2:$E$11,MATCH(D1976,Lojas!$A$2:$A$11,0))</f>
        <v>Sudeste</v>
      </c>
      <c r="F1976" s="2" t="s">
        <v>267</v>
      </c>
      <c r="G1976" s="3" t="str">
        <f aca="false">INDEX(Produtos!$B$2:$B$11,MATCH(F1976,Produtos!$A$2:$A$11,0))&amp;" "&amp;INDEX(Produtos!$C$2:$C$11,MATCH(F1976,Produtos!$A$2:$A$11,0))</f>
        <v>Carregador de Celular Tipo C</v>
      </c>
      <c r="H1976" s="2" t="n">
        <v>1</v>
      </c>
      <c r="I1976" s="5" t="n">
        <f aca="false">INDEX(Produtos!$D$2:$D$11,MATCH(F1976,Produtos!$A$2:$A$11,0))</f>
        <v>44.9</v>
      </c>
      <c r="J1976" s="5" t="n">
        <f aca="false">H1976*I1976</f>
        <v>44.9</v>
      </c>
      <c r="K1976" s="5" t="n">
        <f aca="false">INDEX(Produtos!$E$2:$E$11,MATCH(F1976,Produtos!$A$2:$A$11,0))</f>
        <v>18</v>
      </c>
      <c r="L1976" s="5" t="n">
        <f aca="false">H1976*K1976</f>
        <v>18</v>
      </c>
    </row>
    <row r="1977" customFormat="false" ht="15" hidden="false" customHeight="false" outlineLevel="0" collapsed="false">
      <c r="A1977" s="2" t="s">
        <v>2259</v>
      </c>
      <c r="B1977" s="8" t="n">
        <v>46189</v>
      </c>
      <c r="C1977" s="2" t="s">
        <v>168</v>
      </c>
      <c r="D1977" s="3" t="str">
        <f aca="false">INDEX(Vendedores!$C$2:$C$101,MATCH(C1977,Vendedores!$A$2:$A$101,0))</f>
        <v>L07</v>
      </c>
      <c r="E1977" s="3" t="str">
        <f aca="false">INDEX(Lojas!$E$2:$E$11,MATCH(D1977,Lojas!$A$2:$A$11,0))</f>
        <v>Sul</v>
      </c>
      <c r="F1977" s="2" t="s">
        <v>262</v>
      </c>
      <c r="G1977" s="3" t="str">
        <f aca="false">INDEX(Produtos!$B$2:$B$11,MATCH(F1977,Produtos!$A$2:$A$11,0))&amp;" "&amp;INDEX(Produtos!$C$2:$C$11,MATCH(F1977,Produtos!$A$2:$A$11,0))</f>
        <v>Fone de Ouvido De Celular</v>
      </c>
      <c r="H1977" s="2" t="n">
        <v>1</v>
      </c>
      <c r="I1977" s="5" t="n">
        <f aca="false">INDEX(Produtos!$D$2:$D$11,MATCH(F1977,Produtos!$A$2:$A$11,0))</f>
        <v>59.9</v>
      </c>
      <c r="J1977" s="5" t="n">
        <f aca="false">H1977*I1977</f>
        <v>59.9</v>
      </c>
      <c r="K1977" s="5" t="n">
        <f aca="false">INDEX(Produtos!$E$2:$E$11,MATCH(F1977,Produtos!$A$2:$A$11,0))</f>
        <v>28</v>
      </c>
      <c r="L1977" s="5" t="n">
        <f aca="false">H1977*K1977</f>
        <v>28</v>
      </c>
    </row>
    <row r="1978" customFormat="false" ht="15" hidden="false" customHeight="false" outlineLevel="0" collapsed="false">
      <c r="A1978" s="2" t="s">
        <v>2260</v>
      </c>
      <c r="B1978" s="8" t="n">
        <v>46189</v>
      </c>
      <c r="C1978" s="2" t="s">
        <v>100</v>
      </c>
      <c r="D1978" s="3" t="str">
        <f aca="false">INDEX(Vendedores!$C$2:$C$101,MATCH(C1978,Vendedores!$A$2:$A$101,0))</f>
        <v>L03</v>
      </c>
      <c r="E1978" s="3" t="str">
        <f aca="false">INDEX(Lojas!$E$2:$E$11,MATCH(D1978,Lojas!$A$2:$A$11,0))</f>
        <v>Sudeste</v>
      </c>
      <c r="F1978" s="2" t="s">
        <v>267</v>
      </c>
      <c r="G1978" s="3" t="str">
        <f aca="false">INDEX(Produtos!$B$2:$B$11,MATCH(F1978,Produtos!$A$2:$A$11,0))&amp;" "&amp;INDEX(Produtos!$C$2:$C$11,MATCH(F1978,Produtos!$A$2:$A$11,0))</f>
        <v>Carregador de Celular Tipo C</v>
      </c>
      <c r="H1978" s="2" t="n">
        <v>1</v>
      </c>
      <c r="I1978" s="5" t="n">
        <f aca="false">INDEX(Produtos!$D$2:$D$11,MATCH(F1978,Produtos!$A$2:$A$11,0))</f>
        <v>44.9</v>
      </c>
      <c r="J1978" s="5" t="n">
        <f aca="false">H1978*I1978</f>
        <v>44.9</v>
      </c>
      <c r="K1978" s="5" t="n">
        <f aca="false">INDEX(Produtos!$E$2:$E$11,MATCH(F1978,Produtos!$A$2:$A$11,0))</f>
        <v>18</v>
      </c>
      <c r="L1978" s="5" t="n">
        <f aca="false">H1978*K1978</f>
        <v>18</v>
      </c>
    </row>
    <row r="1979" customFormat="false" ht="15" hidden="false" customHeight="false" outlineLevel="0" collapsed="false">
      <c r="A1979" s="2" t="s">
        <v>2261</v>
      </c>
      <c r="B1979" s="8" t="n">
        <v>46190</v>
      </c>
      <c r="C1979" s="2" t="s">
        <v>98</v>
      </c>
      <c r="D1979" s="3" t="str">
        <f aca="false">INDEX(Vendedores!$C$2:$C$101,MATCH(C1979,Vendedores!$A$2:$A$101,0))</f>
        <v>L03</v>
      </c>
      <c r="E1979" s="3" t="str">
        <f aca="false">INDEX(Lojas!$E$2:$E$11,MATCH(D1979,Lojas!$A$2:$A$11,0))</f>
        <v>Sudeste</v>
      </c>
      <c r="F1979" s="2" t="s">
        <v>265</v>
      </c>
      <c r="G1979" s="3" t="str">
        <f aca="false">INDEX(Produtos!$B$2:$B$11,MATCH(F1979,Produtos!$A$2:$A$11,0))&amp;" "&amp;INDEX(Produtos!$C$2:$C$11,MATCH(F1979,Produtos!$A$2:$A$11,0))</f>
        <v>Fone de Ouvido Headset</v>
      </c>
      <c r="H1979" s="2" t="n">
        <v>1</v>
      </c>
      <c r="I1979" s="5" t="n">
        <f aca="false">INDEX(Produtos!$D$2:$D$11,MATCH(F1979,Produtos!$A$2:$A$11,0))</f>
        <v>249.9</v>
      </c>
      <c r="J1979" s="5" t="n">
        <f aca="false">H1979*I1979</f>
        <v>249.9</v>
      </c>
      <c r="K1979" s="5" t="n">
        <f aca="false">INDEX(Produtos!$E$2:$E$11,MATCH(F1979,Produtos!$A$2:$A$11,0))</f>
        <v>145</v>
      </c>
      <c r="L1979" s="5" t="n">
        <f aca="false">H1979*K1979</f>
        <v>145</v>
      </c>
    </row>
    <row r="1980" customFormat="false" ht="15" hidden="false" customHeight="false" outlineLevel="0" collapsed="false">
      <c r="A1980" s="2" t="s">
        <v>2262</v>
      </c>
      <c r="B1980" s="8" t="n">
        <v>46190</v>
      </c>
      <c r="C1980" s="2" t="s">
        <v>126</v>
      </c>
      <c r="D1980" s="3" t="str">
        <f aca="false">INDEX(Vendedores!$C$2:$C$101,MATCH(C1980,Vendedores!$A$2:$A$101,0))</f>
        <v>L04</v>
      </c>
      <c r="E1980" s="3" t="str">
        <f aca="false">INDEX(Lojas!$E$2:$E$11,MATCH(D1980,Lojas!$A$2:$A$11,0))</f>
        <v>Sudeste</v>
      </c>
      <c r="F1980" s="2" t="s">
        <v>257</v>
      </c>
      <c r="G1980" s="3" t="str">
        <f aca="false">INDEX(Produtos!$B$2:$B$11,MATCH(F1980,Produtos!$A$2:$A$11,0))&amp;" "&amp;INDEX(Produtos!$C$2:$C$11,MATCH(F1980,Produtos!$A$2:$A$11,0))</f>
        <v>Celular Samsung</v>
      </c>
      <c r="H1980" s="2" t="n">
        <v>1</v>
      </c>
      <c r="I1980" s="5" t="n">
        <f aca="false">INDEX(Produtos!$D$2:$D$11,MATCH(F1980,Produtos!$A$2:$A$11,0))</f>
        <v>2499</v>
      </c>
      <c r="J1980" s="5" t="n">
        <f aca="false">H1980*I1980</f>
        <v>2499</v>
      </c>
      <c r="K1980" s="5" t="n">
        <f aca="false">INDEX(Produtos!$E$2:$E$11,MATCH(F1980,Produtos!$A$2:$A$11,0))</f>
        <v>1800</v>
      </c>
      <c r="L1980" s="5" t="n">
        <f aca="false">H1980*K1980</f>
        <v>1800</v>
      </c>
    </row>
    <row r="1981" customFormat="false" ht="15" hidden="false" customHeight="false" outlineLevel="0" collapsed="false">
      <c r="A1981" s="2" t="s">
        <v>2263</v>
      </c>
      <c r="B1981" s="8" t="n">
        <v>46190</v>
      </c>
      <c r="C1981" s="2" t="s">
        <v>227</v>
      </c>
      <c r="D1981" s="3" t="str">
        <f aca="false">INDEX(Vendedores!$C$2:$C$101,MATCH(C1981,Vendedores!$A$2:$A$101,0))</f>
        <v>L10</v>
      </c>
      <c r="E1981" s="3" t="str">
        <f aca="false">INDEX(Lojas!$E$2:$E$11,MATCH(D1981,Lojas!$A$2:$A$11,0))</f>
        <v>Nordeste</v>
      </c>
      <c r="F1981" s="2" t="s">
        <v>275</v>
      </c>
      <c r="G1981" s="3" t="str">
        <f aca="false">INDEX(Produtos!$B$2:$B$11,MATCH(F1981,Produtos!$A$2:$A$11,0))&amp;" "&amp;INDEX(Produtos!$C$2:$C$11,MATCH(F1981,Produtos!$A$2:$A$11,0))</f>
        <v>Controle de Videogame PS5</v>
      </c>
      <c r="H1981" s="2" t="n">
        <v>2</v>
      </c>
      <c r="I1981" s="5" t="n">
        <f aca="false">INDEX(Produtos!$D$2:$D$11,MATCH(F1981,Produtos!$A$2:$A$11,0))</f>
        <v>379.9</v>
      </c>
      <c r="J1981" s="5" t="n">
        <f aca="false">H1981*I1981</f>
        <v>759.8</v>
      </c>
      <c r="K1981" s="5" t="n">
        <f aca="false">INDEX(Produtos!$E$2:$E$11,MATCH(F1981,Produtos!$A$2:$A$11,0))</f>
        <v>235</v>
      </c>
      <c r="L1981" s="5" t="n">
        <f aca="false">H1981*K1981</f>
        <v>470</v>
      </c>
    </row>
    <row r="1982" customFormat="false" ht="15" hidden="false" customHeight="false" outlineLevel="0" collapsed="false">
      <c r="A1982" s="2" t="s">
        <v>2264</v>
      </c>
      <c r="B1982" s="8" t="n">
        <v>46190</v>
      </c>
      <c r="C1982" s="2" t="s">
        <v>148</v>
      </c>
      <c r="D1982" s="3" t="str">
        <f aca="false">INDEX(Vendedores!$C$2:$C$101,MATCH(C1982,Vendedores!$A$2:$A$101,0))</f>
        <v>L06</v>
      </c>
      <c r="E1982" s="3" t="str">
        <f aca="false">INDEX(Lojas!$E$2:$E$11,MATCH(D1982,Lojas!$A$2:$A$11,0))</f>
        <v>Sul</v>
      </c>
      <c r="F1982" s="2" t="s">
        <v>267</v>
      </c>
      <c r="G1982" s="3" t="str">
        <f aca="false">INDEX(Produtos!$B$2:$B$11,MATCH(F1982,Produtos!$A$2:$A$11,0))&amp;" "&amp;INDEX(Produtos!$C$2:$C$11,MATCH(F1982,Produtos!$A$2:$A$11,0))</f>
        <v>Carregador de Celular Tipo C</v>
      </c>
      <c r="H1982" s="2" t="n">
        <v>1</v>
      </c>
      <c r="I1982" s="5" t="n">
        <f aca="false">INDEX(Produtos!$D$2:$D$11,MATCH(F1982,Produtos!$A$2:$A$11,0))</f>
        <v>44.9</v>
      </c>
      <c r="J1982" s="5" t="n">
        <f aca="false">H1982*I1982</f>
        <v>44.9</v>
      </c>
      <c r="K1982" s="5" t="n">
        <f aca="false">INDEX(Produtos!$E$2:$E$11,MATCH(F1982,Produtos!$A$2:$A$11,0))</f>
        <v>18</v>
      </c>
      <c r="L1982" s="5" t="n">
        <f aca="false">H1982*K1982</f>
        <v>18</v>
      </c>
    </row>
    <row r="1983" customFormat="false" ht="15" hidden="false" customHeight="false" outlineLevel="0" collapsed="false">
      <c r="A1983" s="2" t="s">
        <v>2265</v>
      </c>
      <c r="B1983" s="8" t="n">
        <v>46190</v>
      </c>
      <c r="C1983" s="2" t="s">
        <v>231</v>
      </c>
      <c r="D1983" s="3" t="str">
        <f aca="false">INDEX(Vendedores!$C$2:$C$101,MATCH(C1983,Vendedores!$A$2:$A$101,0))</f>
        <v>L10</v>
      </c>
      <c r="E1983" s="3" t="str">
        <f aca="false">INDEX(Lojas!$E$2:$E$11,MATCH(D1983,Lojas!$A$2:$A$11,0))</f>
        <v>Nordeste</v>
      </c>
      <c r="F1983" s="2" t="s">
        <v>260</v>
      </c>
      <c r="G1983" s="3" t="str">
        <f aca="false">INDEX(Produtos!$B$2:$B$11,MATCH(F1983,Produtos!$A$2:$A$11,0))&amp;" "&amp;INDEX(Produtos!$C$2:$C$11,MATCH(F1983,Produtos!$A$2:$A$11,0))</f>
        <v>Celular Motorola</v>
      </c>
      <c r="H1983" s="2" t="n">
        <v>2</v>
      </c>
      <c r="I1983" s="5" t="n">
        <f aca="false">INDEX(Produtos!$D$2:$D$11,MATCH(F1983,Produtos!$A$2:$A$11,0))</f>
        <v>1799</v>
      </c>
      <c r="J1983" s="5" t="n">
        <f aca="false">H1983*I1983</f>
        <v>3598</v>
      </c>
      <c r="K1983" s="5" t="n">
        <f aca="false">INDEX(Produtos!$E$2:$E$11,MATCH(F1983,Produtos!$A$2:$A$11,0))</f>
        <v>1250</v>
      </c>
      <c r="L1983" s="5" t="n">
        <f aca="false">H1983*K1983</f>
        <v>2500</v>
      </c>
    </row>
    <row r="1984" customFormat="false" ht="15" hidden="false" customHeight="false" outlineLevel="0" collapsed="false">
      <c r="A1984" s="2" t="s">
        <v>2266</v>
      </c>
      <c r="B1984" s="8" t="n">
        <v>46190</v>
      </c>
      <c r="C1984" s="2" t="s">
        <v>70</v>
      </c>
      <c r="D1984" s="3" t="str">
        <f aca="false">INDEX(Vendedores!$C$2:$C$101,MATCH(C1984,Vendedores!$A$2:$A$101,0))</f>
        <v>L02</v>
      </c>
      <c r="E1984" s="3" t="str">
        <f aca="false">INDEX(Lojas!$E$2:$E$11,MATCH(D1984,Lojas!$A$2:$A$11,0))</f>
        <v>Sudeste</v>
      </c>
      <c r="F1984" s="2" t="s">
        <v>275</v>
      </c>
      <c r="G1984" s="3" t="str">
        <f aca="false">INDEX(Produtos!$B$2:$B$11,MATCH(F1984,Produtos!$A$2:$A$11,0))&amp;" "&amp;INDEX(Produtos!$C$2:$C$11,MATCH(F1984,Produtos!$A$2:$A$11,0))</f>
        <v>Controle de Videogame PS5</v>
      </c>
      <c r="H1984" s="2" t="n">
        <v>1</v>
      </c>
      <c r="I1984" s="5" t="n">
        <f aca="false">INDEX(Produtos!$D$2:$D$11,MATCH(F1984,Produtos!$A$2:$A$11,0))</f>
        <v>379.9</v>
      </c>
      <c r="J1984" s="5" t="n">
        <f aca="false">H1984*I1984</f>
        <v>379.9</v>
      </c>
      <c r="K1984" s="5" t="n">
        <f aca="false">INDEX(Produtos!$E$2:$E$11,MATCH(F1984,Produtos!$A$2:$A$11,0))</f>
        <v>235</v>
      </c>
      <c r="L1984" s="5" t="n">
        <f aca="false">H1984*K1984</f>
        <v>235</v>
      </c>
    </row>
    <row r="1985" customFormat="false" ht="15" hidden="false" customHeight="false" outlineLevel="0" collapsed="false">
      <c r="A1985" s="2" t="s">
        <v>2267</v>
      </c>
      <c r="B1985" s="8" t="n">
        <v>46190</v>
      </c>
      <c r="C1985" s="2" t="s">
        <v>219</v>
      </c>
      <c r="D1985" s="3" t="str">
        <f aca="false">INDEX(Vendedores!$C$2:$C$101,MATCH(C1985,Vendedores!$A$2:$A$101,0))</f>
        <v>L09</v>
      </c>
      <c r="E1985" s="3" t="str">
        <f aca="false">INDEX(Lojas!$E$2:$E$11,MATCH(D1985,Lojas!$A$2:$A$11,0))</f>
        <v>Nordeste</v>
      </c>
      <c r="F1985" s="2" t="s">
        <v>262</v>
      </c>
      <c r="G1985" s="3" t="str">
        <f aca="false">INDEX(Produtos!$B$2:$B$11,MATCH(F1985,Produtos!$A$2:$A$11,0))&amp;" "&amp;INDEX(Produtos!$C$2:$C$11,MATCH(F1985,Produtos!$A$2:$A$11,0))</f>
        <v>Fone de Ouvido De Celular</v>
      </c>
      <c r="H1985" s="2" t="n">
        <v>1</v>
      </c>
      <c r="I1985" s="5" t="n">
        <f aca="false">INDEX(Produtos!$D$2:$D$11,MATCH(F1985,Produtos!$A$2:$A$11,0))</f>
        <v>59.9</v>
      </c>
      <c r="J1985" s="5" t="n">
        <f aca="false">H1985*I1985</f>
        <v>59.9</v>
      </c>
      <c r="K1985" s="5" t="n">
        <f aca="false">INDEX(Produtos!$E$2:$E$11,MATCH(F1985,Produtos!$A$2:$A$11,0))</f>
        <v>28</v>
      </c>
      <c r="L1985" s="5" t="n">
        <f aca="false">H1985*K1985</f>
        <v>28</v>
      </c>
    </row>
    <row r="1986" customFormat="false" ht="15" hidden="false" customHeight="false" outlineLevel="0" collapsed="false">
      <c r="A1986" s="2" t="s">
        <v>2268</v>
      </c>
      <c r="B1986" s="8" t="n">
        <v>46190</v>
      </c>
      <c r="C1986" s="2" t="s">
        <v>98</v>
      </c>
      <c r="D1986" s="3" t="str">
        <f aca="false">INDEX(Vendedores!$C$2:$C$101,MATCH(C1986,Vendedores!$A$2:$A$101,0))</f>
        <v>L03</v>
      </c>
      <c r="E1986" s="3" t="str">
        <f aca="false">INDEX(Lojas!$E$2:$E$11,MATCH(D1986,Lojas!$A$2:$A$11,0))</f>
        <v>Sudeste</v>
      </c>
      <c r="F1986" s="2" t="s">
        <v>265</v>
      </c>
      <c r="G1986" s="3" t="str">
        <f aca="false">INDEX(Produtos!$B$2:$B$11,MATCH(F1986,Produtos!$A$2:$A$11,0))&amp;" "&amp;INDEX(Produtos!$C$2:$C$11,MATCH(F1986,Produtos!$A$2:$A$11,0))</f>
        <v>Fone de Ouvido Headset</v>
      </c>
      <c r="H1986" s="2" t="n">
        <v>1</v>
      </c>
      <c r="I1986" s="5" t="n">
        <f aca="false">INDEX(Produtos!$D$2:$D$11,MATCH(F1986,Produtos!$A$2:$A$11,0))</f>
        <v>249.9</v>
      </c>
      <c r="J1986" s="5" t="n">
        <f aca="false">H1986*I1986</f>
        <v>249.9</v>
      </c>
      <c r="K1986" s="5" t="n">
        <f aca="false">INDEX(Produtos!$E$2:$E$11,MATCH(F1986,Produtos!$A$2:$A$11,0))</f>
        <v>145</v>
      </c>
      <c r="L1986" s="5" t="n">
        <f aca="false">H1986*K1986</f>
        <v>145</v>
      </c>
    </row>
    <row r="1987" customFormat="false" ht="15" hidden="false" customHeight="false" outlineLevel="0" collapsed="false">
      <c r="A1987" s="2" t="s">
        <v>2269</v>
      </c>
      <c r="B1987" s="8" t="n">
        <v>46190</v>
      </c>
      <c r="C1987" s="2" t="s">
        <v>92</v>
      </c>
      <c r="D1987" s="3" t="str">
        <f aca="false">INDEX(Vendedores!$C$2:$C$101,MATCH(C1987,Vendedores!$A$2:$A$101,0))</f>
        <v>L03</v>
      </c>
      <c r="E1987" s="3" t="str">
        <f aca="false">INDEX(Lojas!$E$2:$E$11,MATCH(D1987,Lojas!$A$2:$A$11,0))</f>
        <v>Sudeste</v>
      </c>
      <c r="F1987" s="2" t="s">
        <v>262</v>
      </c>
      <c r="G1987" s="3" t="str">
        <f aca="false">INDEX(Produtos!$B$2:$B$11,MATCH(F1987,Produtos!$A$2:$A$11,0))&amp;" "&amp;INDEX(Produtos!$C$2:$C$11,MATCH(F1987,Produtos!$A$2:$A$11,0))</f>
        <v>Fone de Ouvido De Celular</v>
      </c>
      <c r="H1987" s="2" t="n">
        <v>1</v>
      </c>
      <c r="I1987" s="5" t="n">
        <f aca="false">INDEX(Produtos!$D$2:$D$11,MATCH(F1987,Produtos!$A$2:$A$11,0))</f>
        <v>59.9</v>
      </c>
      <c r="J1987" s="5" t="n">
        <f aca="false">H1987*I1987</f>
        <v>59.9</v>
      </c>
      <c r="K1987" s="5" t="n">
        <f aca="false">INDEX(Produtos!$E$2:$E$11,MATCH(F1987,Produtos!$A$2:$A$11,0))</f>
        <v>28</v>
      </c>
      <c r="L1987" s="5" t="n">
        <f aca="false">H1987*K1987</f>
        <v>28</v>
      </c>
    </row>
    <row r="1988" customFormat="false" ht="15" hidden="false" customHeight="false" outlineLevel="0" collapsed="false">
      <c r="A1988" s="2" t="s">
        <v>2270</v>
      </c>
      <c r="B1988" s="8" t="n">
        <v>46190</v>
      </c>
      <c r="C1988" s="2" t="s">
        <v>180</v>
      </c>
      <c r="D1988" s="3" t="str">
        <f aca="false">INDEX(Vendedores!$C$2:$C$101,MATCH(C1988,Vendedores!$A$2:$A$101,0))</f>
        <v>L07</v>
      </c>
      <c r="E1988" s="3" t="str">
        <f aca="false">INDEX(Lojas!$E$2:$E$11,MATCH(D1988,Lojas!$A$2:$A$11,0))</f>
        <v>Sul</v>
      </c>
      <c r="F1988" s="2" t="s">
        <v>257</v>
      </c>
      <c r="G1988" s="3" t="str">
        <f aca="false">INDEX(Produtos!$B$2:$B$11,MATCH(F1988,Produtos!$A$2:$A$11,0))&amp;" "&amp;INDEX(Produtos!$C$2:$C$11,MATCH(F1988,Produtos!$A$2:$A$11,0))</f>
        <v>Celular Samsung</v>
      </c>
      <c r="H1988" s="2" t="n">
        <v>1</v>
      </c>
      <c r="I1988" s="5" t="n">
        <f aca="false">INDEX(Produtos!$D$2:$D$11,MATCH(F1988,Produtos!$A$2:$A$11,0))</f>
        <v>2499</v>
      </c>
      <c r="J1988" s="5" t="n">
        <f aca="false">H1988*I1988</f>
        <v>2499</v>
      </c>
      <c r="K1988" s="5" t="n">
        <f aca="false">INDEX(Produtos!$E$2:$E$11,MATCH(F1988,Produtos!$A$2:$A$11,0))</f>
        <v>1800</v>
      </c>
      <c r="L1988" s="5" t="n">
        <f aca="false">H1988*K1988</f>
        <v>1800</v>
      </c>
    </row>
    <row r="1989" customFormat="false" ht="15" hidden="false" customHeight="false" outlineLevel="0" collapsed="false">
      <c r="A1989" s="2" t="s">
        <v>2271</v>
      </c>
      <c r="B1989" s="8" t="n">
        <v>46190</v>
      </c>
      <c r="C1989" s="2" t="s">
        <v>82</v>
      </c>
      <c r="D1989" s="3" t="str">
        <f aca="false">INDEX(Vendedores!$C$2:$C$101,MATCH(C1989,Vendedores!$A$2:$A$101,0))</f>
        <v>L02</v>
      </c>
      <c r="E1989" s="3" t="str">
        <f aca="false">INDEX(Lojas!$E$2:$E$11,MATCH(D1989,Lojas!$A$2:$A$11,0))</f>
        <v>Sudeste</v>
      </c>
      <c r="F1989" s="2" t="s">
        <v>257</v>
      </c>
      <c r="G1989" s="3" t="str">
        <f aca="false">INDEX(Produtos!$B$2:$B$11,MATCH(F1989,Produtos!$A$2:$A$11,0))&amp;" "&amp;INDEX(Produtos!$C$2:$C$11,MATCH(F1989,Produtos!$A$2:$A$11,0))</f>
        <v>Celular Samsung</v>
      </c>
      <c r="H1989" s="2" t="n">
        <v>2</v>
      </c>
      <c r="I1989" s="5" t="n">
        <f aca="false">INDEX(Produtos!$D$2:$D$11,MATCH(F1989,Produtos!$A$2:$A$11,0))</f>
        <v>2499</v>
      </c>
      <c r="J1989" s="5" t="n">
        <f aca="false">H1989*I1989</f>
        <v>4998</v>
      </c>
      <c r="K1989" s="5" t="n">
        <f aca="false">INDEX(Produtos!$E$2:$E$11,MATCH(F1989,Produtos!$A$2:$A$11,0))</f>
        <v>1800</v>
      </c>
      <c r="L1989" s="5" t="n">
        <f aca="false">H1989*K1989</f>
        <v>3600</v>
      </c>
    </row>
    <row r="1990" customFormat="false" ht="15" hidden="false" customHeight="false" outlineLevel="0" collapsed="false">
      <c r="A1990" s="2" t="s">
        <v>2272</v>
      </c>
      <c r="B1990" s="8" t="n">
        <v>46190</v>
      </c>
      <c r="C1990" s="2" t="s">
        <v>201</v>
      </c>
      <c r="D1990" s="3" t="str">
        <f aca="false">INDEX(Vendedores!$C$2:$C$101,MATCH(C1990,Vendedores!$A$2:$A$101,0))</f>
        <v>L08</v>
      </c>
      <c r="E1990" s="3" t="str">
        <f aca="false">INDEX(Lojas!$E$2:$E$11,MATCH(D1990,Lojas!$A$2:$A$11,0))</f>
        <v>Nordeste</v>
      </c>
      <c r="F1990" s="2" t="s">
        <v>262</v>
      </c>
      <c r="G1990" s="3" t="str">
        <f aca="false">INDEX(Produtos!$B$2:$B$11,MATCH(F1990,Produtos!$A$2:$A$11,0))&amp;" "&amp;INDEX(Produtos!$C$2:$C$11,MATCH(F1990,Produtos!$A$2:$A$11,0))</f>
        <v>Fone de Ouvido De Celular</v>
      </c>
      <c r="H1990" s="2" t="n">
        <v>1</v>
      </c>
      <c r="I1990" s="5" t="n">
        <f aca="false">INDEX(Produtos!$D$2:$D$11,MATCH(F1990,Produtos!$A$2:$A$11,0))</f>
        <v>59.9</v>
      </c>
      <c r="J1990" s="5" t="n">
        <f aca="false">H1990*I1990</f>
        <v>59.9</v>
      </c>
      <c r="K1990" s="5" t="n">
        <f aca="false">INDEX(Produtos!$E$2:$E$11,MATCH(F1990,Produtos!$A$2:$A$11,0))</f>
        <v>28</v>
      </c>
      <c r="L1990" s="5" t="n">
        <f aca="false">H1990*K1990</f>
        <v>28</v>
      </c>
    </row>
    <row r="1991" customFormat="false" ht="15" hidden="false" customHeight="false" outlineLevel="0" collapsed="false">
      <c r="A1991" s="2" t="s">
        <v>2273</v>
      </c>
      <c r="B1991" s="8" t="n">
        <v>46190</v>
      </c>
      <c r="C1991" s="2" t="s">
        <v>201</v>
      </c>
      <c r="D1991" s="3" t="str">
        <f aca="false">INDEX(Vendedores!$C$2:$C$101,MATCH(C1991,Vendedores!$A$2:$A$101,0))</f>
        <v>L08</v>
      </c>
      <c r="E1991" s="3" t="str">
        <f aca="false">INDEX(Lojas!$E$2:$E$11,MATCH(D1991,Lojas!$A$2:$A$11,0))</f>
        <v>Nordeste</v>
      </c>
      <c r="F1991" s="2" t="s">
        <v>270</v>
      </c>
      <c r="G1991" s="3" t="str">
        <f aca="false">INDEX(Produtos!$B$2:$B$11,MATCH(F1991,Produtos!$A$2:$A$11,0))&amp;" "&amp;INDEX(Produtos!$C$2:$C$11,MATCH(F1991,Produtos!$A$2:$A$11,0))</f>
        <v>Controle de Videogame Xbox</v>
      </c>
      <c r="H1991" s="2" t="n">
        <v>1</v>
      </c>
      <c r="I1991" s="5" t="n">
        <f aca="false">INDEX(Produtos!$D$2:$D$11,MATCH(F1991,Produtos!$A$2:$A$11,0))</f>
        <v>349.9</v>
      </c>
      <c r="J1991" s="5" t="n">
        <f aca="false">H1991*I1991</f>
        <v>349.9</v>
      </c>
      <c r="K1991" s="5" t="n">
        <f aca="false">INDEX(Produtos!$E$2:$E$11,MATCH(F1991,Produtos!$A$2:$A$11,0))</f>
        <v>215</v>
      </c>
      <c r="L1991" s="5" t="n">
        <f aca="false">H1991*K1991</f>
        <v>215</v>
      </c>
    </row>
    <row r="1992" customFormat="false" ht="15" hidden="false" customHeight="false" outlineLevel="0" collapsed="false">
      <c r="A1992" s="2" t="s">
        <v>2274</v>
      </c>
      <c r="B1992" s="8" t="n">
        <v>46190</v>
      </c>
      <c r="C1992" s="2" t="s">
        <v>176</v>
      </c>
      <c r="D1992" s="3" t="str">
        <f aca="false">INDEX(Vendedores!$C$2:$C$101,MATCH(C1992,Vendedores!$A$2:$A$101,0))</f>
        <v>L07</v>
      </c>
      <c r="E1992" s="3" t="str">
        <f aca="false">INDEX(Lojas!$E$2:$E$11,MATCH(D1992,Lojas!$A$2:$A$11,0))</f>
        <v>Sul</v>
      </c>
      <c r="F1992" s="2" t="s">
        <v>275</v>
      </c>
      <c r="G1992" s="3" t="str">
        <f aca="false">INDEX(Produtos!$B$2:$B$11,MATCH(F1992,Produtos!$A$2:$A$11,0))&amp;" "&amp;INDEX(Produtos!$C$2:$C$11,MATCH(F1992,Produtos!$A$2:$A$11,0))</f>
        <v>Controle de Videogame PS5</v>
      </c>
      <c r="H1992" s="2" t="n">
        <v>1</v>
      </c>
      <c r="I1992" s="5" t="n">
        <f aca="false">INDEX(Produtos!$D$2:$D$11,MATCH(F1992,Produtos!$A$2:$A$11,0))</f>
        <v>379.9</v>
      </c>
      <c r="J1992" s="5" t="n">
        <f aca="false">H1992*I1992</f>
        <v>379.9</v>
      </c>
      <c r="K1992" s="5" t="n">
        <f aca="false">INDEX(Produtos!$E$2:$E$11,MATCH(F1992,Produtos!$A$2:$A$11,0))</f>
        <v>235</v>
      </c>
      <c r="L1992" s="5" t="n">
        <f aca="false">H1992*K1992</f>
        <v>235</v>
      </c>
    </row>
    <row r="1993" customFormat="false" ht="15" hidden="false" customHeight="false" outlineLevel="0" collapsed="false">
      <c r="A1993" s="2" t="s">
        <v>2275</v>
      </c>
      <c r="B1993" s="8" t="n">
        <v>46190</v>
      </c>
      <c r="C1993" s="2" t="s">
        <v>140</v>
      </c>
      <c r="D1993" s="3" t="str">
        <f aca="false">INDEX(Vendedores!$C$2:$C$101,MATCH(C1993,Vendedores!$A$2:$A$101,0))</f>
        <v>L05</v>
      </c>
      <c r="E1993" s="3" t="str">
        <f aca="false">INDEX(Lojas!$E$2:$E$11,MATCH(D1993,Lojas!$A$2:$A$11,0))</f>
        <v>Sul</v>
      </c>
      <c r="F1993" s="2" t="s">
        <v>262</v>
      </c>
      <c r="G1993" s="3" t="str">
        <f aca="false">INDEX(Produtos!$B$2:$B$11,MATCH(F1993,Produtos!$A$2:$A$11,0))&amp;" "&amp;INDEX(Produtos!$C$2:$C$11,MATCH(F1993,Produtos!$A$2:$A$11,0))</f>
        <v>Fone de Ouvido De Celular</v>
      </c>
      <c r="H1993" s="2" t="n">
        <v>1</v>
      </c>
      <c r="I1993" s="5" t="n">
        <f aca="false">INDEX(Produtos!$D$2:$D$11,MATCH(F1993,Produtos!$A$2:$A$11,0))</f>
        <v>59.9</v>
      </c>
      <c r="J1993" s="5" t="n">
        <f aca="false">H1993*I1993</f>
        <v>59.9</v>
      </c>
      <c r="K1993" s="5" t="n">
        <f aca="false">INDEX(Produtos!$E$2:$E$11,MATCH(F1993,Produtos!$A$2:$A$11,0))</f>
        <v>28</v>
      </c>
      <c r="L1993" s="5" t="n">
        <f aca="false">H1993*K1993</f>
        <v>28</v>
      </c>
    </row>
    <row r="1994" customFormat="false" ht="15" hidden="false" customHeight="false" outlineLevel="0" collapsed="false">
      <c r="A1994" s="2" t="s">
        <v>2276</v>
      </c>
      <c r="B1994" s="8" t="n">
        <v>46190</v>
      </c>
      <c r="C1994" s="2" t="s">
        <v>131</v>
      </c>
      <c r="D1994" s="3" t="str">
        <f aca="false">INDEX(Vendedores!$C$2:$C$101,MATCH(C1994,Vendedores!$A$2:$A$101,0))</f>
        <v>L05</v>
      </c>
      <c r="E1994" s="3" t="str">
        <f aca="false">INDEX(Lojas!$E$2:$E$11,MATCH(D1994,Lojas!$A$2:$A$11,0))</f>
        <v>Sul</v>
      </c>
      <c r="F1994" s="2" t="s">
        <v>275</v>
      </c>
      <c r="G1994" s="3" t="str">
        <f aca="false">INDEX(Produtos!$B$2:$B$11,MATCH(F1994,Produtos!$A$2:$A$11,0))&amp;" "&amp;INDEX(Produtos!$C$2:$C$11,MATCH(F1994,Produtos!$A$2:$A$11,0))</f>
        <v>Controle de Videogame PS5</v>
      </c>
      <c r="H1994" s="2" t="n">
        <v>1</v>
      </c>
      <c r="I1994" s="5" t="n">
        <f aca="false">INDEX(Produtos!$D$2:$D$11,MATCH(F1994,Produtos!$A$2:$A$11,0))</f>
        <v>379.9</v>
      </c>
      <c r="J1994" s="5" t="n">
        <f aca="false">H1994*I1994</f>
        <v>379.9</v>
      </c>
      <c r="K1994" s="5" t="n">
        <f aca="false">INDEX(Produtos!$E$2:$E$11,MATCH(F1994,Produtos!$A$2:$A$11,0))</f>
        <v>235</v>
      </c>
      <c r="L1994" s="5" t="n">
        <f aca="false">H1994*K1994</f>
        <v>235</v>
      </c>
    </row>
    <row r="1995" customFormat="false" ht="15" hidden="false" customHeight="false" outlineLevel="0" collapsed="false">
      <c r="A1995" s="2" t="s">
        <v>2277</v>
      </c>
      <c r="B1995" s="8" t="n">
        <v>46190</v>
      </c>
      <c r="C1995" s="2" t="s">
        <v>189</v>
      </c>
      <c r="D1995" s="3" t="str">
        <f aca="false">INDEX(Vendedores!$C$2:$C$101,MATCH(C1995,Vendedores!$A$2:$A$101,0))</f>
        <v>L08</v>
      </c>
      <c r="E1995" s="3" t="str">
        <f aca="false">INDEX(Lojas!$E$2:$E$11,MATCH(D1995,Lojas!$A$2:$A$11,0))</f>
        <v>Nordeste</v>
      </c>
      <c r="F1995" s="2" t="s">
        <v>260</v>
      </c>
      <c r="G1995" s="3" t="str">
        <f aca="false">INDEX(Produtos!$B$2:$B$11,MATCH(F1995,Produtos!$A$2:$A$11,0))&amp;" "&amp;INDEX(Produtos!$C$2:$C$11,MATCH(F1995,Produtos!$A$2:$A$11,0))</f>
        <v>Celular Motorola</v>
      </c>
      <c r="H1995" s="2" t="n">
        <v>3</v>
      </c>
      <c r="I1995" s="5" t="n">
        <f aca="false">INDEX(Produtos!$D$2:$D$11,MATCH(F1995,Produtos!$A$2:$A$11,0))</f>
        <v>1799</v>
      </c>
      <c r="J1995" s="5" t="n">
        <f aca="false">H1995*I1995</f>
        <v>5397</v>
      </c>
      <c r="K1995" s="5" t="n">
        <f aca="false">INDEX(Produtos!$E$2:$E$11,MATCH(F1995,Produtos!$A$2:$A$11,0))</f>
        <v>1250</v>
      </c>
      <c r="L1995" s="5" t="n">
        <f aca="false">H1995*K1995</f>
        <v>3750</v>
      </c>
    </row>
    <row r="1996" customFormat="false" ht="15" hidden="false" customHeight="false" outlineLevel="0" collapsed="false">
      <c r="A1996" s="2" t="s">
        <v>2278</v>
      </c>
      <c r="B1996" s="8" t="n">
        <v>46191</v>
      </c>
      <c r="C1996" s="2" t="s">
        <v>185</v>
      </c>
      <c r="D1996" s="3" t="str">
        <f aca="false">INDEX(Vendedores!$C$2:$C$101,MATCH(C1996,Vendedores!$A$2:$A$101,0))</f>
        <v>L08</v>
      </c>
      <c r="E1996" s="3" t="str">
        <f aca="false">INDEX(Lojas!$E$2:$E$11,MATCH(D1996,Lojas!$A$2:$A$11,0))</f>
        <v>Nordeste</v>
      </c>
      <c r="F1996" s="2" t="s">
        <v>255</v>
      </c>
      <c r="G1996" s="3" t="str">
        <f aca="false">INDEX(Produtos!$B$2:$B$11,MATCH(F1996,Produtos!$A$2:$A$11,0))&amp;" "&amp;INDEX(Produtos!$C$2:$C$11,MATCH(F1996,Produtos!$A$2:$A$11,0))</f>
        <v>Notebook Positivo</v>
      </c>
      <c r="H1996" s="2" t="n">
        <v>2</v>
      </c>
      <c r="I1996" s="5" t="n">
        <f aca="false">INDEX(Produtos!$D$2:$D$11,MATCH(F1996,Produtos!$A$2:$A$11,0))</f>
        <v>2199</v>
      </c>
      <c r="J1996" s="5" t="n">
        <f aca="false">H1996*I1996</f>
        <v>4398</v>
      </c>
      <c r="K1996" s="5" t="n">
        <f aca="false">INDEX(Produtos!$E$2:$E$11,MATCH(F1996,Produtos!$A$2:$A$11,0))</f>
        <v>1550</v>
      </c>
      <c r="L1996" s="5" t="n">
        <f aca="false">H1996*K1996</f>
        <v>3100</v>
      </c>
    </row>
    <row r="1997" customFormat="false" ht="15" hidden="false" customHeight="false" outlineLevel="0" collapsed="false">
      <c r="A1997" s="2" t="s">
        <v>2279</v>
      </c>
      <c r="B1997" s="8" t="n">
        <v>46191</v>
      </c>
      <c r="C1997" s="2" t="s">
        <v>229</v>
      </c>
      <c r="D1997" s="3" t="str">
        <f aca="false">INDEX(Vendedores!$C$2:$C$101,MATCH(C1997,Vendedores!$A$2:$A$101,0))</f>
        <v>L10</v>
      </c>
      <c r="E1997" s="3" t="str">
        <f aca="false">INDEX(Lojas!$E$2:$E$11,MATCH(D1997,Lojas!$A$2:$A$11,0))</f>
        <v>Nordeste</v>
      </c>
      <c r="F1997" s="2" t="s">
        <v>275</v>
      </c>
      <c r="G1997" s="3" t="str">
        <f aca="false">INDEX(Produtos!$B$2:$B$11,MATCH(F1997,Produtos!$A$2:$A$11,0))&amp;" "&amp;INDEX(Produtos!$C$2:$C$11,MATCH(F1997,Produtos!$A$2:$A$11,0))</f>
        <v>Controle de Videogame PS5</v>
      </c>
      <c r="H1997" s="2" t="n">
        <v>1</v>
      </c>
      <c r="I1997" s="5" t="n">
        <f aca="false">INDEX(Produtos!$D$2:$D$11,MATCH(F1997,Produtos!$A$2:$A$11,0))</f>
        <v>379.9</v>
      </c>
      <c r="J1997" s="5" t="n">
        <f aca="false">H1997*I1997</f>
        <v>379.9</v>
      </c>
      <c r="K1997" s="5" t="n">
        <f aca="false">INDEX(Produtos!$E$2:$E$11,MATCH(F1997,Produtos!$A$2:$A$11,0))</f>
        <v>235</v>
      </c>
      <c r="L1997" s="5" t="n">
        <f aca="false">H1997*K1997</f>
        <v>235</v>
      </c>
    </row>
    <row r="1998" customFormat="false" ht="15" hidden="false" customHeight="false" outlineLevel="0" collapsed="false">
      <c r="A1998" s="2" t="s">
        <v>2280</v>
      </c>
      <c r="B1998" s="8" t="n">
        <v>46191</v>
      </c>
      <c r="C1998" s="2" t="s">
        <v>56</v>
      </c>
      <c r="D1998" s="3" t="str">
        <f aca="false">INDEX(Vendedores!$C$2:$C$101,MATCH(C1998,Vendedores!$A$2:$A$101,0))</f>
        <v>L01</v>
      </c>
      <c r="E1998" s="3" t="str">
        <f aca="false">INDEX(Lojas!$E$2:$E$11,MATCH(D1998,Lojas!$A$2:$A$11,0))</f>
        <v>Sudeste</v>
      </c>
      <c r="F1998" s="2" t="s">
        <v>270</v>
      </c>
      <c r="G1998" s="3" t="str">
        <f aca="false">INDEX(Produtos!$B$2:$B$11,MATCH(F1998,Produtos!$A$2:$A$11,0))&amp;" "&amp;INDEX(Produtos!$C$2:$C$11,MATCH(F1998,Produtos!$A$2:$A$11,0))</f>
        <v>Controle de Videogame Xbox</v>
      </c>
      <c r="H1998" s="2" t="n">
        <v>3</v>
      </c>
      <c r="I1998" s="5" t="n">
        <f aca="false">INDEX(Produtos!$D$2:$D$11,MATCH(F1998,Produtos!$A$2:$A$11,0))</f>
        <v>349.9</v>
      </c>
      <c r="J1998" s="5" t="n">
        <f aca="false">H1998*I1998</f>
        <v>1049.7</v>
      </c>
      <c r="K1998" s="5" t="n">
        <f aca="false">INDEX(Produtos!$E$2:$E$11,MATCH(F1998,Produtos!$A$2:$A$11,0))</f>
        <v>215</v>
      </c>
      <c r="L1998" s="5" t="n">
        <f aca="false">H1998*K1998</f>
        <v>645</v>
      </c>
    </row>
    <row r="1999" customFormat="false" ht="15" hidden="false" customHeight="false" outlineLevel="0" collapsed="false">
      <c r="A1999" s="2" t="s">
        <v>2281</v>
      </c>
      <c r="B1999" s="8" t="n">
        <v>46191</v>
      </c>
      <c r="C1999" s="2" t="s">
        <v>122</v>
      </c>
      <c r="D1999" s="3" t="str">
        <f aca="false">INDEX(Vendedores!$C$2:$C$101,MATCH(C1999,Vendedores!$A$2:$A$101,0))</f>
        <v>L04</v>
      </c>
      <c r="E1999" s="3" t="str">
        <f aca="false">INDEX(Lojas!$E$2:$E$11,MATCH(D1999,Lojas!$A$2:$A$11,0))</f>
        <v>Sudeste</v>
      </c>
      <c r="F1999" s="2" t="s">
        <v>265</v>
      </c>
      <c r="G1999" s="3" t="str">
        <f aca="false">INDEX(Produtos!$B$2:$B$11,MATCH(F1999,Produtos!$A$2:$A$11,0))&amp;" "&amp;INDEX(Produtos!$C$2:$C$11,MATCH(F1999,Produtos!$A$2:$A$11,0))</f>
        <v>Fone de Ouvido Headset</v>
      </c>
      <c r="H1999" s="2" t="n">
        <v>2</v>
      </c>
      <c r="I1999" s="5" t="n">
        <f aca="false">INDEX(Produtos!$D$2:$D$11,MATCH(F1999,Produtos!$A$2:$A$11,0))</f>
        <v>249.9</v>
      </c>
      <c r="J1999" s="5" t="n">
        <f aca="false">H1999*I1999</f>
        <v>499.8</v>
      </c>
      <c r="K1999" s="5" t="n">
        <f aca="false">INDEX(Produtos!$E$2:$E$11,MATCH(F1999,Produtos!$A$2:$A$11,0))</f>
        <v>145</v>
      </c>
      <c r="L1999" s="5" t="n">
        <f aca="false">H1999*K1999</f>
        <v>290</v>
      </c>
    </row>
    <row r="2000" customFormat="false" ht="15" hidden="false" customHeight="false" outlineLevel="0" collapsed="false">
      <c r="A2000" s="2" t="s">
        <v>2282</v>
      </c>
      <c r="B2000" s="8" t="n">
        <v>46191</v>
      </c>
      <c r="C2000" s="2" t="s">
        <v>215</v>
      </c>
      <c r="D2000" s="3" t="str">
        <f aca="false">INDEX(Vendedores!$C$2:$C$101,MATCH(C2000,Vendedores!$A$2:$A$101,0))</f>
        <v>L09</v>
      </c>
      <c r="E2000" s="3" t="str">
        <f aca="false">INDEX(Lojas!$E$2:$E$11,MATCH(D2000,Lojas!$A$2:$A$11,0))</f>
        <v>Nordeste</v>
      </c>
      <c r="F2000" s="2" t="s">
        <v>260</v>
      </c>
      <c r="G2000" s="3" t="str">
        <f aca="false">INDEX(Produtos!$B$2:$B$11,MATCH(F2000,Produtos!$A$2:$A$11,0))&amp;" "&amp;INDEX(Produtos!$C$2:$C$11,MATCH(F2000,Produtos!$A$2:$A$11,0))</f>
        <v>Celular Motorola</v>
      </c>
      <c r="H2000" s="2" t="n">
        <v>1</v>
      </c>
      <c r="I2000" s="5" t="n">
        <f aca="false">INDEX(Produtos!$D$2:$D$11,MATCH(F2000,Produtos!$A$2:$A$11,0))</f>
        <v>1799</v>
      </c>
      <c r="J2000" s="5" t="n">
        <f aca="false">H2000*I2000</f>
        <v>1799</v>
      </c>
      <c r="K2000" s="5" t="n">
        <f aca="false">INDEX(Produtos!$E$2:$E$11,MATCH(F2000,Produtos!$A$2:$A$11,0))</f>
        <v>1250</v>
      </c>
      <c r="L2000" s="5" t="n">
        <f aca="false">H2000*K2000</f>
        <v>1250</v>
      </c>
    </row>
    <row r="2001" customFormat="false" ht="15" hidden="false" customHeight="false" outlineLevel="0" collapsed="false">
      <c r="A2001" s="2" t="s">
        <v>2283</v>
      </c>
      <c r="B2001" s="8" t="n">
        <v>46191</v>
      </c>
      <c r="C2001" s="2" t="s">
        <v>187</v>
      </c>
      <c r="D2001" s="3" t="str">
        <f aca="false">INDEX(Vendedores!$C$2:$C$101,MATCH(C2001,Vendedores!$A$2:$A$101,0))</f>
        <v>L08</v>
      </c>
      <c r="E2001" s="3" t="str">
        <f aca="false">INDEX(Lojas!$E$2:$E$11,MATCH(D2001,Lojas!$A$2:$A$11,0))</f>
        <v>Nordeste</v>
      </c>
      <c r="F2001" s="2" t="s">
        <v>255</v>
      </c>
      <c r="G2001" s="3" t="str">
        <f aca="false">INDEX(Produtos!$B$2:$B$11,MATCH(F2001,Produtos!$A$2:$A$11,0))&amp;" "&amp;INDEX(Produtos!$C$2:$C$11,MATCH(F2001,Produtos!$A$2:$A$11,0))</f>
        <v>Notebook Positivo</v>
      </c>
      <c r="H2001" s="2" t="n">
        <v>1</v>
      </c>
      <c r="I2001" s="5" t="n">
        <f aca="false">INDEX(Produtos!$D$2:$D$11,MATCH(F2001,Produtos!$A$2:$A$11,0))</f>
        <v>2199</v>
      </c>
      <c r="J2001" s="5" t="n">
        <f aca="false">H2001*I2001</f>
        <v>2199</v>
      </c>
      <c r="K2001" s="5" t="n">
        <f aca="false">INDEX(Produtos!$E$2:$E$11,MATCH(F2001,Produtos!$A$2:$A$11,0))</f>
        <v>1550</v>
      </c>
      <c r="L2001" s="5" t="n">
        <f aca="false">H2001*K2001</f>
        <v>1550</v>
      </c>
    </row>
    <row r="2002" customFormat="false" ht="15" hidden="false" customHeight="false" outlineLevel="0" collapsed="false">
      <c r="A2002" s="2" t="s">
        <v>2284</v>
      </c>
      <c r="B2002" s="8" t="n">
        <v>46191</v>
      </c>
      <c r="C2002" s="2" t="s">
        <v>152</v>
      </c>
      <c r="D2002" s="3" t="str">
        <f aca="false">INDEX(Vendedores!$C$2:$C$101,MATCH(C2002,Vendedores!$A$2:$A$101,0))</f>
        <v>L06</v>
      </c>
      <c r="E2002" s="3" t="str">
        <f aca="false">INDEX(Lojas!$E$2:$E$11,MATCH(D2002,Lojas!$A$2:$A$11,0))</f>
        <v>Sul</v>
      </c>
      <c r="F2002" s="2" t="s">
        <v>270</v>
      </c>
      <c r="G2002" s="3" t="str">
        <f aca="false">INDEX(Produtos!$B$2:$B$11,MATCH(F2002,Produtos!$A$2:$A$11,0))&amp;" "&amp;INDEX(Produtos!$C$2:$C$11,MATCH(F2002,Produtos!$A$2:$A$11,0))</f>
        <v>Controle de Videogame Xbox</v>
      </c>
      <c r="H2002" s="2" t="n">
        <v>2</v>
      </c>
      <c r="I2002" s="5" t="n">
        <f aca="false">INDEX(Produtos!$D$2:$D$11,MATCH(F2002,Produtos!$A$2:$A$11,0))</f>
        <v>349.9</v>
      </c>
      <c r="J2002" s="5" t="n">
        <f aca="false">H2002*I2002</f>
        <v>699.8</v>
      </c>
      <c r="K2002" s="5" t="n">
        <f aca="false">INDEX(Produtos!$E$2:$E$11,MATCH(F2002,Produtos!$A$2:$A$11,0))</f>
        <v>215</v>
      </c>
      <c r="L2002" s="5" t="n">
        <f aca="false">H2002*K2002</f>
        <v>430</v>
      </c>
    </row>
    <row r="2003" customFormat="false" ht="15" hidden="false" customHeight="false" outlineLevel="0" collapsed="false">
      <c r="A2003" s="2" t="s">
        <v>2285</v>
      </c>
      <c r="B2003" s="8" t="n">
        <v>46191</v>
      </c>
      <c r="C2003" s="2" t="s">
        <v>172</v>
      </c>
      <c r="D2003" s="3" t="str">
        <f aca="false">INDEX(Vendedores!$C$2:$C$101,MATCH(C2003,Vendedores!$A$2:$A$101,0))</f>
        <v>L07</v>
      </c>
      <c r="E2003" s="3" t="str">
        <f aca="false">INDEX(Lojas!$E$2:$E$11,MATCH(D2003,Lojas!$A$2:$A$11,0))</f>
        <v>Sul</v>
      </c>
      <c r="F2003" s="2" t="s">
        <v>262</v>
      </c>
      <c r="G2003" s="3" t="str">
        <f aca="false">INDEX(Produtos!$B$2:$B$11,MATCH(F2003,Produtos!$A$2:$A$11,0))&amp;" "&amp;INDEX(Produtos!$C$2:$C$11,MATCH(F2003,Produtos!$A$2:$A$11,0))</f>
        <v>Fone de Ouvido De Celular</v>
      </c>
      <c r="H2003" s="2" t="n">
        <v>1</v>
      </c>
      <c r="I2003" s="5" t="n">
        <f aca="false">INDEX(Produtos!$D$2:$D$11,MATCH(F2003,Produtos!$A$2:$A$11,0))</f>
        <v>59.9</v>
      </c>
      <c r="J2003" s="5" t="n">
        <f aca="false">H2003*I2003</f>
        <v>59.9</v>
      </c>
      <c r="K2003" s="5" t="n">
        <f aca="false">INDEX(Produtos!$E$2:$E$11,MATCH(F2003,Produtos!$A$2:$A$11,0))</f>
        <v>28</v>
      </c>
      <c r="L2003" s="5" t="n">
        <f aca="false">H2003*K2003</f>
        <v>28</v>
      </c>
    </row>
    <row r="2004" customFormat="false" ht="15" hidden="false" customHeight="false" outlineLevel="0" collapsed="false">
      <c r="A2004" s="2" t="s">
        <v>2286</v>
      </c>
      <c r="B2004" s="8" t="n">
        <v>46191</v>
      </c>
      <c r="C2004" s="2" t="s">
        <v>120</v>
      </c>
      <c r="D2004" s="3" t="str">
        <f aca="false">INDEX(Vendedores!$C$2:$C$101,MATCH(C2004,Vendedores!$A$2:$A$101,0))</f>
        <v>L04</v>
      </c>
      <c r="E2004" s="3" t="str">
        <f aca="false">INDEX(Lojas!$E$2:$E$11,MATCH(D2004,Lojas!$A$2:$A$11,0))</f>
        <v>Sudeste</v>
      </c>
      <c r="F2004" s="2" t="s">
        <v>273</v>
      </c>
      <c r="G2004" s="3" t="str">
        <f aca="false">INDEX(Produtos!$B$2:$B$11,MATCH(F2004,Produtos!$A$2:$A$11,0))&amp;" "&amp;INDEX(Produtos!$C$2:$C$11,MATCH(F2004,Produtos!$A$2:$A$11,0))</f>
        <v>Controle de Videogame PS4</v>
      </c>
      <c r="H2004" s="2" t="n">
        <v>2</v>
      </c>
      <c r="I2004" s="5" t="n">
        <f aca="false">INDEX(Produtos!$D$2:$D$11,MATCH(F2004,Produtos!$A$2:$A$11,0))</f>
        <v>299.9</v>
      </c>
      <c r="J2004" s="5" t="n">
        <f aca="false">H2004*I2004</f>
        <v>599.8</v>
      </c>
      <c r="K2004" s="5" t="n">
        <f aca="false">INDEX(Produtos!$E$2:$E$11,MATCH(F2004,Produtos!$A$2:$A$11,0))</f>
        <v>175</v>
      </c>
      <c r="L2004" s="5" t="n">
        <f aca="false">H2004*K2004</f>
        <v>350</v>
      </c>
    </row>
    <row r="2005" customFormat="false" ht="15" hidden="false" customHeight="false" outlineLevel="0" collapsed="false">
      <c r="A2005" s="2" t="s">
        <v>2287</v>
      </c>
      <c r="B2005" s="8" t="n">
        <v>46191</v>
      </c>
      <c r="C2005" s="2" t="s">
        <v>112</v>
      </c>
      <c r="D2005" s="3" t="str">
        <f aca="false">INDEX(Vendedores!$C$2:$C$101,MATCH(C2005,Vendedores!$A$2:$A$101,0))</f>
        <v>L04</v>
      </c>
      <c r="E2005" s="3" t="str">
        <f aca="false">INDEX(Lojas!$E$2:$E$11,MATCH(D2005,Lojas!$A$2:$A$11,0))</f>
        <v>Sudeste</v>
      </c>
      <c r="F2005" s="2" t="s">
        <v>273</v>
      </c>
      <c r="G2005" s="3" t="str">
        <f aca="false">INDEX(Produtos!$B$2:$B$11,MATCH(F2005,Produtos!$A$2:$A$11,0))&amp;" "&amp;INDEX(Produtos!$C$2:$C$11,MATCH(F2005,Produtos!$A$2:$A$11,0))</f>
        <v>Controle de Videogame PS4</v>
      </c>
      <c r="H2005" s="2" t="n">
        <v>1</v>
      </c>
      <c r="I2005" s="5" t="n">
        <f aca="false">INDEX(Produtos!$D$2:$D$11,MATCH(F2005,Produtos!$A$2:$A$11,0))</f>
        <v>299.9</v>
      </c>
      <c r="J2005" s="5" t="n">
        <f aca="false">H2005*I2005</f>
        <v>299.9</v>
      </c>
      <c r="K2005" s="5" t="n">
        <f aca="false">INDEX(Produtos!$E$2:$E$11,MATCH(F2005,Produtos!$A$2:$A$11,0))</f>
        <v>175</v>
      </c>
      <c r="L2005" s="5" t="n">
        <f aca="false">H2005*K2005</f>
        <v>175</v>
      </c>
    </row>
    <row r="2006" customFormat="false" ht="15" hidden="false" customHeight="false" outlineLevel="0" collapsed="false">
      <c r="A2006" s="2" t="s">
        <v>2288</v>
      </c>
      <c r="B2006" s="8" t="n">
        <v>46191</v>
      </c>
      <c r="C2006" s="2" t="s">
        <v>135</v>
      </c>
      <c r="D2006" s="3" t="str">
        <f aca="false">INDEX(Vendedores!$C$2:$C$101,MATCH(C2006,Vendedores!$A$2:$A$101,0))</f>
        <v>L05</v>
      </c>
      <c r="E2006" s="3" t="str">
        <f aca="false">INDEX(Lojas!$E$2:$E$11,MATCH(D2006,Lojas!$A$2:$A$11,0))</f>
        <v>Sul</v>
      </c>
      <c r="F2006" s="2" t="s">
        <v>262</v>
      </c>
      <c r="G2006" s="3" t="str">
        <f aca="false">INDEX(Produtos!$B$2:$B$11,MATCH(F2006,Produtos!$A$2:$A$11,0))&amp;" "&amp;INDEX(Produtos!$C$2:$C$11,MATCH(F2006,Produtos!$A$2:$A$11,0))</f>
        <v>Fone de Ouvido De Celular</v>
      </c>
      <c r="H2006" s="2" t="n">
        <v>1</v>
      </c>
      <c r="I2006" s="5" t="n">
        <f aca="false">INDEX(Produtos!$D$2:$D$11,MATCH(F2006,Produtos!$A$2:$A$11,0))</f>
        <v>59.9</v>
      </c>
      <c r="J2006" s="5" t="n">
        <f aca="false">H2006*I2006</f>
        <v>59.9</v>
      </c>
      <c r="K2006" s="5" t="n">
        <f aca="false">INDEX(Produtos!$E$2:$E$11,MATCH(F2006,Produtos!$A$2:$A$11,0))</f>
        <v>28</v>
      </c>
      <c r="L2006" s="5" t="n">
        <f aca="false">H2006*K2006</f>
        <v>28</v>
      </c>
    </row>
    <row r="2007" customFormat="false" ht="15" hidden="false" customHeight="false" outlineLevel="0" collapsed="false">
      <c r="A2007" s="2" t="s">
        <v>2289</v>
      </c>
      <c r="B2007" s="8" t="n">
        <v>46191</v>
      </c>
      <c r="C2007" s="2" t="s">
        <v>172</v>
      </c>
      <c r="D2007" s="3" t="str">
        <f aca="false">INDEX(Vendedores!$C$2:$C$101,MATCH(C2007,Vendedores!$A$2:$A$101,0))</f>
        <v>L07</v>
      </c>
      <c r="E2007" s="3" t="str">
        <f aca="false">INDEX(Lojas!$E$2:$E$11,MATCH(D2007,Lojas!$A$2:$A$11,0))</f>
        <v>Sul</v>
      </c>
      <c r="F2007" s="2" t="s">
        <v>275</v>
      </c>
      <c r="G2007" s="3" t="str">
        <f aca="false">INDEX(Produtos!$B$2:$B$11,MATCH(F2007,Produtos!$A$2:$A$11,0))&amp;" "&amp;INDEX(Produtos!$C$2:$C$11,MATCH(F2007,Produtos!$A$2:$A$11,0))</f>
        <v>Controle de Videogame PS5</v>
      </c>
      <c r="H2007" s="2" t="n">
        <v>1</v>
      </c>
      <c r="I2007" s="5" t="n">
        <f aca="false">INDEX(Produtos!$D$2:$D$11,MATCH(F2007,Produtos!$A$2:$A$11,0))</f>
        <v>379.9</v>
      </c>
      <c r="J2007" s="5" t="n">
        <f aca="false">H2007*I2007</f>
        <v>379.9</v>
      </c>
      <c r="K2007" s="5" t="n">
        <f aca="false">INDEX(Produtos!$E$2:$E$11,MATCH(F2007,Produtos!$A$2:$A$11,0))</f>
        <v>235</v>
      </c>
      <c r="L2007" s="5" t="n">
        <f aca="false">H2007*K2007</f>
        <v>235</v>
      </c>
    </row>
    <row r="2008" customFormat="false" ht="15" hidden="false" customHeight="false" outlineLevel="0" collapsed="false">
      <c r="A2008" s="2" t="s">
        <v>2290</v>
      </c>
      <c r="B2008" s="8" t="n">
        <v>46191</v>
      </c>
      <c r="C2008" s="2" t="s">
        <v>70</v>
      </c>
      <c r="D2008" s="3" t="str">
        <f aca="false">INDEX(Vendedores!$C$2:$C$101,MATCH(C2008,Vendedores!$A$2:$A$101,0))</f>
        <v>L02</v>
      </c>
      <c r="E2008" s="3" t="str">
        <f aca="false">INDEX(Lojas!$E$2:$E$11,MATCH(D2008,Lojas!$A$2:$A$11,0))</f>
        <v>Sudeste</v>
      </c>
      <c r="F2008" s="2" t="s">
        <v>252</v>
      </c>
      <c r="G2008" s="3" t="str">
        <f aca="false">INDEX(Produtos!$B$2:$B$11,MATCH(F2008,Produtos!$A$2:$A$11,0))&amp;" "&amp;INDEX(Produtos!$C$2:$C$11,MATCH(F2008,Produtos!$A$2:$A$11,0))</f>
        <v>Notebook Lenovo</v>
      </c>
      <c r="H2008" s="2" t="n">
        <v>1</v>
      </c>
      <c r="I2008" s="5" t="n">
        <f aca="false">INDEX(Produtos!$D$2:$D$11,MATCH(F2008,Produtos!$A$2:$A$11,0))</f>
        <v>3199</v>
      </c>
      <c r="J2008" s="5" t="n">
        <f aca="false">H2008*I2008</f>
        <v>3199</v>
      </c>
      <c r="K2008" s="5" t="n">
        <f aca="false">INDEX(Produtos!$E$2:$E$11,MATCH(F2008,Produtos!$A$2:$A$11,0))</f>
        <v>2350</v>
      </c>
      <c r="L2008" s="5" t="n">
        <f aca="false">H2008*K2008</f>
        <v>2350</v>
      </c>
    </row>
    <row r="2009" customFormat="false" ht="15" hidden="false" customHeight="false" outlineLevel="0" collapsed="false">
      <c r="A2009" s="2" t="s">
        <v>2291</v>
      </c>
      <c r="B2009" s="8" t="n">
        <v>46191</v>
      </c>
      <c r="C2009" s="2" t="s">
        <v>138</v>
      </c>
      <c r="D2009" s="3" t="str">
        <f aca="false">INDEX(Vendedores!$C$2:$C$101,MATCH(C2009,Vendedores!$A$2:$A$101,0))</f>
        <v>L05</v>
      </c>
      <c r="E2009" s="3" t="str">
        <f aca="false">INDEX(Lojas!$E$2:$E$11,MATCH(D2009,Lojas!$A$2:$A$11,0))</f>
        <v>Sul</v>
      </c>
      <c r="F2009" s="2" t="s">
        <v>262</v>
      </c>
      <c r="G2009" s="3" t="str">
        <f aca="false">INDEX(Produtos!$B$2:$B$11,MATCH(F2009,Produtos!$A$2:$A$11,0))&amp;" "&amp;INDEX(Produtos!$C$2:$C$11,MATCH(F2009,Produtos!$A$2:$A$11,0))</f>
        <v>Fone de Ouvido De Celular</v>
      </c>
      <c r="H2009" s="2" t="n">
        <v>2</v>
      </c>
      <c r="I2009" s="5" t="n">
        <f aca="false">INDEX(Produtos!$D$2:$D$11,MATCH(F2009,Produtos!$A$2:$A$11,0))</f>
        <v>59.9</v>
      </c>
      <c r="J2009" s="5" t="n">
        <f aca="false">H2009*I2009</f>
        <v>119.8</v>
      </c>
      <c r="K2009" s="5" t="n">
        <f aca="false">INDEX(Produtos!$E$2:$E$11,MATCH(F2009,Produtos!$A$2:$A$11,0))</f>
        <v>28</v>
      </c>
      <c r="L2009" s="5" t="n">
        <f aca="false">H2009*K2009</f>
        <v>56</v>
      </c>
    </row>
    <row r="2010" customFormat="false" ht="15" hidden="false" customHeight="false" outlineLevel="0" collapsed="false">
      <c r="A2010" s="2" t="s">
        <v>2292</v>
      </c>
      <c r="B2010" s="8" t="n">
        <v>46191</v>
      </c>
      <c r="C2010" s="2" t="s">
        <v>154</v>
      </c>
      <c r="D2010" s="3" t="str">
        <f aca="false">INDEX(Vendedores!$C$2:$C$101,MATCH(C2010,Vendedores!$A$2:$A$101,0))</f>
        <v>L06</v>
      </c>
      <c r="E2010" s="3" t="str">
        <f aca="false">INDEX(Lojas!$E$2:$E$11,MATCH(D2010,Lojas!$A$2:$A$11,0))</f>
        <v>Sul</v>
      </c>
      <c r="F2010" s="2" t="s">
        <v>252</v>
      </c>
      <c r="G2010" s="3" t="str">
        <f aca="false">INDEX(Produtos!$B$2:$B$11,MATCH(F2010,Produtos!$A$2:$A$11,0))&amp;" "&amp;INDEX(Produtos!$C$2:$C$11,MATCH(F2010,Produtos!$A$2:$A$11,0))</f>
        <v>Notebook Lenovo</v>
      </c>
      <c r="H2010" s="2" t="n">
        <v>1</v>
      </c>
      <c r="I2010" s="5" t="n">
        <f aca="false">INDEX(Produtos!$D$2:$D$11,MATCH(F2010,Produtos!$A$2:$A$11,0))</f>
        <v>3199</v>
      </c>
      <c r="J2010" s="5" t="n">
        <f aca="false">H2010*I2010</f>
        <v>3199</v>
      </c>
      <c r="K2010" s="5" t="n">
        <f aca="false">INDEX(Produtos!$E$2:$E$11,MATCH(F2010,Produtos!$A$2:$A$11,0))</f>
        <v>2350</v>
      </c>
      <c r="L2010" s="5" t="n">
        <f aca="false">H2010*K2010</f>
        <v>2350</v>
      </c>
    </row>
    <row r="2011" customFormat="false" ht="15" hidden="false" customHeight="false" outlineLevel="0" collapsed="false">
      <c r="A2011" s="2" t="s">
        <v>2293</v>
      </c>
      <c r="B2011" s="8" t="n">
        <v>46191</v>
      </c>
      <c r="C2011" s="2" t="s">
        <v>180</v>
      </c>
      <c r="D2011" s="3" t="str">
        <f aca="false">INDEX(Vendedores!$C$2:$C$101,MATCH(C2011,Vendedores!$A$2:$A$101,0))</f>
        <v>L07</v>
      </c>
      <c r="E2011" s="3" t="str">
        <f aca="false">INDEX(Lojas!$E$2:$E$11,MATCH(D2011,Lojas!$A$2:$A$11,0))</f>
        <v>Sul</v>
      </c>
      <c r="F2011" s="2" t="s">
        <v>275</v>
      </c>
      <c r="G2011" s="3" t="str">
        <f aca="false">INDEX(Produtos!$B$2:$B$11,MATCH(F2011,Produtos!$A$2:$A$11,0))&amp;" "&amp;INDEX(Produtos!$C$2:$C$11,MATCH(F2011,Produtos!$A$2:$A$11,0))</f>
        <v>Controle de Videogame PS5</v>
      </c>
      <c r="H2011" s="2" t="n">
        <v>3</v>
      </c>
      <c r="I2011" s="5" t="n">
        <f aca="false">INDEX(Produtos!$D$2:$D$11,MATCH(F2011,Produtos!$A$2:$A$11,0))</f>
        <v>379.9</v>
      </c>
      <c r="J2011" s="5" t="n">
        <f aca="false">H2011*I2011</f>
        <v>1139.7</v>
      </c>
      <c r="K2011" s="5" t="n">
        <f aca="false">INDEX(Produtos!$E$2:$E$11,MATCH(F2011,Produtos!$A$2:$A$11,0))</f>
        <v>235</v>
      </c>
      <c r="L2011" s="5" t="n">
        <f aca="false">H2011*K2011</f>
        <v>705</v>
      </c>
    </row>
    <row r="2012" customFormat="false" ht="15" hidden="false" customHeight="false" outlineLevel="0" collapsed="false">
      <c r="A2012" s="2" t="s">
        <v>2294</v>
      </c>
      <c r="B2012" s="8" t="n">
        <v>46191</v>
      </c>
      <c r="C2012" s="2" t="s">
        <v>108</v>
      </c>
      <c r="D2012" s="3" t="str">
        <f aca="false">INDEX(Vendedores!$C$2:$C$101,MATCH(C2012,Vendedores!$A$2:$A$101,0))</f>
        <v>L03</v>
      </c>
      <c r="E2012" s="3" t="str">
        <f aca="false">INDEX(Lojas!$E$2:$E$11,MATCH(D2012,Lojas!$A$2:$A$11,0))</f>
        <v>Sudeste</v>
      </c>
      <c r="F2012" s="2" t="s">
        <v>273</v>
      </c>
      <c r="G2012" s="3" t="str">
        <f aca="false">INDEX(Produtos!$B$2:$B$11,MATCH(F2012,Produtos!$A$2:$A$11,0))&amp;" "&amp;INDEX(Produtos!$C$2:$C$11,MATCH(F2012,Produtos!$A$2:$A$11,0))</f>
        <v>Controle de Videogame PS4</v>
      </c>
      <c r="H2012" s="2" t="n">
        <v>2</v>
      </c>
      <c r="I2012" s="5" t="n">
        <f aca="false">INDEX(Produtos!$D$2:$D$11,MATCH(F2012,Produtos!$A$2:$A$11,0))</f>
        <v>299.9</v>
      </c>
      <c r="J2012" s="5" t="n">
        <f aca="false">H2012*I2012</f>
        <v>599.8</v>
      </c>
      <c r="K2012" s="5" t="n">
        <f aca="false">INDEX(Produtos!$E$2:$E$11,MATCH(F2012,Produtos!$A$2:$A$11,0))</f>
        <v>175</v>
      </c>
      <c r="L2012" s="5" t="n">
        <f aca="false">H2012*K2012</f>
        <v>350</v>
      </c>
    </row>
    <row r="2013" customFormat="false" ht="15" hidden="false" customHeight="false" outlineLevel="0" collapsed="false">
      <c r="A2013" s="2" t="s">
        <v>2295</v>
      </c>
      <c r="B2013" s="8" t="n">
        <v>46191</v>
      </c>
      <c r="C2013" s="2" t="s">
        <v>243</v>
      </c>
      <c r="D2013" s="3" t="str">
        <f aca="false">INDEX(Vendedores!$C$2:$C$101,MATCH(C2013,Vendedores!$A$2:$A$101,0))</f>
        <v>L10</v>
      </c>
      <c r="E2013" s="3" t="str">
        <f aca="false">INDEX(Lojas!$E$2:$E$11,MATCH(D2013,Lojas!$A$2:$A$11,0))</f>
        <v>Nordeste</v>
      </c>
      <c r="F2013" s="2" t="s">
        <v>267</v>
      </c>
      <c r="G2013" s="3" t="str">
        <f aca="false">INDEX(Produtos!$B$2:$B$11,MATCH(F2013,Produtos!$A$2:$A$11,0))&amp;" "&amp;INDEX(Produtos!$C$2:$C$11,MATCH(F2013,Produtos!$A$2:$A$11,0))</f>
        <v>Carregador de Celular Tipo C</v>
      </c>
      <c r="H2013" s="2" t="n">
        <v>1</v>
      </c>
      <c r="I2013" s="5" t="n">
        <f aca="false">INDEX(Produtos!$D$2:$D$11,MATCH(F2013,Produtos!$A$2:$A$11,0))</f>
        <v>44.9</v>
      </c>
      <c r="J2013" s="5" t="n">
        <f aca="false">H2013*I2013</f>
        <v>44.9</v>
      </c>
      <c r="K2013" s="5" t="n">
        <f aca="false">INDEX(Produtos!$E$2:$E$11,MATCH(F2013,Produtos!$A$2:$A$11,0))</f>
        <v>18</v>
      </c>
      <c r="L2013" s="5" t="n">
        <f aca="false">H2013*K2013</f>
        <v>18</v>
      </c>
    </row>
    <row r="2014" customFormat="false" ht="15" hidden="false" customHeight="false" outlineLevel="0" collapsed="false">
      <c r="A2014" s="2" t="s">
        <v>2296</v>
      </c>
      <c r="B2014" s="8" t="n">
        <v>46191</v>
      </c>
      <c r="C2014" s="2" t="s">
        <v>185</v>
      </c>
      <c r="D2014" s="3" t="str">
        <f aca="false">INDEX(Vendedores!$C$2:$C$101,MATCH(C2014,Vendedores!$A$2:$A$101,0))</f>
        <v>L08</v>
      </c>
      <c r="E2014" s="3" t="str">
        <f aca="false">INDEX(Lojas!$E$2:$E$11,MATCH(D2014,Lojas!$A$2:$A$11,0))</f>
        <v>Nordeste</v>
      </c>
      <c r="F2014" s="2" t="s">
        <v>260</v>
      </c>
      <c r="G2014" s="3" t="str">
        <f aca="false">INDEX(Produtos!$B$2:$B$11,MATCH(F2014,Produtos!$A$2:$A$11,0))&amp;" "&amp;INDEX(Produtos!$C$2:$C$11,MATCH(F2014,Produtos!$A$2:$A$11,0))</f>
        <v>Celular Motorola</v>
      </c>
      <c r="H2014" s="2" t="n">
        <v>2</v>
      </c>
      <c r="I2014" s="5" t="n">
        <f aca="false">INDEX(Produtos!$D$2:$D$11,MATCH(F2014,Produtos!$A$2:$A$11,0))</f>
        <v>1799</v>
      </c>
      <c r="J2014" s="5" t="n">
        <f aca="false">H2014*I2014</f>
        <v>3598</v>
      </c>
      <c r="K2014" s="5" t="n">
        <f aca="false">INDEX(Produtos!$E$2:$E$11,MATCH(F2014,Produtos!$A$2:$A$11,0))</f>
        <v>1250</v>
      </c>
      <c r="L2014" s="5" t="n">
        <f aca="false">H2014*K2014</f>
        <v>2500</v>
      </c>
    </row>
    <row r="2015" customFormat="false" ht="15" hidden="false" customHeight="false" outlineLevel="0" collapsed="false">
      <c r="A2015" s="2" t="s">
        <v>2297</v>
      </c>
      <c r="B2015" s="8" t="n">
        <v>46192</v>
      </c>
      <c r="C2015" s="2" t="s">
        <v>235</v>
      </c>
      <c r="D2015" s="3" t="str">
        <f aca="false">INDEX(Vendedores!$C$2:$C$101,MATCH(C2015,Vendedores!$A$2:$A$101,0))</f>
        <v>L10</v>
      </c>
      <c r="E2015" s="3" t="str">
        <f aca="false">INDEX(Lojas!$E$2:$E$11,MATCH(D2015,Lojas!$A$2:$A$11,0))</f>
        <v>Nordeste</v>
      </c>
      <c r="F2015" s="2" t="s">
        <v>275</v>
      </c>
      <c r="G2015" s="3" t="str">
        <f aca="false">INDEX(Produtos!$B$2:$B$11,MATCH(F2015,Produtos!$A$2:$A$11,0))&amp;" "&amp;INDEX(Produtos!$C$2:$C$11,MATCH(F2015,Produtos!$A$2:$A$11,0))</f>
        <v>Controle de Videogame PS5</v>
      </c>
      <c r="H2015" s="2" t="n">
        <v>2</v>
      </c>
      <c r="I2015" s="5" t="n">
        <f aca="false">INDEX(Produtos!$D$2:$D$11,MATCH(F2015,Produtos!$A$2:$A$11,0))</f>
        <v>379.9</v>
      </c>
      <c r="J2015" s="5" t="n">
        <f aca="false">H2015*I2015</f>
        <v>759.8</v>
      </c>
      <c r="K2015" s="5" t="n">
        <f aca="false">INDEX(Produtos!$E$2:$E$11,MATCH(F2015,Produtos!$A$2:$A$11,0))</f>
        <v>235</v>
      </c>
      <c r="L2015" s="5" t="n">
        <f aca="false">H2015*K2015</f>
        <v>470</v>
      </c>
    </row>
    <row r="2016" customFormat="false" ht="15" hidden="false" customHeight="false" outlineLevel="0" collapsed="false">
      <c r="A2016" s="2" t="s">
        <v>2298</v>
      </c>
      <c r="B2016" s="8" t="n">
        <v>46192</v>
      </c>
      <c r="C2016" s="2" t="s">
        <v>182</v>
      </c>
      <c r="D2016" s="3" t="str">
        <f aca="false">INDEX(Vendedores!$C$2:$C$101,MATCH(C2016,Vendedores!$A$2:$A$101,0))</f>
        <v>L07</v>
      </c>
      <c r="E2016" s="3" t="str">
        <f aca="false">INDEX(Lojas!$E$2:$E$11,MATCH(D2016,Lojas!$A$2:$A$11,0))</f>
        <v>Sul</v>
      </c>
      <c r="F2016" s="2" t="s">
        <v>262</v>
      </c>
      <c r="G2016" s="3" t="str">
        <f aca="false">INDEX(Produtos!$B$2:$B$11,MATCH(F2016,Produtos!$A$2:$A$11,0))&amp;" "&amp;INDEX(Produtos!$C$2:$C$11,MATCH(F2016,Produtos!$A$2:$A$11,0))</f>
        <v>Fone de Ouvido De Celular</v>
      </c>
      <c r="H2016" s="2" t="n">
        <v>1</v>
      </c>
      <c r="I2016" s="5" t="n">
        <f aca="false">INDEX(Produtos!$D$2:$D$11,MATCH(F2016,Produtos!$A$2:$A$11,0))</f>
        <v>59.9</v>
      </c>
      <c r="J2016" s="5" t="n">
        <f aca="false">H2016*I2016</f>
        <v>59.9</v>
      </c>
      <c r="K2016" s="5" t="n">
        <f aca="false">INDEX(Produtos!$E$2:$E$11,MATCH(F2016,Produtos!$A$2:$A$11,0))</f>
        <v>28</v>
      </c>
      <c r="L2016" s="5" t="n">
        <f aca="false">H2016*K2016</f>
        <v>28</v>
      </c>
    </row>
    <row r="2017" customFormat="false" ht="15" hidden="false" customHeight="false" outlineLevel="0" collapsed="false">
      <c r="A2017" s="2" t="s">
        <v>2299</v>
      </c>
      <c r="B2017" s="8" t="n">
        <v>46192</v>
      </c>
      <c r="C2017" s="2" t="s">
        <v>131</v>
      </c>
      <c r="D2017" s="3" t="str">
        <f aca="false">INDEX(Vendedores!$C$2:$C$101,MATCH(C2017,Vendedores!$A$2:$A$101,0))</f>
        <v>L05</v>
      </c>
      <c r="E2017" s="3" t="str">
        <f aca="false">INDEX(Lojas!$E$2:$E$11,MATCH(D2017,Lojas!$A$2:$A$11,0))</f>
        <v>Sul</v>
      </c>
      <c r="F2017" s="2" t="s">
        <v>275</v>
      </c>
      <c r="G2017" s="3" t="str">
        <f aca="false">INDEX(Produtos!$B$2:$B$11,MATCH(F2017,Produtos!$A$2:$A$11,0))&amp;" "&amp;INDEX(Produtos!$C$2:$C$11,MATCH(F2017,Produtos!$A$2:$A$11,0))</f>
        <v>Controle de Videogame PS5</v>
      </c>
      <c r="H2017" s="2" t="n">
        <v>2</v>
      </c>
      <c r="I2017" s="5" t="n">
        <f aca="false">INDEX(Produtos!$D$2:$D$11,MATCH(F2017,Produtos!$A$2:$A$11,0))</f>
        <v>379.9</v>
      </c>
      <c r="J2017" s="5" t="n">
        <f aca="false">H2017*I2017</f>
        <v>759.8</v>
      </c>
      <c r="K2017" s="5" t="n">
        <f aca="false">INDEX(Produtos!$E$2:$E$11,MATCH(F2017,Produtos!$A$2:$A$11,0))</f>
        <v>235</v>
      </c>
      <c r="L2017" s="5" t="n">
        <f aca="false">H2017*K2017</f>
        <v>470</v>
      </c>
    </row>
    <row r="2018" customFormat="false" ht="15" hidden="false" customHeight="false" outlineLevel="0" collapsed="false">
      <c r="A2018" s="2" t="s">
        <v>2300</v>
      </c>
      <c r="B2018" s="8" t="n">
        <v>46192</v>
      </c>
      <c r="C2018" s="2" t="s">
        <v>154</v>
      </c>
      <c r="D2018" s="3" t="str">
        <f aca="false">INDEX(Vendedores!$C$2:$C$101,MATCH(C2018,Vendedores!$A$2:$A$101,0))</f>
        <v>L06</v>
      </c>
      <c r="E2018" s="3" t="str">
        <f aca="false">INDEX(Lojas!$E$2:$E$11,MATCH(D2018,Lojas!$A$2:$A$11,0))</f>
        <v>Sul</v>
      </c>
      <c r="F2018" s="2" t="s">
        <v>262</v>
      </c>
      <c r="G2018" s="3" t="str">
        <f aca="false">INDEX(Produtos!$B$2:$B$11,MATCH(F2018,Produtos!$A$2:$A$11,0))&amp;" "&amp;INDEX(Produtos!$C$2:$C$11,MATCH(F2018,Produtos!$A$2:$A$11,0))</f>
        <v>Fone de Ouvido De Celular</v>
      </c>
      <c r="H2018" s="2" t="n">
        <v>3</v>
      </c>
      <c r="I2018" s="5" t="n">
        <f aca="false">INDEX(Produtos!$D$2:$D$11,MATCH(F2018,Produtos!$A$2:$A$11,0))</f>
        <v>59.9</v>
      </c>
      <c r="J2018" s="5" t="n">
        <f aca="false">H2018*I2018</f>
        <v>179.7</v>
      </c>
      <c r="K2018" s="5" t="n">
        <f aca="false">INDEX(Produtos!$E$2:$E$11,MATCH(F2018,Produtos!$A$2:$A$11,0))</f>
        <v>28</v>
      </c>
      <c r="L2018" s="5" t="n">
        <f aca="false">H2018*K2018</f>
        <v>84</v>
      </c>
    </row>
    <row r="2019" customFormat="false" ht="15" hidden="false" customHeight="false" outlineLevel="0" collapsed="false">
      <c r="A2019" s="2" t="s">
        <v>2301</v>
      </c>
      <c r="B2019" s="8" t="n">
        <v>46192</v>
      </c>
      <c r="C2019" s="2" t="s">
        <v>179</v>
      </c>
      <c r="D2019" s="3" t="str">
        <f aca="false">INDEX(Vendedores!$C$2:$C$101,MATCH(C2019,Vendedores!$A$2:$A$101,0))</f>
        <v>L07</v>
      </c>
      <c r="E2019" s="3" t="str">
        <f aca="false">INDEX(Lojas!$E$2:$E$11,MATCH(D2019,Lojas!$A$2:$A$11,0))</f>
        <v>Sul</v>
      </c>
      <c r="F2019" s="2" t="s">
        <v>265</v>
      </c>
      <c r="G2019" s="3" t="str">
        <f aca="false">INDEX(Produtos!$B$2:$B$11,MATCH(F2019,Produtos!$A$2:$A$11,0))&amp;" "&amp;INDEX(Produtos!$C$2:$C$11,MATCH(F2019,Produtos!$A$2:$A$11,0))</f>
        <v>Fone de Ouvido Headset</v>
      </c>
      <c r="H2019" s="2" t="n">
        <v>1</v>
      </c>
      <c r="I2019" s="5" t="n">
        <f aca="false">INDEX(Produtos!$D$2:$D$11,MATCH(F2019,Produtos!$A$2:$A$11,0))</f>
        <v>249.9</v>
      </c>
      <c r="J2019" s="5" t="n">
        <f aca="false">H2019*I2019</f>
        <v>249.9</v>
      </c>
      <c r="K2019" s="5" t="n">
        <f aca="false">INDEX(Produtos!$E$2:$E$11,MATCH(F2019,Produtos!$A$2:$A$11,0))</f>
        <v>145</v>
      </c>
      <c r="L2019" s="5" t="n">
        <f aca="false">H2019*K2019</f>
        <v>145</v>
      </c>
    </row>
    <row r="2020" customFormat="false" ht="15" hidden="false" customHeight="false" outlineLevel="0" collapsed="false">
      <c r="A2020" s="2" t="s">
        <v>2302</v>
      </c>
      <c r="B2020" s="8" t="n">
        <v>46192</v>
      </c>
      <c r="C2020" s="2" t="s">
        <v>135</v>
      </c>
      <c r="D2020" s="3" t="str">
        <f aca="false">INDEX(Vendedores!$C$2:$C$101,MATCH(C2020,Vendedores!$A$2:$A$101,0))</f>
        <v>L05</v>
      </c>
      <c r="E2020" s="3" t="str">
        <f aca="false">INDEX(Lojas!$E$2:$E$11,MATCH(D2020,Lojas!$A$2:$A$11,0))</f>
        <v>Sul</v>
      </c>
      <c r="F2020" s="2" t="s">
        <v>262</v>
      </c>
      <c r="G2020" s="3" t="str">
        <f aca="false">INDEX(Produtos!$B$2:$B$11,MATCH(F2020,Produtos!$A$2:$A$11,0))&amp;" "&amp;INDEX(Produtos!$C$2:$C$11,MATCH(F2020,Produtos!$A$2:$A$11,0))</f>
        <v>Fone de Ouvido De Celular</v>
      </c>
      <c r="H2020" s="2" t="n">
        <v>1</v>
      </c>
      <c r="I2020" s="5" t="n">
        <f aca="false">INDEX(Produtos!$D$2:$D$11,MATCH(F2020,Produtos!$A$2:$A$11,0))</f>
        <v>59.9</v>
      </c>
      <c r="J2020" s="5" t="n">
        <f aca="false">H2020*I2020</f>
        <v>59.9</v>
      </c>
      <c r="K2020" s="5" t="n">
        <f aca="false">INDEX(Produtos!$E$2:$E$11,MATCH(F2020,Produtos!$A$2:$A$11,0))</f>
        <v>28</v>
      </c>
      <c r="L2020" s="5" t="n">
        <f aca="false">H2020*K2020</f>
        <v>28</v>
      </c>
    </row>
    <row r="2021" customFormat="false" ht="15" hidden="false" customHeight="false" outlineLevel="0" collapsed="false">
      <c r="A2021" s="2" t="s">
        <v>2303</v>
      </c>
      <c r="B2021" s="8" t="n">
        <v>46192</v>
      </c>
      <c r="C2021" s="2" t="s">
        <v>203</v>
      </c>
      <c r="D2021" s="3" t="str">
        <f aca="false">INDEX(Vendedores!$C$2:$C$101,MATCH(C2021,Vendedores!$A$2:$A$101,0))</f>
        <v>L08</v>
      </c>
      <c r="E2021" s="3" t="str">
        <f aca="false">INDEX(Lojas!$E$2:$E$11,MATCH(D2021,Lojas!$A$2:$A$11,0))</f>
        <v>Nordeste</v>
      </c>
      <c r="F2021" s="2" t="s">
        <v>252</v>
      </c>
      <c r="G2021" s="3" t="str">
        <f aca="false">INDEX(Produtos!$B$2:$B$11,MATCH(F2021,Produtos!$A$2:$A$11,0))&amp;" "&amp;INDEX(Produtos!$C$2:$C$11,MATCH(F2021,Produtos!$A$2:$A$11,0))</f>
        <v>Notebook Lenovo</v>
      </c>
      <c r="H2021" s="2" t="n">
        <v>1</v>
      </c>
      <c r="I2021" s="5" t="n">
        <f aca="false">INDEX(Produtos!$D$2:$D$11,MATCH(F2021,Produtos!$A$2:$A$11,0))</f>
        <v>3199</v>
      </c>
      <c r="J2021" s="5" t="n">
        <f aca="false">H2021*I2021</f>
        <v>3199</v>
      </c>
      <c r="K2021" s="5" t="n">
        <f aca="false">INDEX(Produtos!$E$2:$E$11,MATCH(F2021,Produtos!$A$2:$A$11,0))</f>
        <v>2350</v>
      </c>
      <c r="L2021" s="5" t="n">
        <f aca="false">H2021*K2021</f>
        <v>2350</v>
      </c>
    </row>
    <row r="2022" customFormat="false" ht="15" hidden="false" customHeight="false" outlineLevel="0" collapsed="false">
      <c r="A2022" s="2" t="s">
        <v>2304</v>
      </c>
      <c r="B2022" s="8" t="n">
        <v>46192</v>
      </c>
      <c r="C2022" s="2" t="s">
        <v>164</v>
      </c>
      <c r="D2022" s="3" t="str">
        <f aca="false">INDEX(Vendedores!$C$2:$C$101,MATCH(C2022,Vendedores!$A$2:$A$101,0))</f>
        <v>L06</v>
      </c>
      <c r="E2022" s="3" t="str">
        <f aca="false">INDEX(Lojas!$E$2:$E$11,MATCH(D2022,Lojas!$A$2:$A$11,0))</f>
        <v>Sul</v>
      </c>
      <c r="F2022" s="2" t="s">
        <v>255</v>
      </c>
      <c r="G2022" s="3" t="str">
        <f aca="false">INDEX(Produtos!$B$2:$B$11,MATCH(F2022,Produtos!$A$2:$A$11,0))&amp;" "&amp;INDEX(Produtos!$C$2:$C$11,MATCH(F2022,Produtos!$A$2:$A$11,0))</f>
        <v>Notebook Positivo</v>
      </c>
      <c r="H2022" s="2" t="n">
        <v>1</v>
      </c>
      <c r="I2022" s="5" t="n">
        <f aca="false">INDEX(Produtos!$D$2:$D$11,MATCH(F2022,Produtos!$A$2:$A$11,0))</f>
        <v>2199</v>
      </c>
      <c r="J2022" s="5" t="n">
        <f aca="false">H2022*I2022</f>
        <v>2199</v>
      </c>
      <c r="K2022" s="5" t="n">
        <f aca="false">INDEX(Produtos!$E$2:$E$11,MATCH(F2022,Produtos!$A$2:$A$11,0))</f>
        <v>1550</v>
      </c>
      <c r="L2022" s="5" t="n">
        <f aca="false">H2022*K2022</f>
        <v>1550</v>
      </c>
    </row>
    <row r="2023" customFormat="false" ht="15" hidden="false" customHeight="false" outlineLevel="0" collapsed="false">
      <c r="A2023" s="2" t="s">
        <v>2305</v>
      </c>
      <c r="B2023" s="8" t="n">
        <v>46192</v>
      </c>
      <c r="C2023" s="2" t="s">
        <v>152</v>
      </c>
      <c r="D2023" s="3" t="str">
        <f aca="false">INDEX(Vendedores!$C$2:$C$101,MATCH(C2023,Vendedores!$A$2:$A$101,0))</f>
        <v>L06</v>
      </c>
      <c r="E2023" s="3" t="str">
        <f aca="false">INDEX(Lojas!$E$2:$E$11,MATCH(D2023,Lojas!$A$2:$A$11,0))</f>
        <v>Sul</v>
      </c>
      <c r="F2023" s="2" t="s">
        <v>270</v>
      </c>
      <c r="G2023" s="3" t="str">
        <f aca="false">INDEX(Produtos!$B$2:$B$11,MATCH(F2023,Produtos!$A$2:$A$11,0))&amp;" "&amp;INDEX(Produtos!$C$2:$C$11,MATCH(F2023,Produtos!$A$2:$A$11,0))</f>
        <v>Controle de Videogame Xbox</v>
      </c>
      <c r="H2023" s="2" t="n">
        <v>1</v>
      </c>
      <c r="I2023" s="5" t="n">
        <f aca="false">INDEX(Produtos!$D$2:$D$11,MATCH(F2023,Produtos!$A$2:$A$11,0))</f>
        <v>349.9</v>
      </c>
      <c r="J2023" s="5" t="n">
        <f aca="false">H2023*I2023</f>
        <v>349.9</v>
      </c>
      <c r="K2023" s="5" t="n">
        <f aca="false">INDEX(Produtos!$E$2:$E$11,MATCH(F2023,Produtos!$A$2:$A$11,0))</f>
        <v>215</v>
      </c>
      <c r="L2023" s="5" t="n">
        <f aca="false">H2023*K2023</f>
        <v>215</v>
      </c>
    </row>
    <row r="2024" customFormat="false" ht="15" hidden="false" customHeight="false" outlineLevel="0" collapsed="false">
      <c r="A2024" s="2" t="s">
        <v>2306</v>
      </c>
      <c r="B2024" s="8" t="n">
        <v>46192</v>
      </c>
      <c r="C2024" s="2" t="s">
        <v>124</v>
      </c>
      <c r="D2024" s="3" t="str">
        <f aca="false">INDEX(Vendedores!$C$2:$C$101,MATCH(C2024,Vendedores!$A$2:$A$101,0))</f>
        <v>L04</v>
      </c>
      <c r="E2024" s="3" t="str">
        <f aca="false">INDEX(Lojas!$E$2:$E$11,MATCH(D2024,Lojas!$A$2:$A$11,0))</f>
        <v>Sudeste</v>
      </c>
      <c r="F2024" s="2" t="s">
        <v>267</v>
      </c>
      <c r="G2024" s="3" t="str">
        <f aca="false">INDEX(Produtos!$B$2:$B$11,MATCH(F2024,Produtos!$A$2:$A$11,0))&amp;" "&amp;INDEX(Produtos!$C$2:$C$11,MATCH(F2024,Produtos!$A$2:$A$11,0))</f>
        <v>Carregador de Celular Tipo C</v>
      </c>
      <c r="H2024" s="2" t="n">
        <v>1</v>
      </c>
      <c r="I2024" s="5" t="n">
        <f aca="false">INDEX(Produtos!$D$2:$D$11,MATCH(F2024,Produtos!$A$2:$A$11,0))</f>
        <v>44.9</v>
      </c>
      <c r="J2024" s="5" t="n">
        <f aca="false">H2024*I2024</f>
        <v>44.9</v>
      </c>
      <c r="K2024" s="5" t="n">
        <f aca="false">INDEX(Produtos!$E$2:$E$11,MATCH(F2024,Produtos!$A$2:$A$11,0))</f>
        <v>18</v>
      </c>
      <c r="L2024" s="5" t="n">
        <f aca="false">H2024*K2024</f>
        <v>18</v>
      </c>
    </row>
    <row r="2025" customFormat="false" ht="15" hidden="false" customHeight="false" outlineLevel="0" collapsed="false">
      <c r="A2025" s="2" t="s">
        <v>2307</v>
      </c>
      <c r="B2025" s="8" t="n">
        <v>46192</v>
      </c>
      <c r="C2025" s="2" t="s">
        <v>122</v>
      </c>
      <c r="D2025" s="3" t="str">
        <f aca="false">INDEX(Vendedores!$C$2:$C$101,MATCH(C2025,Vendedores!$A$2:$A$101,0))</f>
        <v>L04</v>
      </c>
      <c r="E2025" s="3" t="str">
        <f aca="false">INDEX(Lojas!$E$2:$E$11,MATCH(D2025,Lojas!$A$2:$A$11,0))</f>
        <v>Sudeste</v>
      </c>
      <c r="F2025" s="2" t="s">
        <v>252</v>
      </c>
      <c r="G2025" s="3" t="str">
        <f aca="false">INDEX(Produtos!$B$2:$B$11,MATCH(F2025,Produtos!$A$2:$A$11,0))&amp;" "&amp;INDEX(Produtos!$C$2:$C$11,MATCH(F2025,Produtos!$A$2:$A$11,0))</f>
        <v>Notebook Lenovo</v>
      </c>
      <c r="H2025" s="2" t="n">
        <v>1</v>
      </c>
      <c r="I2025" s="5" t="n">
        <f aca="false">INDEX(Produtos!$D$2:$D$11,MATCH(F2025,Produtos!$A$2:$A$11,0))</f>
        <v>3199</v>
      </c>
      <c r="J2025" s="5" t="n">
        <f aca="false">H2025*I2025</f>
        <v>3199</v>
      </c>
      <c r="K2025" s="5" t="n">
        <f aca="false">INDEX(Produtos!$E$2:$E$11,MATCH(F2025,Produtos!$A$2:$A$11,0))</f>
        <v>2350</v>
      </c>
      <c r="L2025" s="5" t="n">
        <f aca="false">H2025*K2025</f>
        <v>2350</v>
      </c>
    </row>
    <row r="2026" customFormat="false" ht="15" hidden="false" customHeight="false" outlineLevel="0" collapsed="false">
      <c r="A2026" s="2" t="s">
        <v>2308</v>
      </c>
      <c r="B2026" s="8" t="n">
        <v>46192</v>
      </c>
      <c r="C2026" s="2" t="s">
        <v>140</v>
      </c>
      <c r="D2026" s="3" t="str">
        <f aca="false">INDEX(Vendedores!$C$2:$C$101,MATCH(C2026,Vendedores!$A$2:$A$101,0))</f>
        <v>L05</v>
      </c>
      <c r="E2026" s="3" t="str">
        <f aca="false">INDEX(Lojas!$E$2:$E$11,MATCH(D2026,Lojas!$A$2:$A$11,0))</f>
        <v>Sul</v>
      </c>
      <c r="F2026" s="2" t="s">
        <v>270</v>
      </c>
      <c r="G2026" s="3" t="str">
        <f aca="false">INDEX(Produtos!$B$2:$B$11,MATCH(F2026,Produtos!$A$2:$A$11,0))&amp;" "&amp;INDEX(Produtos!$C$2:$C$11,MATCH(F2026,Produtos!$A$2:$A$11,0))</f>
        <v>Controle de Videogame Xbox</v>
      </c>
      <c r="H2026" s="2" t="n">
        <v>1</v>
      </c>
      <c r="I2026" s="5" t="n">
        <f aca="false">INDEX(Produtos!$D$2:$D$11,MATCH(F2026,Produtos!$A$2:$A$11,0))</f>
        <v>349.9</v>
      </c>
      <c r="J2026" s="5" t="n">
        <f aca="false">H2026*I2026</f>
        <v>349.9</v>
      </c>
      <c r="K2026" s="5" t="n">
        <f aca="false">INDEX(Produtos!$E$2:$E$11,MATCH(F2026,Produtos!$A$2:$A$11,0))</f>
        <v>215</v>
      </c>
      <c r="L2026" s="5" t="n">
        <f aca="false">H2026*K2026</f>
        <v>215</v>
      </c>
    </row>
    <row r="2027" customFormat="false" ht="15" hidden="false" customHeight="false" outlineLevel="0" collapsed="false">
      <c r="A2027" s="2" t="s">
        <v>2309</v>
      </c>
      <c r="B2027" s="8" t="n">
        <v>46192</v>
      </c>
      <c r="C2027" s="2" t="s">
        <v>209</v>
      </c>
      <c r="D2027" s="3" t="str">
        <f aca="false">INDEX(Vendedores!$C$2:$C$101,MATCH(C2027,Vendedores!$A$2:$A$101,0))</f>
        <v>L09</v>
      </c>
      <c r="E2027" s="3" t="str">
        <f aca="false">INDEX(Lojas!$E$2:$E$11,MATCH(D2027,Lojas!$A$2:$A$11,0))</f>
        <v>Nordeste</v>
      </c>
      <c r="F2027" s="2" t="s">
        <v>255</v>
      </c>
      <c r="G2027" s="3" t="str">
        <f aca="false">INDEX(Produtos!$B$2:$B$11,MATCH(F2027,Produtos!$A$2:$A$11,0))&amp;" "&amp;INDEX(Produtos!$C$2:$C$11,MATCH(F2027,Produtos!$A$2:$A$11,0))</f>
        <v>Notebook Positivo</v>
      </c>
      <c r="H2027" s="2" t="n">
        <v>2</v>
      </c>
      <c r="I2027" s="5" t="n">
        <f aca="false">INDEX(Produtos!$D$2:$D$11,MATCH(F2027,Produtos!$A$2:$A$11,0))</f>
        <v>2199</v>
      </c>
      <c r="J2027" s="5" t="n">
        <f aca="false">H2027*I2027</f>
        <v>4398</v>
      </c>
      <c r="K2027" s="5" t="n">
        <f aca="false">INDEX(Produtos!$E$2:$E$11,MATCH(F2027,Produtos!$A$2:$A$11,0))</f>
        <v>1550</v>
      </c>
      <c r="L2027" s="5" t="n">
        <f aca="false">H2027*K2027</f>
        <v>3100</v>
      </c>
    </row>
    <row r="2028" customFormat="false" ht="15" hidden="false" customHeight="false" outlineLevel="0" collapsed="false">
      <c r="A2028" s="2" t="s">
        <v>2310</v>
      </c>
      <c r="B2028" s="8" t="n">
        <v>46192</v>
      </c>
      <c r="C2028" s="2" t="s">
        <v>58</v>
      </c>
      <c r="D2028" s="3" t="str">
        <f aca="false">INDEX(Vendedores!$C$2:$C$101,MATCH(C2028,Vendedores!$A$2:$A$101,0))</f>
        <v>L01</v>
      </c>
      <c r="E2028" s="3" t="str">
        <f aca="false">INDEX(Lojas!$E$2:$E$11,MATCH(D2028,Lojas!$A$2:$A$11,0))</f>
        <v>Sudeste</v>
      </c>
      <c r="F2028" s="2" t="s">
        <v>273</v>
      </c>
      <c r="G2028" s="3" t="str">
        <f aca="false">INDEX(Produtos!$B$2:$B$11,MATCH(F2028,Produtos!$A$2:$A$11,0))&amp;" "&amp;INDEX(Produtos!$C$2:$C$11,MATCH(F2028,Produtos!$A$2:$A$11,0))</f>
        <v>Controle de Videogame PS4</v>
      </c>
      <c r="H2028" s="2" t="n">
        <v>2</v>
      </c>
      <c r="I2028" s="5" t="n">
        <f aca="false">INDEX(Produtos!$D$2:$D$11,MATCH(F2028,Produtos!$A$2:$A$11,0))</f>
        <v>299.9</v>
      </c>
      <c r="J2028" s="5" t="n">
        <f aca="false">H2028*I2028</f>
        <v>599.8</v>
      </c>
      <c r="K2028" s="5" t="n">
        <f aca="false">INDEX(Produtos!$E$2:$E$11,MATCH(F2028,Produtos!$A$2:$A$11,0))</f>
        <v>175</v>
      </c>
      <c r="L2028" s="5" t="n">
        <f aca="false">H2028*K2028</f>
        <v>350</v>
      </c>
    </row>
    <row r="2029" customFormat="false" ht="15" hidden="false" customHeight="false" outlineLevel="0" collapsed="false">
      <c r="A2029" s="2" t="s">
        <v>2311</v>
      </c>
      <c r="B2029" s="8" t="n">
        <v>46193</v>
      </c>
      <c r="C2029" s="2" t="s">
        <v>131</v>
      </c>
      <c r="D2029" s="3" t="str">
        <f aca="false">INDEX(Vendedores!$C$2:$C$101,MATCH(C2029,Vendedores!$A$2:$A$101,0))</f>
        <v>L05</v>
      </c>
      <c r="E2029" s="3" t="str">
        <f aca="false">INDEX(Lojas!$E$2:$E$11,MATCH(D2029,Lojas!$A$2:$A$11,0))</f>
        <v>Sul</v>
      </c>
      <c r="F2029" s="2" t="s">
        <v>257</v>
      </c>
      <c r="G2029" s="3" t="str">
        <f aca="false">INDEX(Produtos!$B$2:$B$11,MATCH(F2029,Produtos!$A$2:$A$11,0))&amp;" "&amp;INDEX(Produtos!$C$2:$C$11,MATCH(F2029,Produtos!$A$2:$A$11,0))</f>
        <v>Celular Samsung</v>
      </c>
      <c r="H2029" s="2" t="n">
        <v>1</v>
      </c>
      <c r="I2029" s="5" t="n">
        <f aca="false">INDEX(Produtos!$D$2:$D$11,MATCH(F2029,Produtos!$A$2:$A$11,0))</f>
        <v>2499</v>
      </c>
      <c r="J2029" s="5" t="n">
        <f aca="false">H2029*I2029</f>
        <v>2499</v>
      </c>
      <c r="K2029" s="5" t="n">
        <f aca="false">INDEX(Produtos!$E$2:$E$11,MATCH(F2029,Produtos!$A$2:$A$11,0))</f>
        <v>1800</v>
      </c>
      <c r="L2029" s="5" t="n">
        <f aca="false">H2029*K2029</f>
        <v>1800</v>
      </c>
    </row>
    <row r="2030" customFormat="false" ht="15" hidden="false" customHeight="false" outlineLevel="0" collapsed="false">
      <c r="A2030" s="2" t="s">
        <v>2312</v>
      </c>
      <c r="B2030" s="8" t="n">
        <v>46193</v>
      </c>
      <c r="C2030" s="2" t="s">
        <v>80</v>
      </c>
      <c r="D2030" s="3" t="str">
        <f aca="false">INDEX(Vendedores!$C$2:$C$101,MATCH(C2030,Vendedores!$A$2:$A$101,0))</f>
        <v>L02</v>
      </c>
      <c r="E2030" s="3" t="str">
        <f aca="false">INDEX(Lojas!$E$2:$E$11,MATCH(D2030,Lojas!$A$2:$A$11,0))</f>
        <v>Sudeste</v>
      </c>
      <c r="F2030" s="2" t="s">
        <v>252</v>
      </c>
      <c r="G2030" s="3" t="str">
        <f aca="false">INDEX(Produtos!$B$2:$B$11,MATCH(F2030,Produtos!$A$2:$A$11,0))&amp;" "&amp;INDEX(Produtos!$C$2:$C$11,MATCH(F2030,Produtos!$A$2:$A$11,0))</f>
        <v>Notebook Lenovo</v>
      </c>
      <c r="H2030" s="2" t="n">
        <v>1</v>
      </c>
      <c r="I2030" s="5" t="n">
        <f aca="false">INDEX(Produtos!$D$2:$D$11,MATCH(F2030,Produtos!$A$2:$A$11,0))</f>
        <v>3199</v>
      </c>
      <c r="J2030" s="5" t="n">
        <f aca="false">H2030*I2030</f>
        <v>3199</v>
      </c>
      <c r="K2030" s="5" t="n">
        <f aca="false">INDEX(Produtos!$E$2:$E$11,MATCH(F2030,Produtos!$A$2:$A$11,0))</f>
        <v>2350</v>
      </c>
      <c r="L2030" s="5" t="n">
        <f aca="false">H2030*K2030</f>
        <v>2350</v>
      </c>
    </row>
    <row r="2031" customFormat="false" ht="15" hidden="false" customHeight="false" outlineLevel="0" collapsed="false">
      <c r="A2031" s="2" t="s">
        <v>2313</v>
      </c>
      <c r="B2031" s="8" t="n">
        <v>46193</v>
      </c>
      <c r="C2031" s="2" t="s">
        <v>239</v>
      </c>
      <c r="D2031" s="3" t="str">
        <f aca="false">INDEX(Vendedores!$C$2:$C$101,MATCH(C2031,Vendedores!$A$2:$A$101,0))</f>
        <v>L10</v>
      </c>
      <c r="E2031" s="3" t="str">
        <f aca="false">INDEX(Lojas!$E$2:$E$11,MATCH(D2031,Lojas!$A$2:$A$11,0))</f>
        <v>Nordeste</v>
      </c>
      <c r="F2031" s="2" t="s">
        <v>255</v>
      </c>
      <c r="G2031" s="3" t="str">
        <f aca="false">INDEX(Produtos!$B$2:$B$11,MATCH(F2031,Produtos!$A$2:$A$11,0))&amp;" "&amp;INDEX(Produtos!$C$2:$C$11,MATCH(F2031,Produtos!$A$2:$A$11,0))</f>
        <v>Notebook Positivo</v>
      </c>
      <c r="H2031" s="2" t="n">
        <v>3</v>
      </c>
      <c r="I2031" s="5" t="n">
        <f aca="false">INDEX(Produtos!$D$2:$D$11,MATCH(F2031,Produtos!$A$2:$A$11,0))</f>
        <v>2199</v>
      </c>
      <c r="J2031" s="5" t="n">
        <f aca="false">H2031*I2031</f>
        <v>6597</v>
      </c>
      <c r="K2031" s="5" t="n">
        <f aca="false">INDEX(Produtos!$E$2:$E$11,MATCH(F2031,Produtos!$A$2:$A$11,0))</f>
        <v>1550</v>
      </c>
      <c r="L2031" s="5" t="n">
        <f aca="false">H2031*K2031</f>
        <v>4650</v>
      </c>
    </row>
    <row r="2032" customFormat="false" ht="15" hidden="false" customHeight="false" outlineLevel="0" collapsed="false">
      <c r="A2032" s="2" t="s">
        <v>2314</v>
      </c>
      <c r="B2032" s="8" t="n">
        <v>46193</v>
      </c>
      <c r="C2032" s="2" t="s">
        <v>146</v>
      </c>
      <c r="D2032" s="3" t="str">
        <f aca="false">INDEX(Vendedores!$C$2:$C$101,MATCH(C2032,Vendedores!$A$2:$A$101,0))</f>
        <v>L05</v>
      </c>
      <c r="E2032" s="3" t="str">
        <f aca="false">INDEX(Lojas!$E$2:$E$11,MATCH(D2032,Lojas!$A$2:$A$11,0))</f>
        <v>Sul</v>
      </c>
      <c r="F2032" s="2" t="s">
        <v>262</v>
      </c>
      <c r="G2032" s="3" t="str">
        <f aca="false">INDEX(Produtos!$B$2:$B$11,MATCH(F2032,Produtos!$A$2:$A$11,0))&amp;" "&amp;INDEX(Produtos!$C$2:$C$11,MATCH(F2032,Produtos!$A$2:$A$11,0))</f>
        <v>Fone de Ouvido De Celular</v>
      </c>
      <c r="H2032" s="2" t="n">
        <v>2</v>
      </c>
      <c r="I2032" s="5" t="n">
        <f aca="false">INDEX(Produtos!$D$2:$D$11,MATCH(F2032,Produtos!$A$2:$A$11,0))</f>
        <v>59.9</v>
      </c>
      <c r="J2032" s="5" t="n">
        <f aca="false">H2032*I2032</f>
        <v>119.8</v>
      </c>
      <c r="K2032" s="5" t="n">
        <f aca="false">INDEX(Produtos!$E$2:$E$11,MATCH(F2032,Produtos!$A$2:$A$11,0))</f>
        <v>28</v>
      </c>
      <c r="L2032" s="5" t="n">
        <f aca="false">H2032*K2032</f>
        <v>56</v>
      </c>
    </row>
    <row r="2033" customFormat="false" ht="15" hidden="false" customHeight="false" outlineLevel="0" collapsed="false">
      <c r="A2033" s="2" t="s">
        <v>2315</v>
      </c>
      <c r="B2033" s="8" t="n">
        <v>46193</v>
      </c>
      <c r="C2033" s="2" t="s">
        <v>72</v>
      </c>
      <c r="D2033" s="3" t="str">
        <f aca="false">INDEX(Vendedores!$C$2:$C$101,MATCH(C2033,Vendedores!$A$2:$A$101,0))</f>
        <v>L02</v>
      </c>
      <c r="E2033" s="3" t="str">
        <f aca="false">INDEX(Lojas!$E$2:$E$11,MATCH(D2033,Lojas!$A$2:$A$11,0))</f>
        <v>Sudeste</v>
      </c>
      <c r="F2033" s="2" t="s">
        <v>257</v>
      </c>
      <c r="G2033" s="3" t="str">
        <f aca="false">INDEX(Produtos!$B$2:$B$11,MATCH(F2033,Produtos!$A$2:$A$11,0))&amp;" "&amp;INDEX(Produtos!$C$2:$C$11,MATCH(F2033,Produtos!$A$2:$A$11,0))</f>
        <v>Celular Samsung</v>
      </c>
      <c r="H2033" s="2" t="n">
        <v>1</v>
      </c>
      <c r="I2033" s="5" t="n">
        <f aca="false">INDEX(Produtos!$D$2:$D$11,MATCH(F2033,Produtos!$A$2:$A$11,0))</f>
        <v>2499</v>
      </c>
      <c r="J2033" s="5" t="n">
        <f aca="false">H2033*I2033</f>
        <v>2499</v>
      </c>
      <c r="K2033" s="5" t="n">
        <f aca="false">INDEX(Produtos!$E$2:$E$11,MATCH(F2033,Produtos!$A$2:$A$11,0))</f>
        <v>1800</v>
      </c>
      <c r="L2033" s="5" t="n">
        <f aca="false">H2033*K2033</f>
        <v>1800</v>
      </c>
    </row>
    <row r="2034" customFormat="false" ht="15" hidden="false" customHeight="false" outlineLevel="0" collapsed="false">
      <c r="A2034" s="2" t="s">
        <v>2316</v>
      </c>
      <c r="B2034" s="8" t="n">
        <v>46193</v>
      </c>
      <c r="C2034" s="2" t="s">
        <v>54</v>
      </c>
      <c r="D2034" s="3" t="str">
        <f aca="false">INDEX(Vendedores!$C$2:$C$101,MATCH(C2034,Vendedores!$A$2:$A$101,0))</f>
        <v>L01</v>
      </c>
      <c r="E2034" s="3" t="str">
        <f aca="false">INDEX(Lojas!$E$2:$E$11,MATCH(D2034,Lojas!$A$2:$A$11,0))</f>
        <v>Sudeste</v>
      </c>
      <c r="F2034" s="2" t="s">
        <v>273</v>
      </c>
      <c r="G2034" s="3" t="str">
        <f aca="false">INDEX(Produtos!$B$2:$B$11,MATCH(F2034,Produtos!$A$2:$A$11,0))&amp;" "&amp;INDEX(Produtos!$C$2:$C$11,MATCH(F2034,Produtos!$A$2:$A$11,0))</f>
        <v>Controle de Videogame PS4</v>
      </c>
      <c r="H2034" s="2" t="n">
        <v>1</v>
      </c>
      <c r="I2034" s="5" t="n">
        <f aca="false">INDEX(Produtos!$D$2:$D$11,MATCH(F2034,Produtos!$A$2:$A$11,0))</f>
        <v>299.9</v>
      </c>
      <c r="J2034" s="5" t="n">
        <f aca="false">H2034*I2034</f>
        <v>299.9</v>
      </c>
      <c r="K2034" s="5" t="n">
        <f aca="false">INDEX(Produtos!$E$2:$E$11,MATCH(F2034,Produtos!$A$2:$A$11,0))</f>
        <v>175</v>
      </c>
      <c r="L2034" s="5" t="n">
        <f aca="false">H2034*K2034</f>
        <v>175</v>
      </c>
    </row>
    <row r="2035" customFormat="false" ht="15" hidden="false" customHeight="false" outlineLevel="0" collapsed="false">
      <c r="A2035" s="2" t="s">
        <v>2317</v>
      </c>
      <c r="B2035" s="8" t="n">
        <v>46193</v>
      </c>
      <c r="C2035" s="2" t="s">
        <v>229</v>
      </c>
      <c r="D2035" s="3" t="str">
        <f aca="false">INDEX(Vendedores!$C$2:$C$101,MATCH(C2035,Vendedores!$A$2:$A$101,0))</f>
        <v>L10</v>
      </c>
      <c r="E2035" s="3" t="str">
        <f aca="false">INDEX(Lojas!$E$2:$E$11,MATCH(D2035,Lojas!$A$2:$A$11,0))</f>
        <v>Nordeste</v>
      </c>
      <c r="F2035" s="2" t="s">
        <v>270</v>
      </c>
      <c r="G2035" s="3" t="str">
        <f aca="false">INDEX(Produtos!$B$2:$B$11,MATCH(F2035,Produtos!$A$2:$A$11,0))&amp;" "&amp;INDEX(Produtos!$C$2:$C$11,MATCH(F2035,Produtos!$A$2:$A$11,0))</f>
        <v>Controle de Videogame Xbox</v>
      </c>
      <c r="H2035" s="2" t="n">
        <v>2</v>
      </c>
      <c r="I2035" s="5" t="n">
        <f aca="false">INDEX(Produtos!$D$2:$D$11,MATCH(F2035,Produtos!$A$2:$A$11,0))</f>
        <v>349.9</v>
      </c>
      <c r="J2035" s="5" t="n">
        <f aca="false">H2035*I2035</f>
        <v>699.8</v>
      </c>
      <c r="K2035" s="5" t="n">
        <f aca="false">INDEX(Produtos!$E$2:$E$11,MATCH(F2035,Produtos!$A$2:$A$11,0))</f>
        <v>215</v>
      </c>
      <c r="L2035" s="5" t="n">
        <f aca="false">H2035*K2035</f>
        <v>430</v>
      </c>
    </row>
    <row r="2036" customFormat="false" ht="15" hidden="false" customHeight="false" outlineLevel="0" collapsed="false">
      <c r="A2036" s="2" t="s">
        <v>2318</v>
      </c>
      <c r="B2036" s="8" t="n">
        <v>46194</v>
      </c>
      <c r="C2036" s="2" t="s">
        <v>227</v>
      </c>
      <c r="D2036" s="3" t="str">
        <f aca="false">INDEX(Vendedores!$C$2:$C$101,MATCH(C2036,Vendedores!$A$2:$A$101,0))</f>
        <v>L10</v>
      </c>
      <c r="E2036" s="3" t="str">
        <f aca="false">INDEX(Lojas!$E$2:$E$11,MATCH(D2036,Lojas!$A$2:$A$11,0))</f>
        <v>Nordeste</v>
      </c>
      <c r="F2036" s="2" t="s">
        <v>252</v>
      </c>
      <c r="G2036" s="3" t="str">
        <f aca="false">INDEX(Produtos!$B$2:$B$11,MATCH(F2036,Produtos!$A$2:$A$11,0))&amp;" "&amp;INDEX(Produtos!$C$2:$C$11,MATCH(F2036,Produtos!$A$2:$A$11,0))</f>
        <v>Notebook Lenovo</v>
      </c>
      <c r="H2036" s="2" t="n">
        <v>1</v>
      </c>
      <c r="I2036" s="5" t="n">
        <f aca="false">INDEX(Produtos!$D$2:$D$11,MATCH(F2036,Produtos!$A$2:$A$11,0))</f>
        <v>3199</v>
      </c>
      <c r="J2036" s="5" t="n">
        <f aca="false">H2036*I2036</f>
        <v>3199</v>
      </c>
      <c r="K2036" s="5" t="n">
        <f aca="false">INDEX(Produtos!$E$2:$E$11,MATCH(F2036,Produtos!$A$2:$A$11,0))</f>
        <v>2350</v>
      </c>
      <c r="L2036" s="5" t="n">
        <f aca="false">H2036*K2036</f>
        <v>2350</v>
      </c>
    </row>
    <row r="2037" customFormat="false" ht="15" hidden="false" customHeight="false" outlineLevel="0" collapsed="false">
      <c r="A2037" s="2" t="s">
        <v>2319</v>
      </c>
      <c r="B2037" s="8" t="n">
        <v>46194</v>
      </c>
      <c r="C2037" s="2" t="s">
        <v>150</v>
      </c>
      <c r="D2037" s="3" t="str">
        <f aca="false">INDEX(Vendedores!$C$2:$C$101,MATCH(C2037,Vendedores!$A$2:$A$101,0))</f>
        <v>L06</v>
      </c>
      <c r="E2037" s="3" t="str">
        <f aca="false">INDEX(Lojas!$E$2:$E$11,MATCH(D2037,Lojas!$A$2:$A$11,0))</f>
        <v>Sul</v>
      </c>
      <c r="F2037" s="2" t="s">
        <v>265</v>
      </c>
      <c r="G2037" s="3" t="str">
        <f aca="false">INDEX(Produtos!$B$2:$B$11,MATCH(F2037,Produtos!$A$2:$A$11,0))&amp;" "&amp;INDEX(Produtos!$C$2:$C$11,MATCH(F2037,Produtos!$A$2:$A$11,0))</f>
        <v>Fone de Ouvido Headset</v>
      </c>
      <c r="H2037" s="2" t="n">
        <v>1</v>
      </c>
      <c r="I2037" s="5" t="n">
        <f aca="false">INDEX(Produtos!$D$2:$D$11,MATCH(F2037,Produtos!$A$2:$A$11,0))</f>
        <v>249.9</v>
      </c>
      <c r="J2037" s="5" t="n">
        <f aca="false">H2037*I2037</f>
        <v>249.9</v>
      </c>
      <c r="K2037" s="5" t="n">
        <f aca="false">INDEX(Produtos!$E$2:$E$11,MATCH(F2037,Produtos!$A$2:$A$11,0))</f>
        <v>145</v>
      </c>
      <c r="L2037" s="5" t="n">
        <f aca="false">H2037*K2037</f>
        <v>145</v>
      </c>
    </row>
    <row r="2038" customFormat="false" ht="15" hidden="false" customHeight="false" outlineLevel="0" collapsed="false">
      <c r="A2038" s="2" t="s">
        <v>2320</v>
      </c>
      <c r="B2038" s="8" t="n">
        <v>46194</v>
      </c>
      <c r="C2038" s="2" t="s">
        <v>100</v>
      </c>
      <c r="D2038" s="3" t="str">
        <f aca="false">INDEX(Vendedores!$C$2:$C$101,MATCH(C2038,Vendedores!$A$2:$A$101,0))</f>
        <v>L03</v>
      </c>
      <c r="E2038" s="3" t="str">
        <f aca="false">INDEX(Lojas!$E$2:$E$11,MATCH(D2038,Lojas!$A$2:$A$11,0))</f>
        <v>Sudeste</v>
      </c>
      <c r="F2038" s="2" t="s">
        <v>273</v>
      </c>
      <c r="G2038" s="3" t="str">
        <f aca="false">INDEX(Produtos!$B$2:$B$11,MATCH(F2038,Produtos!$A$2:$A$11,0))&amp;" "&amp;INDEX(Produtos!$C$2:$C$11,MATCH(F2038,Produtos!$A$2:$A$11,0))</f>
        <v>Controle de Videogame PS4</v>
      </c>
      <c r="H2038" s="2" t="n">
        <v>1</v>
      </c>
      <c r="I2038" s="5" t="n">
        <f aca="false">INDEX(Produtos!$D$2:$D$11,MATCH(F2038,Produtos!$A$2:$A$11,0))</f>
        <v>299.9</v>
      </c>
      <c r="J2038" s="5" t="n">
        <f aca="false">H2038*I2038</f>
        <v>299.9</v>
      </c>
      <c r="K2038" s="5" t="n">
        <f aca="false">INDEX(Produtos!$E$2:$E$11,MATCH(F2038,Produtos!$A$2:$A$11,0))</f>
        <v>175</v>
      </c>
      <c r="L2038" s="5" t="n">
        <f aca="false">H2038*K2038</f>
        <v>175</v>
      </c>
    </row>
    <row r="2039" customFormat="false" ht="15" hidden="false" customHeight="false" outlineLevel="0" collapsed="false">
      <c r="A2039" s="2" t="s">
        <v>2321</v>
      </c>
      <c r="B2039" s="8" t="n">
        <v>46194</v>
      </c>
      <c r="C2039" s="2" t="s">
        <v>158</v>
      </c>
      <c r="D2039" s="3" t="str">
        <f aca="false">INDEX(Vendedores!$C$2:$C$101,MATCH(C2039,Vendedores!$A$2:$A$101,0))</f>
        <v>L06</v>
      </c>
      <c r="E2039" s="3" t="str">
        <f aca="false">INDEX(Lojas!$E$2:$E$11,MATCH(D2039,Lojas!$A$2:$A$11,0))</f>
        <v>Sul</v>
      </c>
      <c r="F2039" s="2" t="s">
        <v>262</v>
      </c>
      <c r="G2039" s="3" t="str">
        <f aca="false">INDEX(Produtos!$B$2:$B$11,MATCH(F2039,Produtos!$A$2:$A$11,0))&amp;" "&amp;INDEX(Produtos!$C$2:$C$11,MATCH(F2039,Produtos!$A$2:$A$11,0))</f>
        <v>Fone de Ouvido De Celular</v>
      </c>
      <c r="H2039" s="2" t="n">
        <v>1</v>
      </c>
      <c r="I2039" s="5" t="n">
        <f aca="false">INDEX(Produtos!$D$2:$D$11,MATCH(F2039,Produtos!$A$2:$A$11,0))</f>
        <v>59.9</v>
      </c>
      <c r="J2039" s="5" t="n">
        <f aca="false">H2039*I2039</f>
        <v>59.9</v>
      </c>
      <c r="K2039" s="5" t="n">
        <f aca="false">INDEX(Produtos!$E$2:$E$11,MATCH(F2039,Produtos!$A$2:$A$11,0))</f>
        <v>28</v>
      </c>
      <c r="L2039" s="5" t="n">
        <f aca="false">H2039*K2039</f>
        <v>28</v>
      </c>
    </row>
    <row r="2040" customFormat="false" ht="15" hidden="false" customHeight="false" outlineLevel="0" collapsed="false">
      <c r="A2040" s="2" t="s">
        <v>2322</v>
      </c>
      <c r="B2040" s="8" t="n">
        <v>46194</v>
      </c>
      <c r="C2040" s="2" t="s">
        <v>162</v>
      </c>
      <c r="D2040" s="3" t="str">
        <f aca="false">INDEX(Vendedores!$C$2:$C$101,MATCH(C2040,Vendedores!$A$2:$A$101,0))</f>
        <v>L06</v>
      </c>
      <c r="E2040" s="3" t="str">
        <f aca="false">INDEX(Lojas!$E$2:$E$11,MATCH(D2040,Lojas!$A$2:$A$11,0))</f>
        <v>Sul</v>
      </c>
      <c r="F2040" s="2" t="s">
        <v>255</v>
      </c>
      <c r="G2040" s="3" t="str">
        <f aca="false">INDEX(Produtos!$B$2:$B$11,MATCH(F2040,Produtos!$A$2:$A$11,0))&amp;" "&amp;INDEX(Produtos!$C$2:$C$11,MATCH(F2040,Produtos!$A$2:$A$11,0))</f>
        <v>Notebook Positivo</v>
      </c>
      <c r="H2040" s="2" t="n">
        <v>2</v>
      </c>
      <c r="I2040" s="5" t="n">
        <f aca="false">INDEX(Produtos!$D$2:$D$11,MATCH(F2040,Produtos!$A$2:$A$11,0))</f>
        <v>2199</v>
      </c>
      <c r="J2040" s="5" t="n">
        <f aca="false">H2040*I2040</f>
        <v>4398</v>
      </c>
      <c r="K2040" s="5" t="n">
        <f aca="false">INDEX(Produtos!$E$2:$E$11,MATCH(F2040,Produtos!$A$2:$A$11,0))</f>
        <v>1550</v>
      </c>
      <c r="L2040" s="5" t="n">
        <f aca="false">H2040*K2040</f>
        <v>3100</v>
      </c>
    </row>
    <row r="2041" customFormat="false" ht="15" hidden="false" customHeight="false" outlineLevel="0" collapsed="false">
      <c r="A2041" s="2" t="s">
        <v>2323</v>
      </c>
      <c r="B2041" s="8" t="n">
        <v>46194</v>
      </c>
      <c r="C2041" s="2" t="s">
        <v>124</v>
      </c>
      <c r="D2041" s="3" t="str">
        <f aca="false">INDEX(Vendedores!$C$2:$C$101,MATCH(C2041,Vendedores!$A$2:$A$101,0))</f>
        <v>L04</v>
      </c>
      <c r="E2041" s="3" t="str">
        <f aca="false">INDEX(Lojas!$E$2:$E$11,MATCH(D2041,Lojas!$A$2:$A$11,0))</f>
        <v>Sudeste</v>
      </c>
      <c r="F2041" s="2" t="s">
        <v>260</v>
      </c>
      <c r="G2041" s="3" t="str">
        <f aca="false">INDEX(Produtos!$B$2:$B$11,MATCH(F2041,Produtos!$A$2:$A$11,0))&amp;" "&amp;INDEX(Produtos!$C$2:$C$11,MATCH(F2041,Produtos!$A$2:$A$11,0))</f>
        <v>Celular Motorola</v>
      </c>
      <c r="H2041" s="2" t="n">
        <v>1</v>
      </c>
      <c r="I2041" s="5" t="n">
        <f aca="false">INDEX(Produtos!$D$2:$D$11,MATCH(F2041,Produtos!$A$2:$A$11,0))</f>
        <v>1799</v>
      </c>
      <c r="J2041" s="5" t="n">
        <f aca="false">H2041*I2041</f>
        <v>1799</v>
      </c>
      <c r="K2041" s="5" t="n">
        <f aca="false">INDEX(Produtos!$E$2:$E$11,MATCH(F2041,Produtos!$A$2:$A$11,0))</f>
        <v>1250</v>
      </c>
      <c r="L2041" s="5" t="n">
        <f aca="false">H2041*K2041</f>
        <v>1250</v>
      </c>
    </row>
    <row r="2042" customFormat="false" ht="15" hidden="false" customHeight="false" outlineLevel="0" collapsed="false">
      <c r="A2042" s="2" t="s">
        <v>2324</v>
      </c>
      <c r="B2042" s="8" t="n">
        <v>46194</v>
      </c>
      <c r="C2042" s="2" t="s">
        <v>189</v>
      </c>
      <c r="D2042" s="3" t="str">
        <f aca="false">INDEX(Vendedores!$C$2:$C$101,MATCH(C2042,Vendedores!$A$2:$A$101,0))</f>
        <v>L08</v>
      </c>
      <c r="E2042" s="3" t="str">
        <f aca="false">INDEX(Lojas!$E$2:$E$11,MATCH(D2042,Lojas!$A$2:$A$11,0))</f>
        <v>Nordeste</v>
      </c>
      <c r="F2042" s="2" t="s">
        <v>260</v>
      </c>
      <c r="G2042" s="3" t="str">
        <f aca="false">INDEX(Produtos!$B$2:$B$11,MATCH(F2042,Produtos!$A$2:$A$11,0))&amp;" "&amp;INDEX(Produtos!$C$2:$C$11,MATCH(F2042,Produtos!$A$2:$A$11,0))</f>
        <v>Celular Motorola</v>
      </c>
      <c r="H2042" s="2" t="n">
        <v>1</v>
      </c>
      <c r="I2042" s="5" t="n">
        <f aca="false">INDEX(Produtos!$D$2:$D$11,MATCH(F2042,Produtos!$A$2:$A$11,0))</f>
        <v>1799</v>
      </c>
      <c r="J2042" s="5" t="n">
        <f aca="false">H2042*I2042</f>
        <v>1799</v>
      </c>
      <c r="K2042" s="5" t="n">
        <f aca="false">INDEX(Produtos!$E$2:$E$11,MATCH(F2042,Produtos!$A$2:$A$11,0))</f>
        <v>1250</v>
      </c>
      <c r="L2042" s="5" t="n">
        <f aca="false">H2042*K2042</f>
        <v>1250</v>
      </c>
    </row>
    <row r="2043" customFormat="false" ht="15" hidden="false" customHeight="false" outlineLevel="0" collapsed="false">
      <c r="A2043" s="2" t="s">
        <v>2325</v>
      </c>
      <c r="B2043" s="8" t="n">
        <v>46194</v>
      </c>
      <c r="C2043" s="2" t="s">
        <v>170</v>
      </c>
      <c r="D2043" s="3" t="str">
        <f aca="false">INDEX(Vendedores!$C$2:$C$101,MATCH(C2043,Vendedores!$A$2:$A$101,0))</f>
        <v>L07</v>
      </c>
      <c r="E2043" s="3" t="str">
        <f aca="false">INDEX(Lojas!$E$2:$E$11,MATCH(D2043,Lojas!$A$2:$A$11,0))</f>
        <v>Sul</v>
      </c>
      <c r="F2043" s="2" t="s">
        <v>270</v>
      </c>
      <c r="G2043" s="3" t="str">
        <f aca="false">INDEX(Produtos!$B$2:$B$11,MATCH(F2043,Produtos!$A$2:$A$11,0))&amp;" "&amp;INDEX(Produtos!$C$2:$C$11,MATCH(F2043,Produtos!$A$2:$A$11,0))</f>
        <v>Controle de Videogame Xbox</v>
      </c>
      <c r="H2043" s="2" t="n">
        <v>1</v>
      </c>
      <c r="I2043" s="5" t="n">
        <f aca="false">INDEX(Produtos!$D$2:$D$11,MATCH(F2043,Produtos!$A$2:$A$11,0))</f>
        <v>349.9</v>
      </c>
      <c r="J2043" s="5" t="n">
        <f aca="false">H2043*I2043</f>
        <v>349.9</v>
      </c>
      <c r="K2043" s="5" t="n">
        <f aca="false">INDEX(Produtos!$E$2:$E$11,MATCH(F2043,Produtos!$A$2:$A$11,0))</f>
        <v>215</v>
      </c>
      <c r="L2043" s="5" t="n">
        <f aca="false">H2043*K2043</f>
        <v>215</v>
      </c>
    </row>
    <row r="2044" customFormat="false" ht="15" hidden="false" customHeight="false" outlineLevel="0" collapsed="false">
      <c r="A2044" s="2" t="s">
        <v>2326</v>
      </c>
      <c r="B2044" s="8" t="n">
        <v>46194</v>
      </c>
      <c r="C2044" s="2" t="s">
        <v>170</v>
      </c>
      <c r="D2044" s="3" t="str">
        <f aca="false">INDEX(Vendedores!$C$2:$C$101,MATCH(C2044,Vendedores!$A$2:$A$101,0))</f>
        <v>L07</v>
      </c>
      <c r="E2044" s="3" t="str">
        <f aca="false">INDEX(Lojas!$E$2:$E$11,MATCH(D2044,Lojas!$A$2:$A$11,0))</f>
        <v>Sul</v>
      </c>
      <c r="F2044" s="2" t="s">
        <v>270</v>
      </c>
      <c r="G2044" s="3" t="str">
        <f aca="false">INDEX(Produtos!$B$2:$B$11,MATCH(F2044,Produtos!$A$2:$A$11,0))&amp;" "&amp;INDEX(Produtos!$C$2:$C$11,MATCH(F2044,Produtos!$A$2:$A$11,0))</f>
        <v>Controle de Videogame Xbox</v>
      </c>
      <c r="H2044" s="2" t="n">
        <v>1</v>
      </c>
      <c r="I2044" s="5" t="n">
        <f aca="false">INDEX(Produtos!$D$2:$D$11,MATCH(F2044,Produtos!$A$2:$A$11,0))</f>
        <v>349.9</v>
      </c>
      <c r="J2044" s="5" t="n">
        <f aca="false">H2044*I2044</f>
        <v>349.9</v>
      </c>
      <c r="K2044" s="5" t="n">
        <f aca="false">INDEX(Produtos!$E$2:$E$11,MATCH(F2044,Produtos!$A$2:$A$11,0))</f>
        <v>215</v>
      </c>
      <c r="L2044" s="5" t="n">
        <f aca="false">H2044*K2044</f>
        <v>215</v>
      </c>
    </row>
    <row r="2045" customFormat="false" ht="15" hidden="false" customHeight="false" outlineLevel="0" collapsed="false">
      <c r="A2045" s="2" t="s">
        <v>2327</v>
      </c>
      <c r="B2045" s="8" t="n">
        <v>46194</v>
      </c>
      <c r="C2045" s="2" t="s">
        <v>60</v>
      </c>
      <c r="D2045" s="3" t="str">
        <f aca="false">INDEX(Vendedores!$C$2:$C$101,MATCH(C2045,Vendedores!$A$2:$A$101,0))</f>
        <v>L01</v>
      </c>
      <c r="E2045" s="3" t="str">
        <f aca="false">INDEX(Lojas!$E$2:$E$11,MATCH(D2045,Lojas!$A$2:$A$11,0))</f>
        <v>Sudeste</v>
      </c>
      <c r="F2045" s="2" t="s">
        <v>262</v>
      </c>
      <c r="G2045" s="3" t="str">
        <f aca="false">INDEX(Produtos!$B$2:$B$11,MATCH(F2045,Produtos!$A$2:$A$11,0))&amp;" "&amp;INDEX(Produtos!$C$2:$C$11,MATCH(F2045,Produtos!$A$2:$A$11,0))</f>
        <v>Fone de Ouvido De Celular</v>
      </c>
      <c r="H2045" s="2" t="n">
        <v>1</v>
      </c>
      <c r="I2045" s="5" t="n">
        <f aca="false">INDEX(Produtos!$D$2:$D$11,MATCH(F2045,Produtos!$A$2:$A$11,0))</f>
        <v>59.9</v>
      </c>
      <c r="J2045" s="5" t="n">
        <f aca="false">H2045*I2045</f>
        <v>59.9</v>
      </c>
      <c r="K2045" s="5" t="n">
        <f aca="false">INDEX(Produtos!$E$2:$E$11,MATCH(F2045,Produtos!$A$2:$A$11,0))</f>
        <v>28</v>
      </c>
      <c r="L2045" s="5" t="n">
        <f aca="false">H2045*K2045</f>
        <v>28</v>
      </c>
    </row>
    <row r="2046" customFormat="false" ht="15" hidden="false" customHeight="false" outlineLevel="0" collapsed="false">
      <c r="A2046" s="2" t="s">
        <v>2328</v>
      </c>
      <c r="B2046" s="8" t="n">
        <v>46194</v>
      </c>
      <c r="C2046" s="2" t="s">
        <v>191</v>
      </c>
      <c r="D2046" s="3" t="str">
        <f aca="false">INDEX(Vendedores!$C$2:$C$101,MATCH(C2046,Vendedores!$A$2:$A$101,0))</f>
        <v>L08</v>
      </c>
      <c r="E2046" s="3" t="str">
        <f aca="false">INDEX(Lojas!$E$2:$E$11,MATCH(D2046,Lojas!$A$2:$A$11,0))</f>
        <v>Nordeste</v>
      </c>
      <c r="F2046" s="2" t="s">
        <v>267</v>
      </c>
      <c r="G2046" s="3" t="str">
        <f aca="false">INDEX(Produtos!$B$2:$B$11,MATCH(F2046,Produtos!$A$2:$A$11,0))&amp;" "&amp;INDEX(Produtos!$C$2:$C$11,MATCH(F2046,Produtos!$A$2:$A$11,0))</f>
        <v>Carregador de Celular Tipo C</v>
      </c>
      <c r="H2046" s="2" t="n">
        <v>1</v>
      </c>
      <c r="I2046" s="5" t="n">
        <f aca="false">INDEX(Produtos!$D$2:$D$11,MATCH(F2046,Produtos!$A$2:$A$11,0))</f>
        <v>44.9</v>
      </c>
      <c r="J2046" s="5" t="n">
        <f aca="false">H2046*I2046</f>
        <v>44.9</v>
      </c>
      <c r="K2046" s="5" t="n">
        <f aca="false">INDEX(Produtos!$E$2:$E$11,MATCH(F2046,Produtos!$A$2:$A$11,0))</f>
        <v>18</v>
      </c>
      <c r="L2046" s="5" t="n">
        <f aca="false">H2046*K2046</f>
        <v>18</v>
      </c>
    </row>
    <row r="2047" customFormat="false" ht="15" hidden="false" customHeight="false" outlineLevel="0" collapsed="false">
      <c r="A2047" s="2" t="s">
        <v>2329</v>
      </c>
      <c r="B2047" s="8" t="n">
        <v>46194</v>
      </c>
      <c r="C2047" s="2" t="s">
        <v>223</v>
      </c>
      <c r="D2047" s="3" t="str">
        <f aca="false">INDEX(Vendedores!$C$2:$C$101,MATCH(C2047,Vendedores!$A$2:$A$101,0))</f>
        <v>L09</v>
      </c>
      <c r="E2047" s="3" t="str">
        <f aca="false">INDEX(Lojas!$E$2:$E$11,MATCH(D2047,Lojas!$A$2:$A$11,0))</f>
        <v>Nordeste</v>
      </c>
      <c r="F2047" s="2" t="s">
        <v>275</v>
      </c>
      <c r="G2047" s="3" t="str">
        <f aca="false">INDEX(Produtos!$B$2:$B$11,MATCH(F2047,Produtos!$A$2:$A$11,0))&amp;" "&amp;INDEX(Produtos!$C$2:$C$11,MATCH(F2047,Produtos!$A$2:$A$11,0))</f>
        <v>Controle de Videogame PS5</v>
      </c>
      <c r="H2047" s="2" t="n">
        <v>1</v>
      </c>
      <c r="I2047" s="5" t="n">
        <f aca="false">INDEX(Produtos!$D$2:$D$11,MATCH(F2047,Produtos!$A$2:$A$11,0))</f>
        <v>379.9</v>
      </c>
      <c r="J2047" s="5" t="n">
        <f aca="false">H2047*I2047</f>
        <v>379.9</v>
      </c>
      <c r="K2047" s="5" t="n">
        <f aca="false">INDEX(Produtos!$E$2:$E$11,MATCH(F2047,Produtos!$A$2:$A$11,0))</f>
        <v>235</v>
      </c>
      <c r="L2047" s="5" t="n">
        <f aca="false">H2047*K2047</f>
        <v>235</v>
      </c>
    </row>
    <row r="2048" customFormat="false" ht="15" hidden="false" customHeight="false" outlineLevel="0" collapsed="false">
      <c r="A2048" s="2" t="s">
        <v>2330</v>
      </c>
      <c r="B2048" s="8" t="n">
        <v>46195</v>
      </c>
      <c r="C2048" s="2" t="s">
        <v>50</v>
      </c>
      <c r="D2048" s="3" t="str">
        <f aca="false">INDEX(Vendedores!$C$2:$C$101,MATCH(C2048,Vendedores!$A$2:$A$101,0))</f>
        <v>L01</v>
      </c>
      <c r="E2048" s="3" t="str">
        <f aca="false">INDEX(Lojas!$E$2:$E$11,MATCH(D2048,Lojas!$A$2:$A$11,0))</f>
        <v>Sudeste</v>
      </c>
      <c r="F2048" s="2" t="s">
        <v>273</v>
      </c>
      <c r="G2048" s="3" t="str">
        <f aca="false">INDEX(Produtos!$B$2:$B$11,MATCH(F2048,Produtos!$A$2:$A$11,0))&amp;" "&amp;INDEX(Produtos!$C$2:$C$11,MATCH(F2048,Produtos!$A$2:$A$11,0))</f>
        <v>Controle de Videogame PS4</v>
      </c>
      <c r="H2048" s="2" t="n">
        <v>1</v>
      </c>
      <c r="I2048" s="5" t="n">
        <f aca="false">INDEX(Produtos!$D$2:$D$11,MATCH(F2048,Produtos!$A$2:$A$11,0))</f>
        <v>299.9</v>
      </c>
      <c r="J2048" s="5" t="n">
        <f aca="false">H2048*I2048</f>
        <v>299.9</v>
      </c>
      <c r="K2048" s="5" t="n">
        <f aca="false">INDEX(Produtos!$E$2:$E$11,MATCH(F2048,Produtos!$A$2:$A$11,0))</f>
        <v>175</v>
      </c>
      <c r="L2048" s="5" t="n">
        <f aca="false">H2048*K2048</f>
        <v>175</v>
      </c>
    </row>
    <row r="2049" customFormat="false" ht="15" hidden="false" customHeight="false" outlineLevel="0" collapsed="false">
      <c r="A2049" s="2" t="s">
        <v>2331</v>
      </c>
      <c r="B2049" s="8" t="n">
        <v>46195</v>
      </c>
      <c r="C2049" s="2" t="s">
        <v>56</v>
      </c>
      <c r="D2049" s="3" t="str">
        <f aca="false">INDEX(Vendedores!$C$2:$C$101,MATCH(C2049,Vendedores!$A$2:$A$101,0))</f>
        <v>L01</v>
      </c>
      <c r="E2049" s="3" t="str">
        <f aca="false">INDEX(Lojas!$E$2:$E$11,MATCH(D2049,Lojas!$A$2:$A$11,0))</f>
        <v>Sudeste</v>
      </c>
      <c r="F2049" s="2" t="s">
        <v>252</v>
      </c>
      <c r="G2049" s="3" t="str">
        <f aca="false">INDEX(Produtos!$B$2:$B$11,MATCH(F2049,Produtos!$A$2:$A$11,0))&amp;" "&amp;INDEX(Produtos!$C$2:$C$11,MATCH(F2049,Produtos!$A$2:$A$11,0))</f>
        <v>Notebook Lenovo</v>
      </c>
      <c r="H2049" s="2" t="n">
        <v>1</v>
      </c>
      <c r="I2049" s="5" t="n">
        <f aca="false">INDEX(Produtos!$D$2:$D$11,MATCH(F2049,Produtos!$A$2:$A$11,0))</f>
        <v>3199</v>
      </c>
      <c r="J2049" s="5" t="n">
        <f aca="false">H2049*I2049</f>
        <v>3199</v>
      </c>
      <c r="K2049" s="5" t="n">
        <f aca="false">INDEX(Produtos!$E$2:$E$11,MATCH(F2049,Produtos!$A$2:$A$11,0))</f>
        <v>2350</v>
      </c>
      <c r="L2049" s="5" t="n">
        <f aca="false">H2049*K2049</f>
        <v>2350</v>
      </c>
    </row>
    <row r="2050" customFormat="false" ht="15" hidden="false" customHeight="false" outlineLevel="0" collapsed="false">
      <c r="A2050" s="2" t="s">
        <v>2332</v>
      </c>
      <c r="B2050" s="8" t="n">
        <v>46195</v>
      </c>
      <c r="C2050" s="2" t="s">
        <v>106</v>
      </c>
      <c r="D2050" s="3" t="str">
        <f aca="false">INDEX(Vendedores!$C$2:$C$101,MATCH(C2050,Vendedores!$A$2:$A$101,0))</f>
        <v>L03</v>
      </c>
      <c r="E2050" s="3" t="str">
        <f aca="false">INDEX(Lojas!$E$2:$E$11,MATCH(D2050,Lojas!$A$2:$A$11,0))</f>
        <v>Sudeste</v>
      </c>
      <c r="F2050" s="2" t="s">
        <v>273</v>
      </c>
      <c r="G2050" s="3" t="str">
        <f aca="false">INDEX(Produtos!$B$2:$B$11,MATCH(F2050,Produtos!$A$2:$A$11,0))&amp;" "&amp;INDEX(Produtos!$C$2:$C$11,MATCH(F2050,Produtos!$A$2:$A$11,0))</f>
        <v>Controle de Videogame PS4</v>
      </c>
      <c r="H2050" s="2" t="n">
        <v>3</v>
      </c>
      <c r="I2050" s="5" t="n">
        <f aca="false">INDEX(Produtos!$D$2:$D$11,MATCH(F2050,Produtos!$A$2:$A$11,0))</f>
        <v>299.9</v>
      </c>
      <c r="J2050" s="5" t="n">
        <f aca="false">H2050*I2050</f>
        <v>899.7</v>
      </c>
      <c r="K2050" s="5" t="n">
        <f aca="false">INDEX(Produtos!$E$2:$E$11,MATCH(F2050,Produtos!$A$2:$A$11,0))</f>
        <v>175</v>
      </c>
      <c r="L2050" s="5" t="n">
        <f aca="false">H2050*K2050</f>
        <v>525</v>
      </c>
    </row>
    <row r="2051" customFormat="false" ht="15" hidden="false" customHeight="false" outlineLevel="0" collapsed="false">
      <c r="A2051" s="2" t="s">
        <v>2333</v>
      </c>
      <c r="B2051" s="8" t="n">
        <v>46195</v>
      </c>
      <c r="C2051" s="2" t="s">
        <v>227</v>
      </c>
      <c r="D2051" s="3" t="str">
        <f aca="false">INDEX(Vendedores!$C$2:$C$101,MATCH(C2051,Vendedores!$A$2:$A$101,0))</f>
        <v>L10</v>
      </c>
      <c r="E2051" s="3" t="str">
        <f aca="false">INDEX(Lojas!$E$2:$E$11,MATCH(D2051,Lojas!$A$2:$A$11,0))</f>
        <v>Nordeste</v>
      </c>
      <c r="F2051" s="2" t="s">
        <v>255</v>
      </c>
      <c r="G2051" s="3" t="str">
        <f aca="false">INDEX(Produtos!$B$2:$B$11,MATCH(F2051,Produtos!$A$2:$A$11,0))&amp;" "&amp;INDEX(Produtos!$C$2:$C$11,MATCH(F2051,Produtos!$A$2:$A$11,0))</f>
        <v>Notebook Positivo</v>
      </c>
      <c r="H2051" s="2" t="n">
        <v>1</v>
      </c>
      <c r="I2051" s="5" t="n">
        <f aca="false">INDEX(Produtos!$D$2:$D$11,MATCH(F2051,Produtos!$A$2:$A$11,0))</f>
        <v>2199</v>
      </c>
      <c r="J2051" s="5" t="n">
        <f aca="false">H2051*I2051</f>
        <v>2199</v>
      </c>
      <c r="K2051" s="5" t="n">
        <f aca="false">INDEX(Produtos!$E$2:$E$11,MATCH(F2051,Produtos!$A$2:$A$11,0))</f>
        <v>1550</v>
      </c>
      <c r="L2051" s="5" t="n">
        <f aca="false">H2051*K2051</f>
        <v>1550</v>
      </c>
    </row>
    <row r="2052" customFormat="false" ht="15" hidden="false" customHeight="false" outlineLevel="0" collapsed="false">
      <c r="A2052" s="2" t="s">
        <v>2334</v>
      </c>
      <c r="B2052" s="8" t="n">
        <v>46195</v>
      </c>
      <c r="C2052" s="2" t="s">
        <v>170</v>
      </c>
      <c r="D2052" s="3" t="str">
        <f aca="false">INDEX(Vendedores!$C$2:$C$101,MATCH(C2052,Vendedores!$A$2:$A$101,0))</f>
        <v>L07</v>
      </c>
      <c r="E2052" s="3" t="str">
        <f aca="false">INDEX(Lojas!$E$2:$E$11,MATCH(D2052,Lojas!$A$2:$A$11,0))</f>
        <v>Sul</v>
      </c>
      <c r="F2052" s="2" t="s">
        <v>255</v>
      </c>
      <c r="G2052" s="3" t="str">
        <f aca="false">INDEX(Produtos!$B$2:$B$11,MATCH(F2052,Produtos!$A$2:$A$11,0))&amp;" "&amp;INDEX(Produtos!$C$2:$C$11,MATCH(F2052,Produtos!$A$2:$A$11,0))</f>
        <v>Notebook Positivo</v>
      </c>
      <c r="H2052" s="2" t="n">
        <v>3</v>
      </c>
      <c r="I2052" s="5" t="n">
        <f aca="false">INDEX(Produtos!$D$2:$D$11,MATCH(F2052,Produtos!$A$2:$A$11,0))</f>
        <v>2199</v>
      </c>
      <c r="J2052" s="5" t="n">
        <f aca="false">H2052*I2052</f>
        <v>6597</v>
      </c>
      <c r="K2052" s="5" t="n">
        <f aca="false">INDEX(Produtos!$E$2:$E$11,MATCH(F2052,Produtos!$A$2:$A$11,0))</f>
        <v>1550</v>
      </c>
      <c r="L2052" s="5" t="n">
        <f aca="false">H2052*K2052</f>
        <v>4650</v>
      </c>
    </row>
    <row r="2053" customFormat="false" ht="15" hidden="false" customHeight="false" outlineLevel="0" collapsed="false">
      <c r="A2053" s="2" t="s">
        <v>2335</v>
      </c>
      <c r="B2053" s="8" t="n">
        <v>46195</v>
      </c>
      <c r="C2053" s="2" t="s">
        <v>106</v>
      </c>
      <c r="D2053" s="3" t="str">
        <f aca="false">INDEX(Vendedores!$C$2:$C$101,MATCH(C2053,Vendedores!$A$2:$A$101,0))</f>
        <v>L03</v>
      </c>
      <c r="E2053" s="3" t="str">
        <f aca="false">INDEX(Lojas!$E$2:$E$11,MATCH(D2053,Lojas!$A$2:$A$11,0))</f>
        <v>Sudeste</v>
      </c>
      <c r="F2053" s="2" t="s">
        <v>275</v>
      </c>
      <c r="G2053" s="3" t="str">
        <f aca="false">INDEX(Produtos!$B$2:$B$11,MATCH(F2053,Produtos!$A$2:$A$11,0))&amp;" "&amp;INDEX(Produtos!$C$2:$C$11,MATCH(F2053,Produtos!$A$2:$A$11,0))</f>
        <v>Controle de Videogame PS5</v>
      </c>
      <c r="H2053" s="2" t="n">
        <v>1</v>
      </c>
      <c r="I2053" s="5" t="n">
        <f aca="false">INDEX(Produtos!$D$2:$D$11,MATCH(F2053,Produtos!$A$2:$A$11,0))</f>
        <v>379.9</v>
      </c>
      <c r="J2053" s="5" t="n">
        <f aca="false">H2053*I2053</f>
        <v>379.9</v>
      </c>
      <c r="K2053" s="5" t="n">
        <f aca="false">INDEX(Produtos!$E$2:$E$11,MATCH(F2053,Produtos!$A$2:$A$11,0))</f>
        <v>235</v>
      </c>
      <c r="L2053" s="5" t="n">
        <f aca="false">H2053*K2053</f>
        <v>235</v>
      </c>
    </row>
    <row r="2054" customFormat="false" ht="15" hidden="false" customHeight="false" outlineLevel="0" collapsed="false">
      <c r="A2054" s="2" t="s">
        <v>2336</v>
      </c>
      <c r="B2054" s="8" t="n">
        <v>46195</v>
      </c>
      <c r="C2054" s="2" t="s">
        <v>243</v>
      </c>
      <c r="D2054" s="3" t="str">
        <f aca="false">INDEX(Vendedores!$C$2:$C$101,MATCH(C2054,Vendedores!$A$2:$A$101,0))</f>
        <v>L10</v>
      </c>
      <c r="E2054" s="3" t="str">
        <f aca="false">INDEX(Lojas!$E$2:$E$11,MATCH(D2054,Lojas!$A$2:$A$11,0))</f>
        <v>Nordeste</v>
      </c>
      <c r="F2054" s="2" t="s">
        <v>267</v>
      </c>
      <c r="G2054" s="3" t="str">
        <f aca="false">INDEX(Produtos!$B$2:$B$11,MATCH(F2054,Produtos!$A$2:$A$11,0))&amp;" "&amp;INDEX(Produtos!$C$2:$C$11,MATCH(F2054,Produtos!$A$2:$A$11,0))</f>
        <v>Carregador de Celular Tipo C</v>
      </c>
      <c r="H2054" s="2" t="n">
        <v>1</v>
      </c>
      <c r="I2054" s="5" t="n">
        <f aca="false">INDEX(Produtos!$D$2:$D$11,MATCH(F2054,Produtos!$A$2:$A$11,0))</f>
        <v>44.9</v>
      </c>
      <c r="J2054" s="5" t="n">
        <f aca="false">H2054*I2054</f>
        <v>44.9</v>
      </c>
      <c r="K2054" s="5" t="n">
        <f aca="false">INDEX(Produtos!$E$2:$E$11,MATCH(F2054,Produtos!$A$2:$A$11,0))</f>
        <v>18</v>
      </c>
      <c r="L2054" s="5" t="n">
        <f aca="false">H2054*K2054</f>
        <v>18</v>
      </c>
    </row>
    <row r="2055" customFormat="false" ht="15" hidden="false" customHeight="false" outlineLevel="0" collapsed="false">
      <c r="A2055" s="2" t="s">
        <v>2337</v>
      </c>
      <c r="B2055" s="8" t="n">
        <v>46195</v>
      </c>
      <c r="C2055" s="2" t="s">
        <v>108</v>
      </c>
      <c r="D2055" s="3" t="str">
        <f aca="false">INDEX(Vendedores!$C$2:$C$101,MATCH(C2055,Vendedores!$A$2:$A$101,0))</f>
        <v>L03</v>
      </c>
      <c r="E2055" s="3" t="str">
        <f aca="false">INDEX(Lojas!$E$2:$E$11,MATCH(D2055,Lojas!$A$2:$A$11,0))</f>
        <v>Sudeste</v>
      </c>
      <c r="F2055" s="2" t="s">
        <v>273</v>
      </c>
      <c r="G2055" s="3" t="str">
        <f aca="false">INDEX(Produtos!$B$2:$B$11,MATCH(F2055,Produtos!$A$2:$A$11,0))&amp;" "&amp;INDEX(Produtos!$C$2:$C$11,MATCH(F2055,Produtos!$A$2:$A$11,0))</f>
        <v>Controle de Videogame PS4</v>
      </c>
      <c r="H2055" s="2" t="n">
        <v>1</v>
      </c>
      <c r="I2055" s="5" t="n">
        <f aca="false">INDEX(Produtos!$D$2:$D$11,MATCH(F2055,Produtos!$A$2:$A$11,0))</f>
        <v>299.9</v>
      </c>
      <c r="J2055" s="5" t="n">
        <f aca="false">H2055*I2055</f>
        <v>299.9</v>
      </c>
      <c r="K2055" s="5" t="n">
        <f aca="false">INDEX(Produtos!$E$2:$E$11,MATCH(F2055,Produtos!$A$2:$A$11,0))</f>
        <v>175</v>
      </c>
      <c r="L2055" s="5" t="n">
        <f aca="false">H2055*K2055</f>
        <v>175</v>
      </c>
    </row>
    <row r="2056" customFormat="false" ht="15" hidden="false" customHeight="false" outlineLevel="0" collapsed="false">
      <c r="A2056" s="2" t="s">
        <v>2338</v>
      </c>
      <c r="B2056" s="8" t="n">
        <v>46195</v>
      </c>
      <c r="C2056" s="2" t="s">
        <v>211</v>
      </c>
      <c r="D2056" s="3" t="str">
        <f aca="false">INDEX(Vendedores!$C$2:$C$101,MATCH(C2056,Vendedores!$A$2:$A$101,0))</f>
        <v>L09</v>
      </c>
      <c r="E2056" s="3" t="str">
        <f aca="false">INDEX(Lojas!$E$2:$E$11,MATCH(D2056,Lojas!$A$2:$A$11,0))</f>
        <v>Nordeste</v>
      </c>
      <c r="F2056" s="2" t="s">
        <v>260</v>
      </c>
      <c r="G2056" s="3" t="str">
        <f aca="false">INDEX(Produtos!$B$2:$B$11,MATCH(F2056,Produtos!$A$2:$A$11,0))&amp;" "&amp;INDEX(Produtos!$C$2:$C$11,MATCH(F2056,Produtos!$A$2:$A$11,0))</f>
        <v>Celular Motorola</v>
      </c>
      <c r="H2056" s="2" t="n">
        <v>1</v>
      </c>
      <c r="I2056" s="5" t="n">
        <f aca="false">INDEX(Produtos!$D$2:$D$11,MATCH(F2056,Produtos!$A$2:$A$11,0))</f>
        <v>1799</v>
      </c>
      <c r="J2056" s="5" t="n">
        <f aca="false">H2056*I2056</f>
        <v>1799</v>
      </c>
      <c r="K2056" s="5" t="n">
        <f aca="false">INDEX(Produtos!$E$2:$E$11,MATCH(F2056,Produtos!$A$2:$A$11,0))</f>
        <v>1250</v>
      </c>
      <c r="L2056" s="5" t="n">
        <f aca="false">H2056*K2056</f>
        <v>1250</v>
      </c>
    </row>
    <row r="2057" customFormat="false" ht="15" hidden="false" customHeight="false" outlineLevel="0" collapsed="false">
      <c r="A2057" s="2" t="s">
        <v>2339</v>
      </c>
      <c r="B2057" s="8" t="n">
        <v>46195</v>
      </c>
      <c r="C2057" s="2" t="s">
        <v>122</v>
      </c>
      <c r="D2057" s="3" t="str">
        <f aca="false">INDEX(Vendedores!$C$2:$C$101,MATCH(C2057,Vendedores!$A$2:$A$101,0))</f>
        <v>L04</v>
      </c>
      <c r="E2057" s="3" t="str">
        <f aca="false">INDEX(Lojas!$E$2:$E$11,MATCH(D2057,Lojas!$A$2:$A$11,0))</f>
        <v>Sudeste</v>
      </c>
      <c r="F2057" s="2" t="s">
        <v>262</v>
      </c>
      <c r="G2057" s="3" t="str">
        <f aca="false">INDEX(Produtos!$B$2:$B$11,MATCH(F2057,Produtos!$A$2:$A$11,0))&amp;" "&amp;INDEX(Produtos!$C$2:$C$11,MATCH(F2057,Produtos!$A$2:$A$11,0))</f>
        <v>Fone de Ouvido De Celular</v>
      </c>
      <c r="H2057" s="2" t="n">
        <v>2</v>
      </c>
      <c r="I2057" s="5" t="n">
        <f aca="false">INDEX(Produtos!$D$2:$D$11,MATCH(F2057,Produtos!$A$2:$A$11,0))</f>
        <v>59.9</v>
      </c>
      <c r="J2057" s="5" t="n">
        <f aca="false">H2057*I2057</f>
        <v>119.8</v>
      </c>
      <c r="K2057" s="5" t="n">
        <f aca="false">INDEX(Produtos!$E$2:$E$11,MATCH(F2057,Produtos!$A$2:$A$11,0))</f>
        <v>28</v>
      </c>
      <c r="L2057" s="5" t="n">
        <f aca="false">H2057*K2057</f>
        <v>56</v>
      </c>
    </row>
    <row r="2058" customFormat="false" ht="15" hidden="false" customHeight="false" outlineLevel="0" collapsed="false">
      <c r="A2058" s="2" t="s">
        <v>2340</v>
      </c>
      <c r="B2058" s="8" t="n">
        <v>46195</v>
      </c>
      <c r="C2058" s="2" t="s">
        <v>122</v>
      </c>
      <c r="D2058" s="3" t="str">
        <f aca="false">INDEX(Vendedores!$C$2:$C$101,MATCH(C2058,Vendedores!$A$2:$A$101,0))</f>
        <v>L04</v>
      </c>
      <c r="E2058" s="3" t="str">
        <f aca="false">INDEX(Lojas!$E$2:$E$11,MATCH(D2058,Lojas!$A$2:$A$11,0))</f>
        <v>Sudeste</v>
      </c>
      <c r="F2058" s="2" t="s">
        <v>275</v>
      </c>
      <c r="G2058" s="3" t="str">
        <f aca="false">INDEX(Produtos!$B$2:$B$11,MATCH(F2058,Produtos!$A$2:$A$11,0))&amp;" "&amp;INDEX(Produtos!$C$2:$C$11,MATCH(F2058,Produtos!$A$2:$A$11,0))</f>
        <v>Controle de Videogame PS5</v>
      </c>
      <c r="H2058" s="2" t="n">
        <v>1</v>
      </c>
      <c r="I2058" s="5" t="n">
        <f aca="false">INDEX(Produtos!$D$2:$D$11,MATCH(F2058,Produtos!$A$2:$A$11,0))</f>
        <v>379.9</v>
      </c>
      <c r="J2058" s="5" t="n">
        <f aca="false">H2058*I2058</f>
        <v>379.9</v>
      </c>
      <c r="K2058" s="5" t="n">
        <f aca="false">INDEX(Produtos!$E$2:$E$11,MATCH(F2058,Produtos!$A$2:$A$11,0))</f>
        <v>235</v>
      </c>
      <c r="L2058" s="5" t="n">
        <f aca="false">H2058*K2058</f>
        <v>235</v>
      </c>
    </row>
    <row r="2059" customFormat="false" ht="15" hidden="false" customHeight="false" outlineLevel="0" collapsed="false">
      <c r="A2059" s="2" t="s">
        <v>2341</v>
      </c>
      <c r="B2059" s="8" t="n">
        <v>46195</v>
      </c>
      <c r="C2059" s="2" t="s">
        <v>78</v>
      </c>
      <c r="D2059" s="3" t="str">
        <f aca="false">INDEX(Vendedores!$C$2:$C$101,MATCH(C2059,Vendedores!$A$2:$A$101,0))</f>
        <v>L02</v>
      </c>
      <c r="E2059" s="3" t="str">
        <f aca="false">INDEX(Lojas!$E$2:$E$11,MATCH(D2059,Lojas!$A$2:$A$11,0))</f>
        <v>Sudeste</v>
      </c>
      <c r="F2059" s="2" t="s">
        <v>255</v>
      </c>
      <c r="G2059" s="3" t="str">
        <f aca="false">INDEX(Produtos!$B$2:$B$11,MATCH(F2059,Produtos!$A$2:$A$11,0))&amp;" "&amp;INDEX(Produtos!$C$2:$C$11,MATCH(F2059,Produtos!$A$2:$A$11,0))</f>
        <v>Notebook Positivo</v>
      </c>
      <c r="H2059" s="2" t="n">
        <v>2</v>
      </c>
      <c r="I2059" s="5" t="n">
        <f aca="false">INDEX(Produtos!$D$2:$D$11,MATCH(F2059,Produtos!$A$2:$A$11,0))</f>
        <v>2199</v>
      </c>
      <c r="J2059" s="5" t="n">
        <f aca="false">H2059*I2059</f>
        <v>4398</v>
      </c>
      <c r="K2059" s="5" t="n">
        <f aca="false">INDEX(Produtos!$E$2:$E$11,MATCH(F2059,Produtos!$A$2:$A$11,0))</f>
        <v>1550</v>
      </c>
      <c r="L2059" s="5" t="n">
        <f aca="false">H2059*K2059</f>
        <v>3100</v>
      </c>
    </row>
    <row r="2060" customFormat="false" ht="15" hidden="false" customHeight="false" outlineLevel="0" collapsed="false">
      <c r="A2060" s="2" t="s">
        <v>2342</v>
      </c>
      <c r="B2060" s="8" t="n">
        <v>46195</v>
      </c>
      <c r="C2060" s="2" t="s">
        <v>187</v>
      </c>
      <c r="D2060" s="3" t="str">
        <f aca="false">INDEX(Vendedores!$C$2:$C$101,MATCH(C2060,Vendedores!$A$2:$A$101,0))</f>
        <v>L08</v>
      </c>
      <c r="E2060" s="3" t="str">
        <f aca="false">INDEX(Lojas!$E$2:$E$11,MATCH(D2060,Lojas!$A$2:$A$11,0))</f>
        <v>Nordeste</v>
      </c>
      <c r="F2060" s="2" t="s">
        <v>255</v>
      </c>
      <c r="G2060" s="3" t="str">
        <f aca="false">INDEX(Produtos!$B$2:$B$11,MATCH(F2060,Produtos!$A$2:$A$11,0))&amp;" "&amp;INDEX(Produtos!$C$2:$C$11,MATCH(F2060,Produtos!$A$2:$A$11,0))</f>
        <v>Notebook Positivo</v>
      </c>
      <c r="H2060" s="2" t="n">
        <v>1</v>
      </c>
      <c r="I2060" s="5" t="n">
        <f aca="false">INDEX(Produtos!$D$2:$D$11,MATCH(F2060,Produtos!$A$2:$A$11,0))</f>
        <v>2199</v>
      </c>
      <c r="J2060" s="5" t="n">
        <f aca="false">H2060*I2060</f>
        <v>2199</v>
      </c>
      <c r="K2060" s="5" t="n">
        <f aca="false">INDEX(Produtos!$E$2:$E$11,MATCH(F2060,Produtos!$A$2:$A$11,0))</f>
        <v>1550</v>
      </c>
      <c r="L2060" s="5" t="n">
        <f aca="false">H2060*K2060</f>
        <v>1550</v>
      </c>
    </row>
    <row r="2061" customFormat="false" ht="15" hidden="false" customHeight="false" outlineLevel="0" collapsed="false">
      <c r="A2061" s="2" t="s">
        <v>2343</v>
      </c>
      <c r="B2061" s="8" t="n">
        <v>46195</v>
      </c>
      <c r="C2061" s="2" t="s">
        <v>185</v>
      </c>
      <c r="D2061" s="3" t="str">
        <f aca="false">INDEX(Vendedores!$C$2:$C$101,MATCH(C2061,Vendedores!$A$2:$A$101,0))</f>
        <v>L08</v>
      </c>
      <c r="E2061" s="3" t="str">
        <f aca="false">INDEX(Lojas!$E$2:$E$11,MATCH(D2061,Lojas!$A$2:$A$11,0))</f>
        <v>Nordeste</v>
      </c>
      <c r="F2061" s="2" t="s">
        <v>255</v>
      </c>
      <c r="G2061" s="3" t="str">
        <f aca="false">INDEX(Produtos!$B$2:$B$11,MATCH(F2061,Produtos!$A$2:$A$11,0))&amp;" "&amp;INDEX(Produtos!$C$2:$C$11,MATCH(F2061,Produtos!$A$2:$A$11,0))</f>
        <v>Notebook Positivo</v>
      </c>
      <c r="H2061" s="2" t="n">
        <v>2</v>
      </c>
      <c r="I2061" s="5" t="n">
        <f aca="false">INDEX(Produtos!$D$2:$D$11,MATCH(F2061,Produtos!$A$2:$A$11,0))</f>
        <v>2199</v>
      </c>
      <c r="J2061" s="5" t="n">
        <f aca="false">H2061*I2061</f>
        <v>4398</v>
      </c>
      <c r="K2061" s="5" t="n">
        <f aca="false">INDEX(Produtos!$E$2:$E$11,MATCH(F2061,Produtos!$A$2:$A$11,0))</f>
        <v>1550</v>
      </c>
      <c r="L2061" s="5" t="n">
        <f aca="false">H2061*K2061</f>
        <v>3100</v>
      </c>
    </row>
    <row r="2062" customFormat="false" ht="15" hidden="false" customHeight="false" outlineLevel="0" collapsed="false">
      <c r="A2062" s="2" t="s">
        <v>2344</v>
      </c>
      <c r="B2062" s="8" t="n">
        <v>46195</v>
      </c>
      <c r="C2062" s="2" t="s">
        <v>199</v>
      </c>
      <c r="D2062" s="3" t="str">
        <f aca="false">INDEX(Vendedores!$C$2:$C$101,MATCH(C2062,Vendedores!$A$2:$A$101,0))</f>
        <v>L08</v>
      </c>
      <c r="E2062" s="3" t="str">
        <f aca="false">INDEX(Lojas!$E$2:$E$11,MATCH(D2062,Lojas!$A$2:$A$11,0))</f>
        <v>Nordeste</v>
      </c>
      <c r="F2062" s="2" t="s">
        <v>252</v>
      </c>
      <c r="G2062" s="3" t="str">
        <f aca="false">INDEX(Produtos!$B$2:$B$11,MATCH(F2062,Produtos!$A$2:$A$11,0))&amp;" "&amp;INDEX(Produtos!$C$2:$C$11,MATCH(F2062,Produtos!$A$2:$A$11,0))</f>
        <v>Notebook Lenovo</v>
      </c>
      <c r="H2062" s="2" t="n">
        <v>1</v>
      </c>
      <c r="I2062" s="5" t="n">
        <f aca="false">INDEX(Produtos!$D$2:$D$11,MATCH(F2062,Produtos!$A$2:$A$11,0))</f>
        <v>3199</v>
      </c>
      <c r="J2062" s="5" t="n">
        <f aca="false">H2062*I2062</f>
        <v>3199</v>
      </c>
      <c r="K2062" s="5" t="n">
        <f aca="false">INDEX(Produtos!$E$2:$E$11,MATCH(F2062,Produtos!$A$2:$A$11,0))</f>
        <v>2350</v>
      </c>
      <c r="L2062" s="5" t="n">
        <f aca="false">H2062*K2062</f>
        <v>2350</v>
      </c>
    </row>
    <row r="2063" customFormat="false" ht="15" hidden="false" customHeight="false" outlineLevel="0" collapsed="false">
      <c r="A2063" s="2" t="s">
        <v>2345</v>
      </c>
      <c r="B2063" s="8" t="n">
        <v>46195</v>
      </c>
      <c r="C2063" s="2" t="s">
        <v>102</v>
      </c>
      <c r="D2063" s="3" t="str">
        <f aca="false">INDEX(Vendedores!$C$2:$C$101,MATCH(C2063,Vendedores!$A$2:$A$101,0))</f>
        <v>L03</v>
      </c>
      <c r="E2063" s="3" t="str">
        <f aca="false">INDEX(Lojas!$E$2:$E$11,MATCH(D2063,Lojas!$A$2:$A$11,0))</f>
        <v>Sudeste</v>
      </c>
      <c r="F2063" s="2" t="s">
        <v>265</v>
      </c>
      <c r="G2063" s="3" t="str">
        <f aca="false">INDEX(Produtos!$B$2:$B$11,MATCH(F2063,Produtos!$A$2:$A$11,0))&amp;" "&amp;INDEX(Produtos!$C$2:$C$11,MATCH(F2063,Produtos!$A$2:$A$11,0))</f>
        <v>Fone de Ouvido Headset</v>
      </c>
      <c r="H2063" s="2" t="n">
        <v>2</v>
      </c>
      <c r="I2063" s="5" t="n">
        <f aca="false">INDEX(Produtos!$D$2:$D$11,MATCH(F2063,Produtos!$A$2:$A$11,0))</f>
        <v>249.9</v>
      </c>
      <c r="J2063" s="5" t="n">
        <f aca="false">H2063*I2063</f>
        <v>499.8</v>
      </c>
      <c r="K2063" s="5" t="n">
        <f aca="false">INDEX(Produtos!$E$2:$E$11,MATCH(F2063,Produtos!$A$2:$A$11,0))</f>
        <v>145</v>
      </c>
      <c r="L2063" s="5" t="n">
        <f aca="false">H2063*K2063</f>
        <v>290</v>
      </c>
    </row>
    <row r="2064" customFormat="false" ht="15" hidden="false" customHeight="false" outlineLevel="0" collapsed="false">
      <c r="A2064" s="2" t="s">
        <v>2346</v>
      </c>
      <c r="B2064" s="8" t="n">
        <v>46195</v>
      </c>
      <c r="C2064" s="2" t="s">
        <v>106</v>
      </c>
      <c r="D2064" s="3" t="str">
        <f aca="false">INDEX(Vendedores!$C$2:$C$101,MATCH(C2064,Vendedores!$A$2:$A$101,0))</f>
        <v>L03</v>
      </c>
      <c r="E2064" s="3" t="str">
        <f aca="false">INDEX(Lojas!$E$2:$E$11,MATCH(D2064,Lojas!$A$2:$A$11,0))</f>
        <v>Sudeste</v>
      </c>
      <c r="F2064" s="2" t="s">
        <v>252</v>
      </c>
      <c r="G2064" s="3" t="str">
        <f aca="false">INDEX(Produtos!$B$2:$B$11,MATCH(F2064,Produtos!$A$2:$A$11,0))&amp;" "&amp;INDEX(Produtos!$C$2:$C$11,MATCH(F2064,Produtos!$A$2:$A$11,0))</f>
        <v>Notebook Lenovo</v>
      </c>
      <c r="H2064" s="2" t="n">
        <v>1</v>
      </c>
      <c r="I2064" s="5" t="n">
        <f aca="false">INDEX(Produtos!$D$2:$D$11,MATCH(F2064,Produtos!$A$2:$A$11,0))</f>
        <v>3199</v>
      </c>
      <c r="J2064" s="5" t="n">
        <f aca="false">H2064*I2064</f>
        <v>3199</v>
      </c>
      <c r="K2064" s="5" t="n">
        <f aca="false">INDEX(Produtos!$E$2:$E$11,MATCH(F2064,Produtos!$A$2:$A$11,0))</f>
        <v>2350</v>
      </c>
      <c r="L2064" s="5" t="n">
        <f aca="false">H2064*K2064</f>
        <v>2350</v>
      </c>
    </row>
    <row r="2065" customFormat="false" ht="15" hidden="false" customHeight="false" outlineLevel="0" collapsed="false">
      <c r="A2065" s="2" t="s">
        <v>2347</v>
      </c>
      <c r="B2065" s="8" t="n">
        <v>46196</v>
      </c>
      <c r="C2065" s="2" t="s">
        <v>233</v>
      </c>
      <c r="D2065" s="3" t="str">
        <f aca="false">INDEX(Vendedores!$C$2:$C$101,MATCH(C2065,Vendedores!$A$2:$A$101,0))</f>
        <v>L10</v>
      </c>
      <c r="E2065" s="3" t="str">
        <f aca="false">INDEX(Lojas!$E$2:$E$11,MATCH(D2065,Lojas!$A$2:$A$11,0))</f>
        <v>Nordeste</v>
      </c>
      <c r="F2065" s="2" t="s">
        <v>265</v>
      </c>
      <c r="G2065" s="3" t="str">
        <f aca="false">INDEX(Produtos!$B$2:$B$11,MATCH(F2065,Produtos!$A$2:$A$11,0))&amp;" "&amp;INDEX(Produtos!$C$2:$C$11,MATCH(F2065,Produtos!$A$2:$A$11,0))</f>
        <v>Fone de Ouvido Headset</v>
      </c>
      <c r="H2065" s="2" t="n">
        <v>1</v>
      </c>
      <c r="I2065" s="5" t="n">
        <f aca="false">INDEX(Produtos!$D$2:$D$11,MATCH(F2065,Produtos!$A$2:$A$11,0))</f>
        <v>249.9</v>
      </c>
      <c r="J2065" s="5" t="n">
        <f aca="false">H2065*I2065</f>
        <v>249.9</v>
      </c>
      <c r="K2065" s="5" t="n">
        <f aca="false">INDEX(Produtos!$E$2:$E$11,MATCH(F2065,Produtos!$A$2:$A$11,0))</f>
        <v>145</v>
      </c>
      <c r="L2065" s="5" t="n">
        <f aca="false">H2065*K2065</f>
        <v>145</v>
      </c>
    </row>
    <row r="2066" customFormat="false" ht="15" hidden="false" customHeight="false" outlineLevel="0" collapsed="false">
      <c r="A2066" s="2" t="s">
        <v>2348</v>
      </c>
      <c r="B2066" s="8" t="n">
        <v>46196</v>
      </c>
      <c r="C2066" s="2" t="s">
        <v>203</v>
      </c>
      <c r="D2066" s="3" t="str">
        <f aca="false">INDEX(Vendedores!$C$2:$C$101,MATCH(C2066,Vendedores!$A$2:$A$101,0))</f>
        <v>L08</v>
      </c>
      <c r="E2066" s="3" t="str">
        <f aca="false">INDEX(Lojas!$E$2:$E$11,MATCH(D2066,Lojas!$A$2:$A$11,0))</f>
        <v>Nordeste</v>
      </c>
      <c r="F2066" s="2" t="s">
        <v>255</v>
      </c>
      <c r="G2066" s="3" t="str">
        <f aca="false">INDEX(Produtos!$B$2:$B$11,MATCH(F2066,Produtos!$A$2:$A$11,0))&amp;" "&amp;INDEX(Produtos!$C$2:$C$11,MATCH(F2066,Produtos!$A$2:$A$11,0))</f>
        <v>Notebook Positivo</v>
      </c>
      <c r="H2066" s="2" t="n">
        <v>1</v>
      </c>
      <c r="I2066" s="5" t="n">
        <f aca="false">INDEX(Produtos!$D$2:$D$11,MATCH(F2066,Produtos!$A$2:$A$11,0))</f>
        <v>2199</v>
      </c>
      <c r="J2066" s="5" t="n">
        <f aca="false">H2066*I2066</f>
        <v>2199</v>
      </c>
      <c r="K2066" s="5" t="n">
        <f aca="false">INDEX(Produtos!$E$2:$E$11,MATCH(F2066,Produtos!$A$2:$A$11,0))</f>
        <v>1550</v>
      </c>
      <c r="L2066" s="5" t="n">
        <f aca="false">H2066*K2066</f>
        <v>1550</v>
      </c>
    </row>
    <row r="2067" customFormat="false" ht="15" hidden="false" customHeight="false" outlineLevel="0" collapsed="false">
      <c r="A2067" s="2" t="s">
        <v>2349</v>
      </c>
      <c r="B2067" s="8" t="n">
        <v>46196</v>
      </c>
      <c r="C2067" s="2" t="s">
        <v>102</v>
      </c>
      <c r="D2067" s="3" t="str">
        <f aca="false">INDEX(Vendedores!$C$2:$C$101,MATCH(C2067,Vendedores!$A$2:$A$101,0))</f>
        <v>L03</v>
      </c>
      <c r="E2067" s="3" t="str">
        <f aca="false">INDEX(Lojas!$E$2:$E$11,MATCH(D2067,Lojas!$A$2:$A$11,0))</f>
        <v>Sudeste</v>
      </c>
      <c r="F2067" s="2" t="s">
        <v>275</v>
      </c>
      <c r="G2067" s="3" t="str">
        <f aca="false">INDEX(Produtos!$B$2:$B$11,MATCH(F2067,Produtos!$A$2:$A$11,0))&amp;" "&amp;INDEX(Produtos!$C$2:$C$11,MATCH(F2067,Produtos!$A$2:$A$11,0))</f>
        <v>Controle de Videogame PS5</v>
      </c>
      <c r="H2067" s="2" t="n">
        <v>1</v>
      </c>
      <c r="I2067" s="5" t="n">
        <f aca="false">INDEX(Produtos!$D$2:$D$11,MATCH(F2067,Produtos!$A$2:$A$11,0))</f>
        <v>379.9</v>
      </c>
      <c r="J2067" s="5" t="n">
        <f aca="false">H2067*I2067</f>
        <v>379.9</v>
      </c>
      <c r="K2067" s="5" t="n">
        <f aca="false">INDEX(Produtos!$E$2:$E$11,MATCH(F2067,Produtos!$A$2:$A$11,0))</f>
        <v>235</v>
      </c>
      <c r="L2067" s="5" t="n">
        <f aca="false">H2067*K2067</f>
        <v>235</v>
      </c>
    </row>
    <row r="2068" customFormat="false" ht="15" hidden="false" customHeight="false" outlineLevel="0" collapsed="false">
      <c r="A2068" s="2" t="s">
        <v>2350</v>
      </c>
      <c r="B2068" s="8" t="n">
        <v>46196</v>
      </c>
      <c r="C2068" s="2" t="s">
        <v>126</v>
      </c>
      <c r="D2068" s="3" t="str">
        <f aca="false">INDEX(Vendedores!$C$2:$C$101,MATCH(C2068,Vendedores!$A$2:$A$101,0))</f>
        <v>L04</v>
      </c>
      <c r="E2068" s="3" t="str">
        <f aca="false">INDEX(Lojas!$E$2:$E$11,MATCH(D2068,Lojas!$A$2:$A$11,0))</f>
        <v>Sudeste</v>
      </c>
      <c r="F2068" s="2" t="s">
        <v>257</v>
      </c>
      <c r="G2068" s="3" t="str">
        <f aca="false">INDEX(Produtos!$B$2:$B$11,MATCH(F2068,Produtos!$A$2:$A$11,0))&amp;" "&amp;INDEX(Produtos!$C$2:$C$11,MATCH(F2068,Produtos!$A$2:$A$11,0))</f>
        <v>Celular Samsung</v>
      </c>
      <c r="H2068" s="2" t="n">
        <v>2</v>
      </c>
      <c r="I2068" s="5" t="n">
        <f aca="false">INDEX(Produtos!$D$2:$D$11,MATCH(F2068,Produtos!$A$2:$A$11,0))</f>
        <v>2499</v>
      </c>
      <c r="J2068" s="5" t="n">
        <f aca="false">H2068*I2068</f>
        <v>4998</v>
      </c>
      <c r="K2068" s="5" t="n">
        <f aca="false">INDEX(Produtos!$E$2:$E$11,MATCH(F2068,Produtos!$A$2:$A$11,0))</f>
        <v>1800</v>
      </c>
      <c r="L2068" s="5" t="n">
        <f aca="false">H2068*K2068</f>
        <v>3600</v>
      </c>
    </row>
    <row r="2069" customFormat="false" ht="15" hidden="false" customHeight="false" outlineLevel="0" collapsed="false">
      <c r="A2069" s="2" t="s">
        <v>2351</v>
      </c>
      <c r="B2069" s="8" t="n">
        <v>46196</v>
      </c>
      <c r="C2069" s="2" t="s">
        <v>152</v>
      </c>
      <c r="D2069" s="3" t="str">
        <f aca="false">INDEX(Vendedores!$C$2:$C$101,MATCH(C2069,Vendedores!$A$2:$A$101,0))</f>
        <v>L06</v>
      </c>
      <c r="E2069" s="3" t="str">
        <f aca="false">INDEX(Lojas!$E$2:$E$11,MATCH(D2069,Lojas!$A$2:$A$11,0))</f>
        <v>Sul</v>
      </c>
      <c r="F2069" s="2" t="s">
        <v>270</v>
      </c>
      <c r="G2069" s="3" t="str">
        <f aca="false">INDEX(Produtos!$B$2:$B$11,MATCH(F2069,Produtos!$A$2:$A$11,0))&amp;" "&amp;INDEX(Produtos!$C$2:$C$11,MATCH(F2069,Produtos!$A$2:$A$11,0))</f>
        <v>Controle de Videogame Xbox</v>
      </c>
      <c r="H2069" s="2" t="n">
        <v>1</v>
      </c>
      <c r="I2069" s="5" t="n">
        <f aca="false">INDEX(Produtos!$D$2:$D$11,MATCH(F2069,Produtos!$A$2:$A$11,0))</f>
        <v>349.9</v>
      </c>
      <c r="J2069" s="5" t="n">
        <f aca="false">H2069*I2069</f>
        <v>349.9</v>
      </c>
      <c r="K2069" s="5" t="n">
        <f aca="false">INDEX(Produtos!$E$2:$E$11,MATCH(F2069,Produtos!$A$2:$A$11,0))</f>
        <v>215</v>
      </c>
      <c r="L2069" s="5" t="n">
        <f aca="false">H2069*K2069</f>
        <v>215</v>
      </c>
    </row>
    <row r="2070" customFormat="false" ht="15" hidden="false" customHeight="false" outlineLevel="0" collapsed="false">
      <c r="A2070" s="2" t="s">
        <v>2352</v>
      </c>
      <c r="B2070" s="8" t="n">
        <v>46196</v>
      </c>
      <c r="C2070" s="2" t="s">
        <v>146</v>
      </c>
      <c r="D2070" s="3" t="str">
        <f aca="false">INDEX(Vendedores!$C$2:$C$101,MATCH(C2070,Vendedores!$A$2:$A$101,0))</f>
        <v>L05</v>
      </c>
      <c r="E2070" s="3" t="str">
        <f aca="false">INDEX(Lojas!$E$2:$E$11,MATCH(D2070,Lojas!$A$2:$A$11,0))</f>
        <v>Sul</v>
      </c>
      <c r="F2070" s="2" t="s">
        <v>262</v>
      </c>
      <c r="G2070" s="3" t="str">
        <f aca="false">INDEX(Produtos!$B$2:$B$11,MATCH(F2070,Produtos!$A$2:$A$11,0))&amp;" "&amp;INDEX(Produtos!$C$2:$C$11,MATCH(F2070,Produtos!$A$2:$A$11,0))</f>
        <v>Fone de Ouvido De Celular</v>
      </c>
      <c r="H2070" s="2" t="n">
        <v>1</v>
      </c>
      <c r="I2070" s="5" t="n">
        <f aca="false">INDEX(Produtos!$D$2:$D$11,MATCH(F2070,Produtos!$A$2:$A$11,0))</f>
        <v>59.9</v>
      </c>
      <c r="J2070" s="5" t="n">
        <f aca="false">H2070*I2070</f>
        <v>59.9</v>
      </c>
      <c r="K2070" s="5" t="n">
        <f aca="false">INDEX(Produtos!$E$2:$E$11,MATCH(F2070,Produtos!$A$2:$A$11,0))</f>
        <v>28</v>
      </c>
      <c r="L2070" s="5" t="n">
        <f aca="false">H2070*K2070</f>
        <v>28</v>
      </c>
    </row>
    <row r="2071" customFormat="false" ht="15" hidden="false" customHeight="false" outlineLevel="0" collapsed="false">
      <c r="A2071" s="2" t="s">
        <v>2353</v>
      </c>
      <c r="B2071" s="8" t="n">
        <v>46196</v>
      </c>
      <c r="C2071" s="2" t="s">
        <v>178</v>
      </c>
      <c r="D2071" s="3" t="str">
        <f aca="false">INDEX(Vendedores!$C$2:$C$101,MATCH(C2071,Vendedores!$A$2:$A$101,0))</f>
        <v>L07</v>
      </c>
      <c r="E2071" s="3" t="str">
        <f aca="false">INDEX(Lojas!$E$2:$E$11,MATCH(D2071,Lojas!$A$2:$A$11,0))</f>
        <v>Sul</v>
      </c>
      <c r="F2071" s="2" t="s">
        <v>270</v>
      </c>
      <c r="G2071" s="3" t="str">
        <f aca="false">INDEX(Produtos!$B$2:$B$11,MATCH(F2071,Produtos!$A$2:$A$11,0))&amp;" "&amp;INDEX(Produtos!$C$2:$C$11,MATCH(F2071,Produtos!$A$2:$A$11,0))</f>
        <v>Controle de Videogame Xbox</v>
      </c>
      <c r="H2071" s="2" t="n">
        <v>1</v>
      </c>
      <c r="I2071" s="5" t="n">
        <f aca="false">INDEX(Produtos!$D$2:$D$11,MATCH(F2071,Produtos!$A$2:$A$11,0))</f>
        <v>349.9</v>
      </c>
      <c r="J2071" s="5" t="n">
        <f aca="false">H2071*I2071</f>
        <v>349.9</v>
      </c>
      <c r="K2071" s="5" t="n">
        <f aca="false">INDEX(Produtos!$E$2:$E$11,MATCH(F2071,Produtos!$A$2:$A$11,0))</f>
        <v>215</v>
      </c>
      <c r="L2071" s="5" t="n">
        <f aca="false">H2071*K2071</f>
        <v>215</v>
      </c>
    </row>
    <row r="2072" customFormat="false" ht="15" hidden="false" customHeight="false" outlineLevel="0" collapsed="false">
      <c r="A2072" s="2" t="s">
        <v>2354</v>
      </c>
      <c r="B2072" s="8" t="n">
        <v>46196</v>
      </c>
      <c r="C2072" s="2" t="s">
        <v>225</v>
      </c>
      <c r="D2072" s="3" t="str">
        <f aca="false">INDEX(Vendedores!$C$2:$C$101,MATCH(C2072,Vendedores!$A$2:$A$101,0))</f>
        <v>L10</v>
      </c>
      <c r="E2072" s="3" t="str">
        <f aca="false">INDEX(Lojas!$E$2:$E$11,MATCH(D2072,Lojas!$A$2:$A$11,0))</f>
        <v>Nordeste</v>
      </c>
      <c r="F2072" s="2" t="s">
        <v>257</v>
      </c>
      <c r="G2072" s="3" t="str">
        <f aca="false">INDEX(Produtos!$B$2:$B$11,MATCH(F2072,Produtos!$A$2:$A$11,0))&amp;" "&amp;INDEX(Produtos!$C$2:$C$11,MATCH(F2072,Produtos!$A$2:$A$11,0))</f>
        <v>Celular Samsung</v>
      </c>
      <c r="H2072" s="2" t="n">
        <v>1</v>
      </c>
      <c r="I2072" s="5" t="n">
        <f aca="false">INDEX(Produtos!$D$2:$D$11,MATCH(F2072,Produtos!$A$2:$A$11,0))</f>
        <v>2499</v>
      </c>
      <c r="J2072" s="5" t="n">
        <f aca="false">H2072*I2072</f>
        <v>2499</v>
      </c>
      <c r="K2072" s="5" t="n">
        <f aca="false">INDEX(Produtos!$E$2:$E$11,MATCH(F2072,Produtos!$A$2:$A$11,0))</f>
        <v>1800</v>
      </c>
      <c r="L2072" s="5" t="n">
        <f aca="false">H2072*K2072</f>
        <v>1800</v>
      </c>
    </row>
    <row r="2073" customFormat="false" ht="15" hidden="false" customHeight="false" outlineLevel="0" collapsed="false">
      <c r="A2073" s="2" t="s">
        <v>2355</v>
      </c>
      <c r="B2073" s="8" t="n">
        <v>46196</v>
      </c>
      <c r="C2073" s="2" t="s">
        <v>174</v>
      </c>
      <c r="D2073" s="3" t="str">
        <f aca="false">INDEX(Vendedores!$C$2:$C$101,MATCH(C2073,Vendedores!$A$2:$A$101,0))</f>
        <v>L07</v>
      </c>
      <c r="E2073" s="3" t="str">
        <f aca="false">INDEX(Lojas!$E$2:$E$11,MATCH(D2073,Lojas!$A$2:$A$11,0))</f>
        <v>Sul</v>
      </c>
      <c r="F2073" s="2" t="s">
        <v>270</v>
      </c>
      <c r="G2073" s="3" t="str">
        <f aca="false">INDEX(Produtos!$B$2:$B$11,MATCH(F2073,Produtos!$A$2:$A$11,0))&amp;" "&amp;INDEX(Produtos!$C$2:$C$11,MATCH(F2073,Produtos!$A$2:$A$11,0))</f>
        <v>Controle de Videogame Xbox</v>
      </c>
      <c r="H2073" s="2" t="n">
        <v>2</v>
      </c>
      <c r="I2073" s="5" t="n">
        <f aca="false">INDEX(Produtos!$D$2:$D$11,MATCH(F2073,Produtos!$A$2:$A$11,0))</f>
        <v>349.9</v>
      </c>
      <c r="J2073" s="5" t="n">
        <f aca="false">H2073*I2073</f>
        <v>699.8</v>
      </c>
      <c r="K2073" s="5" t="n">
        <f aca="false">INDEX(Produtos!$E$2:$E$11,MATCH(F2073,Produtos!$A$2:$A$11,0))</f>
        <v>215</v>
      </c>
      <c r="L2073" s="5" t="n">
        <f aca="false">H2073*K2073</f>
        <v>430</v>
      </c>
    </row>
    <row r="2074" customFormat="false" ht="15" hidden="false" customHeight="false" outlineLevel="0" collapsed="false">
      <c r="A2074" s="2" t="s">
        <v>2356</v>
      </c>
      <c r="B2074" s="8" t="n">
        <v>46196</v>
      </c>
      <c r="C2074" s="2" t="s">
        <v>82</v>
      </c>
      <c r="D2074" s="3" t="str">
        <f aca="false">INDEX(Vendedores!$C$2:$C$101,MATCH(C2074,Vendedores!$A$2:$A$101,0))</f>
        <v>L02</v>
      </c>
      <c r="E2074" s="3" t="str">
        <f aca="false">INDEX(Lojas!$E$2:$E$11,MATCH(D2074,Lojas!$A$2:$A$11,0))</f>
        <v>Sudeste</v>
      </c>
      <c r="F2074" s="2" t="s">
        <v>255</v>
      </c>
      <c r="G2074" s="3" t="str">
        <f aca="false">INDEX(Produtos!$B$2:$B$11,MATCH(F2074,Produtos!$A$2:$A$11,0))&amp;" "&amp;INDEX(Produtos!$C$2:$C$11,MATCH(F2074,Produtos!$A$2:$A$11,0))</f>
        <v>Notebook Positivo</v>
      </c>
      <c r="H2074" s="2" t="n">
        <v>2</v>
      </c>
      <c r="I2074" s="5" t="n">
        <f aca="false">INDEX(Produtos!$D$2:$D$11,MATCH(F2074,Produtos!$A$2:$A$11,0))</f>
        <v>2199</v>
      </c>
      <c r="J2074" s="5" t="n">
        <f aca="false">H2074*I2074</f>
        <v>4398</v>
      </c>
      <c r="K2074" s="5" t="n">
        <f aca="false">INDEX(Produtos!$E$2:$E$11,MATCH(F2074,Produtos!$A$2:$A$11,0))</f>
        <v>1550</v>
      </c>
      <c r="L2074" s="5" t="n">
        <f aca="false">H2074*K2074</f>
        <v>3100</v>
      </c>
    </row>
    <row r="2075" customFormat="false" ht="15" hidden="false" customHeight="false" outlineLevel="0" collapsed="false">
      <c r="A2075" s="2" t="s">
        <v>2357</v>
      </c>
      <c r="B2075" s="8" t="n">
        <v>46196</v>
      </c>
      <c r="C2075" s="2" t="s">
        <v>207</v>
      </c>
      <c r="D2075" s="3" t="str">
        <f aca="false">INDEX(Vendedores!$C$2:$C$101,MATCH(C2075,Vendedores!$A$2:$A$101,0))</f>
        <v>L09</v>
      </c>
      <c r="E2075" s="3" t="str">
        <f aca="false">INDEX(Lojas!$E$2:$E$11,MATCH(D2075,Lojas!$A$2:$A$11,0))</f>
        <v>Nordeste</v>
      </c>
      <c r="F2075" s="2" t="s">
        <v>267</v>
      </c>
      <c r="G2075" s="3" t="str">
        <f aca="false">INDEX(Produtos!$B$2:$B$11,MATCH(F2075,Produtos!$A$2:$A$11,0))&amp;" "&amp;INDEX(Produtos!$C$2:$C$11,MATCH(F2075,Produtos!$A$2:$A$11,0))</f>
        <v>Carregador de Celular Tipo C</v>
      </c>
      <c r="H2075" s="2" t="n">
        <v>3</v>
      </c>
      <c r="I2075" s="5" t="n">
        <f aca="false">INDEX(Produtos!$D$2:$D$11,MATCH(F2075,Produtos!$A$2:$A$11,0))</f>
        <v>44.9</v>
      </c>
      <c r="J2075" s="5" t="n">
        <f aca="false">H2075*I2075</f>
        <v>134.7</v>
      </c>
      <c r="K2075" s="5" t="n">
        <f aca="false">INDEX(Produtos!$E$2:$E$11,MATCH(F2075,Produtos!$A$2:$A$11,0))</f>
        <v>18</v>
      </c>
      <c r="L2075" s="5" t="n">
        <f aca="false">H2075*K2075</f>
        <v>54</v>
      </c>
    </row>
    <row r="2076" customFormat="false" ht="15" hidden="false" customHeight="false" outlineLevel="0" collapsed="false">
      <c r="A2076" s="2" t="s">
        <v>2358</v>
      </c>
      <c r="B2076" s="8" t="n">
        <v>46196</v>
      </c>
      <c r="C2076" s="2" t="s">
        <v>146</v>
      </c>
      <c r="D2076" s="3" t="str">
        <f aca="false">INDEX(Vendedores!$C$2:$C$101,MATCH(C2076,Vendedores!$A$2:$A$101,0))</f>
        <v>L05</v>
      </c>
      <c r="E2076" s="3" t="str">
        <f aca="false">INDEX(Lojas!$E$2:$E$11,MATCH(D2076,Lojas!$A$2:$A$11,0))</f>
        <v>Sul</v>
      </c>
      <c r="F2076" s="2" t="s">
        <v>265</v>
      </c>
      <c r="G2076" s="3" t="str">
        <f aca="false">INDEX(Produtos!$B$2:$B$11,MATCH(F2076,Produtos!$A$2:$A$11,0))&amp;" "&amp;INDEX(Produtos!$C$2:$C$11,MATCH(F2076,Produtos!$A$2:$A$11,0))</f>
        <v>Fone de Ouvido Headset</v>
      </c>
      <c r="H2076" s="2" t="n">
        <v>2</v>
      </c>
      <c r="I2076" s="5" t="n">
        <f aca="false">INDEX(Produtos!$D$2:$D$11,MATCH(F2076,Produtos!$A$2:$A$11,0))</f>
        <v>249.9</v>
      </c>
      <c r="J2076" s="5" t="n">
        <f aca="false">H2076*I2076</f>
        <v>499.8</v>
      </c>
      <c r="K2076" s="5" t="n">
        <f aca="false">INDEX(Produtos!$E$2:$E$11,MATCH(F2076,Produtos!$A$2:$A$11,0))</f>
        <v>145</v>
      </c>
      <c r="L2076" s="5" t="n">
        <f aca="false">H2076*K2076</f>
        <v>290</v>
      </c>
    </row>
    <row r="2077" customFormat="false" ht="15" hidden="false" customHeight="false" outlineLevel="0" collapsed="false">
      <c r="A2077" s="2" t="s">
        <v>2359</v>
      </c>
      <c r="B2077" s="8" t="n">
        <v>46196</v>
      </c>
      <c r="C2077" s="2" t="s">
        <v>203</v>
      </c>
      <c r="D2077" s="3" t="str">
        <f aca="false">INDEX(Vendedores!$C$2:$C$101,MATCH(C2077,Vendedores!$A$2:$A$101,0))</f>
        <v>L08</v>
      </c>
      <c r="E2077" s="3" t="str">
        <f aca="false">INDEX(Lojas!$E$2:$E$11,MATCH(D2077,Lojas!$A$2:$A$11,0))</f>
        <v>Nordeste</v>
      </c>
      <c r="F2077" s="2" t="s">
        <v>273</v>
      </c>
      <c r="G2077" s="3" t="str">
        <f aca="false">INDEX(Produtos!$B$2:$B$11,MATCH(F2077,Produtos!$A$2:$A$11,0))&amp;" "&amp;INDEX(Produtos!$C$2:$C$11,MATCH(F2077,Produtos!$A$2:$A$11,0))</f>
        <v>Controle de Videogame PS4</v>
      </c>
      <c r="H2077" s="2" t="n">
        <v>1</v>
      </c>
      <c r="I2077" s="5" t="n">
        <f aca="false">INDEX(Produtos!$D$2:$D$11,MATCH(F2077,Produtos!$A$2:$A$11,0))</f>
        <v>299.9</v>
      </c>
      <c r="J2077" s="5" t="n">
        <f aca="false">H2077*I2077</f>
        <v>299.9</v>
      </c>
      <c r="K2077" s="5" t="n">
        <f aca="false">INDEX(Produtos!$E$2:$E$11,MATCH(F2077,Produtos!$A$2:$A$11,0))</f>
        <v>175</v>
      </c>
      <c r="L2077" s="5" t="n">
        <f aca="false">H2077*K2077</f>
        <v>175</v>
      </c>
    </row>
    <row r="2078" customFormat="false" ht="15" hidden="false" customHeight="false" outlineLevel="0" collapsed="false">
      <c r="A2078" s="2" t="s">
        <v>2360</v>
      </c>
      <c r="B2078" s="8" t="n">
        <v>46196</v>
      </c>
      <c r="C2078" s="2" t="s">
        <v>164</v>
      </c>
      <c r="D2078" s="3" t="str">
        <f aca="false">INDEX(Vendedores!$C$2:$C$101,MATCH(C2078,Vendedores!$A$2:$A$101,0))</f>
        <v>L06</v>
      </c>
      <c r="E2078" s="3" t="str">
        <f aca="false">INDEX(Lojas!$E$2:$E$11,MATCH(D2078,Lojas!$A$2:$A$11,0))</f>
        <v>Sul</v>
      </c>
      <c r="F2078" s="2" t="s">
        <v>262</v>
      </c>
      <c r="G2078" s="3" t="str">
        <f aca="false">INDEX(Produtos!$B$2:$B$11,MATCH(F2078,Produtos!$A$2:$A$11,0))&amp;" "&amp;INDEX(Produtos!$C$2:$C$11,MATCH(F2078,Produtos!$A$2:$A$11,0))</f>
        <v>Fone de Ouvido De Celular</v>
      </c>
      <c r="H2078" s="2" t="n">
        <v>3</v>
      </c>
      <c r="I2078" s="5" t="n">
        <f aca="false">INDEX(Produtos!$D$2:$D$11,MATCH(F2078,Produtos!$A$2:$A$11,0))</f>
        <v>59.9</v>
      </c>
      <c r="J2078" s="5" t="n">
        <f aca="false">H2078*I2078</f>
        <v>179.7</v>
      </c>
      <c r="K2078" s="5" t="n">
        <f aca="false">INDEX(Produtos!$E$2:$E$11,MATCH(F2078,Produtos!$A$2:$A$11,0))</f>
        <v>28</v>
      </c>
      <c r="L2078" s="5" t="n">
        <f aca="false">H2078*K2078</f>
        <v>84</v>
      </c>
    </row>
    <row r="2079" customFormat="false" ht="15" hidden="false" customHeight="false" outlineLevel="0" collapsed="false">
      <c r="A2079" s="2" t="s">
        <v>2361</v>
      </c>
      <c r="B2079" s="8" t="n">
        <v>46196</v>
      </c>
      <c r="C2079" s="2" t="s">
        <v>241</v>
      </c>
      <c r="D2079" s="3" t="str">
        <f aca="false">INDEX(Vendedores!$C$2:$C$101,MATCH(C2079,Vendedores!$A$2:$A$101,0))</f>
        <v>L10</v>
      </c>
      <c r="E2079" s="3" t="str">
        <f aca="false">INDEX(Lojas!$E$2:$E$11,MATCH(D2079,Lojas!$A$2:$A$11,0))</f>
        <v>Nordeste</v>
      </c>
      <c r="F2079" s="2" t="s">
        <v>260</v>
      </c>
      <c r="G2079" s="3" t="str">
        <f aca="false">INDEX(Produtos!$B$2:$B$11,MATCH(F2079,Produtos!$A$2:$A$11,0))&amp;" "&amp;INDEX(Produtos!$C$2:$C$11,MATCH(F2079,Produtos!$A$2:$A$11,0))</f>
        <v>Celular Motorola</v>
      </c>
      <c r="H2079" s="2" t="n">
        <v>2</v>
      </c>
      <c r="I2079" s="5" t="n">
        <f aca="false">INDEX(Produtos!$D$2:$D$11,MATCH(F2079,Produtos!$A$2:$A$11,0))</f>
        <v>1799</v>
      </c>
      <c r="J2079" s="5" t="n">
        <f aca="false">H2079*I2079</f>
        <v>3598</v>
      </c>
      <c r="K2079" s="5" t="n">
        <f aca="false">INDEX(Produtos!$E$2:$E$11,MATCH(F2079,Produtos!$A$2:$A$11,0))</f>
        <v>1250</v>
      </c>
      <c r="L2079" s="5" t="n">
        <f aca="false">H2079*K2079</f>
        <v>2500</v>
      </c>
    </row>
    <row r="2080" customFormat="false" ht="15" hidden="false" customHeight="false" outlineLevel="0" collapsed="false">
      <c r="A2080" s="2" t="s">
        <v>2362</v>
      </c>
      <c r="B2080" s="8" t="n">
        <v>46196</v>
      </c>
      <c r="C2080" s="2" t="s">
        <v>172</v>
      </c>
      <c r="D2080" s="3" t="str">
        <f aca="false">INDEX(Vendedores!$C$2:$C$101,MATCH(C2080,Vendedores!$A$2:$A$101,0))</f>
        <v>L07</v>
      </c>
      <c r="E2080" s="3" t="str">
        <f aca="false">INDEX(Lojas!$E$2:$E$11,MATCH(D2080,Lojas!$A$2:$A$11,0))</f>
        <v>Sul</v>
      </c>
      <c r="F2080" s="2" t="s">
        <v>275</v>
      </c>
      <c r="G2080" s="3" t="str">
        <f aca="false">INDEX(Produtos!$B$2:$B$11,MATCH(F2080,Produtos!$A$2:$A$11,0))&amp;" "&amp;INDEX(Produtos!$C$2:$C$11,MATCH(F2080,Produtos!$A$2:$A$11,0))</f>
        <v>Controle de Videogame PS5</v>
      </c>
      <c r="H2080" s="2" t="n">
        <v>1</v>
      </c>
      <c r="I2080" s="5" t="n">
        <f aca="false">INDEX(Produtos!$D$2:$D$11,MATCH(F2080,Produtos!$A$2:$A$11,0))</f>
        <v>379.9</v>
      </c>
      <c r="J2080" s="5" t="n">
        <f aca="false">H2080*I2080</f>
        <v>379.9</v>
      </c>
      <c r="K2080" s="5" t="n">
        <f aca="false">INDEX(Produtos!$E$2:$E$11,MATCH(F2080,Produtos!$A$2:$A$11,0))</f>
        <v>235</v>
      </c>
      <c r="L2080" s="5" t="n">
        <f aca="false">H2080*K2080</f>
        <v>235</v>
      </c>
    </row>
    <row r="2081" customFormat="false" ht="15" hidden="false" customHeight="false" outlineLevel="0" collapsed="false">
      <c r="A2081" s="2" t="s">
        <v>2363</v>
      </c>
      <c r="B2081" s="8" t="n">
        <v>46196</v>
      </c>
      <c r="C2081" s="2" t="s">
        <v>106</v>
      </c>
      <c r="D2081" s="3" t="str">
        <f aca="false">INDEX(Vendedores!$C$2:$C$101,MATCH(C2081,Vendedores!$A$2:$A$101,0))</f>
        <v>L03</v>
      </c>
      <c r="E2081" s="3" t="str">
        <f aca="false">INDEX(Lojas!$E$2:$E$11,MATCH(D2081,Lojas!$A$2:$A$11,0))</f>
        <v>Sudeste</v>
      </c>
      <c r="F2081" s="2" t="s">
        <v>273</v>
      </c>
      <c r="G2081" s="3" t="str">
        <f aca="false">INDEX(Produtos!$B$2:$B$11,MATCH(F2081,Produtos!$A$2:$A$11,0))&amp;" "&amp;INDEX(Produtos!$C$2:$C$11,MATCH(F2081,Produtos!$A$2:$A$11,0))</f>
        <v>Controle de Videogame PS4</v>
      </c>
      <c r="H2081" s="2" t="n">
        <v>1</v>
      </c>
      <c r="I2081" s="5" t="n">
        <f aca="false">INDEX(Produtos!$D$2:$D$11,MATCH(F2081,Produtos!$A$2:$A$11,0))</f>
        <v>299.9</v>
      </c>
      <c r="J2081" s="5" t="n">
        <f aca="false">H2081*I2081</f>
        <v>299.9</v>
      </c>
      <c r="K2081" s="5" t="n">
        <f aca="false">INDEX(Produtos!$E$2:$E$11,MATCH(F2081,Produtos!$A$2:$A$11,0))</f>
        <v>175</v>
      </c>
      <c r="L2081" s="5" t="n">
        <f aca="false">H2081*K2081</f>
        <v>175</v>
      </c>
    </row>
    <row r="2082" customFormat="false" ht="15" hidden="false" customHeight="false" outlineLevel="0" collapsed="false">
      <c r="A2082" s="2" t="s">
        <v>2364</v>
      </c>
      <c r="B2082" s="8" t="n">
        <v>46196</v>
      </c>
      <c r="C2082" s="2" t="s">
        <v>112</v>
      </c>
      <c r="D2082" s="3" t="str">
        <f aca="false">INDEX(Vendedores!$C$2:$C$101,MATCH(C2082,Vendedores!$A$2:$A$101,0))</f>
        <v>L04</v>
      </c>
      <c r="E2082" s="3" t="str">
        <f aca="false">INDEX(Lojas!$E$2:$E$11,MATCH(D2082,Lojas!$A$2:$A$11,0))</f>
        <v>Sudeste</v>
      </c>
      <c r="F2082" s="2" t="s">
        <v>275</v>
      </c>
      <c r="G2082" s="3" t="str">
        <f aca="false">INDEX(Produtos!$B$2:$B$11,MATCH(F2082,Produtos!$A$2:$A$11,0))&amp;" "&amp;INDEX(Produtos!$C$2:$C$11,MATCH(F2082,Produtos!$A$2:$A$11,0))</f>
        <v>Controle de Videogame PS5</v>
      </c>
      <c r="H2082" s="2" t="n">
        <v>1</v>
      </c>
      <c r="I2082" s="5" t="n">
        <f aca="false">INDEX(Produtos!$D$2:$D$11,MATCH(F2082,Produtos!$A$2:$A$11,0))</f>
        <v>379.9</v>
      </c>
      <c r="J2082" s="5" t="n">
        <f aca="false">H2082*I2082</f>
        <v>379.9</v>
      </c>
      <c r="K2082" s="5" t="n">
        <f aca="false">INDEX(Produtos!$E$2:$E$11,MATCH(F2082,Produtos!$A$2:$A$11,0))</f>
        <v>235</v>
      </c>
      <c r="L2082" s="5" t="n">
        <f aca="false">H2082*K2082</f>
        <v>235</v>
      </c>
    </row>
    <row r="2083" customFormat="false" ht="15" hidden="false" customHeight="false" outlineLevel="0" collapsed="false">
      <c r="A2083" s="2" t="s">
        <v>2365</v>
      </c>
      <c r="B2083" s="8" t="n">
        <v>46196</v>
      </c>
      <c r="C2083" s="2" t="s">
        <v>221</v>
      </c>
      <c r="D2083" s="3" t="str">
        <f aca="false">INDEX(Vendedores!$C$2:$C$101,MATCH(C2083,Vendedores!$A$2:$A$101,0))</f>
        <v>L09</v>
      </c>
      <c r="E2083" s="3" t="str">
        <f aca="false">INDEX(Lojas!$E$2:$E$11,MATCH(D2083,Lojas!$A$2:$A$11,0))</f>
        <v>Nordeste</v>
      </c>
      <c r="F2083" s="2" t="s">
        <v>252</v>
      </c>
      <c r="G2083" s="3" t="str">
        <f aca="false">INDEX(Produtos!$B$2:$B$11,MATCH(F2083,Produtos!$A$2:$A$11,0))&amp;" "&amp;INDEX(Produtos!$C$2:$C$11,MATCH(F2083,Produtos!$A$2:$A$11,0))</f>
        <v>Notebook Lenovo</v>
      </c>
      <c r="H2083" s="2" t="n">
        <v>2</v>
      </c>
      <c r="I2083" s="5" t="n">
        <f aca="false">INDEX(Produtos!$D$2:$D$11,MATCH(F2083,Produtos!$A$2:$A$11,0))</f>
        <v>3199</v>
      </c>
      <c r="J2083" s="5" t="n">
        <f aca="false">H2083*I2083</f>
        <v>6398</v>
      </c>
      <c r="K2083" s="5" t="n">
        <f aca="false">INDEX(Produtos!$E$2:$E$11,MATCH(F2083,Produtos!$A$2:$A$11,0))</f>
        <v>2350</v>
      </c>
      <c r="L2083" s="5" t="n">
        <f aca="false">H2083*K2083</f>
        <v>4700</v>
      </c>
    </row>
    <row r="2084" customFormat="false" ht="15" hidden="false" customHeight="false" outlineLevel="0" collapsed="false">
      <c r="A2084" s="2" t="s">
        <v>2366</v>
      </c>
      <c r="B2084" s="8" t="n">
        <v>46196</v>
      </c>
      <c r="C2084" s="2" t="s">
        <v>96</v>
      </c>
      <c r="D2084" s="3" t="str">
        <f aca="false">INDEX(Vendedores!$C$2:$C$101,MATCH(C2084,Vendedores!$A$2:$A$101,0))</f>
        <v>L03</v>
      </c>
      <c r="E2084" s="3" t="str">
        <f aca="false">INDEX(Lojas!$E$2:$E$11,MATCH(D2084,Lojas!$A$2:$A$11,0))</f>
        <v>Sudeste</v>
      </c>
      <c r="F2084" s="2" t="s">
        <v>255</v>
      </c>
      <c r="G2084" s="3" t="str">
        <f aca="false">INDEX(Produtos!$B$2:$B$11,MATCH(F2084,Produtos!$A$2:$A$11,0))&amp;" "&amp;INDEX(Produtos!$C$2:$C$11,MATCH(F2084,Produtos!$A$2:$A$11,0))</f>
        <v>Notebook Positivo</v>
      </c>
      <c r="H2084" s="2" t="n">
        <v>1</v>
      </c>
      <c r="I2084" s="5" t="n">
        <f aca="false">INDEX(Produtos!$D$2:$D$11,MATCH(F2084,Produtos!$A$2:$A$11,0))</f>
        <v>2199</v>
      </c>
      <c r="J2084" s="5" t="n">
        <f aca="false">H2084*I2084</f>
        <v>2199</v>
      </c>
      <c r="K2084" s="5" t="n">
        <f aca="false">INDEX(Produtos!$E$2:$E$11,MATCH(F2084,Produtos!$A$2:$A$11,0))</f>
        <v>1550</v>
      </c>
      <c r="L2084" s="5" t="n">
        <f aca="false">H2084*K2084</f>
        <v>1550</v>
      </c>
    </row>
    <row r="2085" customFormat="false" ht="15" hidden="false" customHeight="false" outlineLevel="0" collapsed="false">
      <c r="A2085" s="2" t="s">
        <v>2367</v>
      </c>
      <c r="B2085" s="8" t="n">
        <v>46196</v>
      </c>
      <c r="C2085" s="2" t="s">
        <v>114</v>
      </c>
      <c r="D2085" s="3" t="str">
        <f aca="false">INDEX(Vendedores!$C$2:$C$101,MATCH(C2085,Vendedores!$A$2:$A$101,0))</f>
        <v>L04</v>
      </c>
      <c r="E2085" s="3" t="str">
        <f aca="false">INDEX(Lojas!$E$2:$E$11,MATCH(D2085,Lojas!$A$2:$A$11,0))</f>
        <v>Sudeste</v>
      </c>
      <c r="F2085" s="2" t="s">
        <v>257</v>
      </c>
      <c r="G2085" s="3" t="str">
        <f aca="false">INDEX(Produtos!$B$2:$B$11,MATCH(F2085,Produtos!$A$2:$A$11,0))&amp;" "&amp;INDEX(Produtos!$C$2:$C$11,MATCH(F2085,Produtos!$A$2:$A$11,0))</f>
        <v>Celular Samsung</v>
      </c>
      <c r="H2085" s="2" t="n">
        <v>1</v>
      </c>
      <c r="I2085" s="5" t="n">
        <f aca="false">INDEX(Produtos!$D$2:$D$11,MATCH(F2085,Produtos!$A$2:$A$11,0))</f>
        <v>2499</v>
      </c>
      <c r="J2085" s="5" t="n">
        <f aca="false">H2085*I2085</f>
        <v>2499</v>
      </c>
      <c r="K2085" s="5" t="n">
        <f aca="false">INDEX(Produtos!$E$2:$E$11,MATCH(F2085,Produtos!$A$2:$A$11,0))</f>
        <v>1800</v>
      </c>
      <c r="L2085" s="5" t="n">
        <f aca="false">H2085*K2085</f>
        <v>1800</v>
      </c>
    </row>
    <row r="2086" customFormat="false" ht="15" hidden="false" customHeight="false" outlineLevel="0" collapsed="false">
      <c r="A2086" s="2" t="s">
        <v>2368</v>
      </c>
      <c r="B2086" s="8" t="n">
        <v>46196</v>
      </c>
      <c r="C2086" s="2" t="s">
        <v>183</v>
      </c>
      <c r="D2086" s="3" t="str">
        <f aca="false">INDEX(Vendedores!$C$2:$C$101,MATCH(C2086,Vendedores!$A$2:$A$101,0))</f>
        <v>L07</v>
      </c>
      <c r="E2086" s="3" t="str">
        <f aca="false">INDEX(Lojas!$E$2:$E$11,MATCH(D2086,Lojas!$A$2:$A$11,0))</f>
        <v>Sul</v>
      </c>
      <c r="F2086" s="2" t="s">
        <v>275</v>
      </c>
      <c r="G2086" s="3" t="str">
        <f aca="false">INDEX(Produtos!$B$2:$B$11,MATCH(F2086,Produtos!$A$2:$A$11,0))&amp;" "&amp;INDEX(Produtos!$C$2:$C$11,MATCH(F2086,Produtos!$A$2:$A$11,0))</f>
        <v>Controle de Videogame PS5</v>
      </c>
      <c r="H2086" s="2" t="n">
        <v>2</v>
      </c>
      <c r="I2086" s="5" t="n">
        <f aca="false">INDEX(Produtos!$D$2:$D$11,MATCH(F2086,Produtos!$A$2:$A$11,0))</f>
        <v>379.9</v>
      </c>
      <c r="J2086" s="5" t="n">
        <f aca="false">H2086*I2086</f>
        <v>759.8</v>
      </c>
      <c r="K2086" s="5" t="n">
        <f aca="false">INDEX(Produtos!$E$2:$E$11,MATCH(F2086,Produtos!$A$2:$A$11,0))</f>
        <v>235</v>
      </c>
      <c r="L2086" s="5" t="n">
        <f aca="false">H2086*K2086</f>
        <v>470</v>
      </c>
    </row>
    <row r="2087" customFormat="false" ht="15" hidden="false" customHeight="false" outlineLevel="0" collapsed="false">
      <c r="A2087" s="2" t="s">
        <v>2369</v>
      </c>
      <c r="B2087" s="8" t="n">
        <v>46197</v>
      </c>
      <c r="C2087" s="2" t="s">
        <v>213</v>
      </c>
      <c r="D2087" s="3" t="str">
        <f aca="false">INDEX(Vendedores!$C$2:$C$101,MATCH(C2087,Vendedores!$A$2:$A$101,0))</f>
        <v>L09</v>
      </c>
      <c r="E2087" s="3" t="str">
        <f aca="false">INDEX(Lojas!$E$2:$E$11,MATCH(D2087,Lojas!$A$2:$A$11,0))</f>
        <v>Nordeste</v>
      </c>
      <c r="F2087" s="2" t="s">
        <v>255</v>
      </c>
      <c r="G2087" s="3" t="str">
        <f aca="false">INDEX(Produtos!$B$2:$B$11,MATCH(F2087,Produtos!$A$2:$A$11,0))&amp;" "&amp;INDEX(Produtos!$C$2:$C$11,MATCH(F2087,Produtos!$A$2:$A$11,0))</f>
        <v>Notebook Positivo</v>
      </c>
      <c r="H2087" s="2" t="n">
        <v>2</v>
      </c>
      <c r="I2087" s="5" t="n">
        <f aca="false">INDEX(Produtos!$D$2:$D$11,MATCH(F2087,Produtos!$A$2:$A$11,0))</f>
        <v>2199</v>
      </c>
      <c r="J2087" s="5" t="n">
        <f aca="false">H2087*I2087</f>
        <v>4398</v>
      </c>
      <c r="K2087" s="5" t="n">
        <f aca="false">INDEX(Produtos!$E$2:$E$11,MATCH(F2087,Produtos!$A$2:$A$11,0))</f>
        <v>1550</v>
      </c>
      <c r="L2087" s="5" t="n">
        <f aca="false">H2087*K2087</f>
        <v>3100</v>
      </c>
    </row>
    <row r="2088" customFormat="false" ht="15" hidden="false" customHeight="false" outlineLevel="0" collapsed="false">
      <c r="A2088" s="2" t="s">
        <v>2370</v>
      </c>
      <c r="B2088" s="8" t="n">
        <v>46197</v>
      </c>
      <c r="C2088" s="2" t="s">
        <v>60</v>
      </c>
      <c r="D2088" s="3" t="str">
        <f aca="false">INDEX(Vendedores!$C$2:$C$101,MATCH(C2088,Vendedores!$A$2:$A$101,0))</f>
        <v>L01</v>
      </c>
      <c r="E2088" s="3" t="str">
        <f aca="false">INDEX(Lojas!$E$2:$E$11,MATCH(D2088,Lojas!$A$2:$A$11,0))</f>
        <v>Sudeste</v>
      </c>
      <c r="F2088" s="2" t="s">
        <v>257</v>
      </c>
      <c r="G2088" s="3" t="str">
        <f aca="false">INDEX(Produtos!$B$2:$B$11,MATCH(F2088,Produtos!$A$2:$A$11,0))&amp;" "&amp;INDEX(Produtos!$C$2:$C$11,MATCH(F2088,Produtos!$A$2:$A$11,0))</f>
        <v>Celular Samsung</v>
      </c>
      <c r="H2088" s="2" t="n">
        <v>3</v>
      </c>
      <c r="I2088" s="5" t="n">
        <f aca="false">INDEX(Produtos!$D$2:$D$11,MATCH(F2088,Produtos!$A$2:$A$11,0))</f>
        <v>2499</v>
      </c>
      <c r="J2088" s="5" t="n">
        <f aca="false">H2088*I2088</f>
        <v>7497</v>
      </c>
      <c r="K2088" s="5" t="n">
        <f aca="false">INDEX(Produtos!$E$2:$E$11,MATCH(F2088,Produtos!$A$2:$A$11,0))</f>
        <v>1800</v>
      </c>
      <c r="L2088" s="5" t="n">
        <f aca="false">H2088*K2088</f>
        <v>5400</v>
      </c>
    </row>
    <row r="2089" customFormat="false" ht="15" hidden="false" customHeight="false" outlineLevel="0" collapsed="false">
      <c r="A2089" s="2" t="s">
        <v>2371</v>
      </c>
      <c r="B2089" s="8" t="n">
        <v>46197</v>
      </c>
      <c r="C2089" s="2" t="s">
        <v>152</v>
      </c>
      <c r="D2089" s="3" t="str">
        <f aca="false">INDEX(Vendedores!$C$2:$C$101,MATCH(C2089,Vendedores!$A$2:$A$101,0))</f>
        <v>L06</v>
      </c>
      <c r="E2089" s="3" t="str">
        <f aca="false">INDEX(Lojas!$E$2:$E$11,MATCH(D2089,Lojas!$A$2:$A$11,0))</f>
        <v>Sul</v>
      </c>
      <c r="F2089" s="2" t="s">
        <v>267</v>
      </c>
      <c r="G2089" s="3" t="str">
        <f aca="false">INDEX(Produtos!$B$2:$B$11,MATCH(F2089,Produtos!$A$2:$A$11,0))&amp;" "&amp;INDEX(Produtos!$C$2:$C$11,MATCH(F2089,Produtos!$A$2:$A$11,0))</f>
        <v>Carregador de Celular Tipo C</v>
      </c>
      <c r="H2089" s="2" t="n">
        <v>3</v>
      </c>
      <c r="I2089" s="5" t="n">
        <f aca="false">INDEX(Produtos!$D$2:$D$11,MATCH(F2089,Produtos!$A$2:$A$11,0))</f>
        <v>44.9</v>
      </c>
      <c r="J2089" s="5" t="n">
        <f aca="false">H2089*I2089</f>
        <v>134.7</v>
      </c>
      <c r="K2089" s="5" t="n">
        <f aca="false">INDEX(Produtos!$E$2:$E$11,MATCH(F2089,Produtos!$A$2:$A$11,0))</f>
        <v>18</v>
      </c>
      <c r="L2089" s="5" t="n">
        <f aca="false">H2089*K2089</f>
        <v>54</v>
      </c>
    </row>
    <row r="2090" customFormat="false" ht="15" hidden="false" customHeight="false" outlineLevel="0" collapsed="false">
      <c r="A2090" s="2" t="s">
        <v>2372</v>
      </c>
      <c r="B2090" s="8" t="n">
        <v>46197</v>
      </c>
      <c r="C2090" s="2" t="s">
        <v>138</v>
      </c>
      <c r="D2090" s="3" t="str">
        <f aca="false">INDEX(Vendedores!$C$2:$C$101,MATCH(C2090,Vendedores!$A$2:$A$101,0))</f>
        <v>L05</v>
      </c>
      <c r="E2090" s="3" t="str">
        <f aca="false">INDEX(Lojas!$E$2:$E$11,MATCH(D2090,Lojas!$A$2:$A$11,0))</f>
        <v>Sul</v>
      </c>
      <c r="F2090" s="2" t="s">
        <v>260</v>
      </c>
      <c r="G2090" s="3" t="str">
        <f aca="false">INDEX(Produtos!$B$2:$B$11,MATCH(F2090,Produtos!$A$2:$A$11,0))&amp;" "&amp;INDEX(Produtos!$C$2:$C$11,MATCH(F2090,Produtos!$A$2:$A$11,0))</f>
        <v>Celular Motorola</v>
      </c>
      <c r="H2090" s="2" t="n">
        <v>1</v>
      </c>
      <c r="I2090" s="5" t="n">
        <f aca="false">INDEX(Produtos!$D$2:$D$11,MATCH(F2090,Produtos!$A$2:$A$11,0))</f>
        <v>1799</v>
      </c>
      <c r="J2090" s="5" t="n">
        <f aca="false">H2090*I2090</f>
        <v>1799</v>
      </c>
      <c r="K2090" s="5" t="n">
        <f aca="false">INDEX(Produtos!$E$2:$E$11,MATCH(F2090,Produtos!$A$2:$A$11,0))</f>
        <v>1250</v>
      </c>
      <c r="L2090" s="5" t="n">
        <f aca="false">H2090*K2090</f>
        <v>1250</v>
      </c>
    </row>
    <row r="2091" customFormat="false" ht="15" hidden="false" customHeight="false" outlineLevel="0" collapsed="false">
      <c r="A2091" s="2" t="s">
        <v>2373</v>
      </c>
      <c r="B2091" s="8" t="n">
        <v>46197</v>
      </c>
      <c r="C2091" s="2" t="s">
        <v>180</v>
      </c>
      <c r="D2091" s="3" t="str">
        <f aca="false">INDEX(Vendedores!$C$2:$C$101,MATCH(C2091,Vendedores!$A$2:$A$101,0))</f>
        <v>L07</v>
      </c>
      <c r="E2091" s="3" t="str">
        <f aca="false">INDEX(Lojas!$E$2:$E$11,MATCH(D2091,Lojas!$A$2:$A$11,0))</f>
        <v>Sul</v>
      </c>
      <c r="F2091" s="2" t="s">
        <v>257</v>
      </c>
      <c r="G2091" s="3" t="str">
        <f aca="false">INDEX(Produtos!$B$2:$B$11,MATCH(F2091,Produtos!$A$2:$A$11,0))&amp;" "&amp;INDEX(Produtos!$C$2:$C$11,MATCH(F2091,Produtos!$A$2:$A$11,0))</f>
        <v>Celular Samsung</v>
      </c>
      <c r="H2091" s="2" t="n">
        <v>1</v>
      </c>
      <c r="I2091" s="5" t="n">
        <f aca="false">INDEX(Produtos!$D$2:$D$11,MATCH(F2091,Produtos!$A$2:$A$11,0))</f>
        <v>2499</v>
      </c>
      <c r="J2091" s="5" t="n">
        <f aca="false">H2091*I2091</f>
        <v>2499</v>
      </c>
      <c r="K2091" s="5" t="n">
        <f aca="false">INDEX(Produtos!$E$2:$E$11,MATCH(F2091,Produtos!$A$2:$A$11,0))</f>
        <v>1800</v>
      </c>
      <c r="L2091" s="5" t="n">
        <f aca="false">H2091*K2091</f>
        <v>1800</v>
      </c>
    </row>
    <row r="2092" customFormat="false" ht="15" hidden="false" customHeight="false" outlineLevel="0" collapsed="false">
      <c r="A2092" s="2" t="s">
        <v>2374</v>
      </c>
      <c r="B2092" s="8" t="n">
        <v>46197</v>
      </c>
      <c r="C2092" s="2" t="s">
        <v>84</v>
      </c>
      <c r="D2092" s="3" t="str">
        <f aca="false">INDEX(Vendedores!$C$2:$C$101,MATCH(C2092,Vendedores!$A$2:$A$101,0))</f>
        <v>L02</v>
      </c>
      <c r="E2092" s="3" t="str">
        <f aca="false">INDEX(Lojas!$E$2:$E$11,MATCH(D2092,Lojas!$A$2:$A$11,0))</f>
        <v>Sudeste</v>
      </c>
      <c r="F2092" s="2" t="s">
        <v>275</v>
      </c>
      <c r="G2092" s="3" t="str">
        <f aca="false">INDEX(Produtos!$B$2:$B$11,MATCH(F2092,Produtos!$A$2:$A$11,0))&amp;" "&amp;INDEX(Produtos!$C$2:$C$11,MATCH(F2092,Produtos!$A$2:$A$11,0))</f>
        <v>Controle de Videogame PS5</v>
      </c>
      <c r="H2092" s="2" t="n">
        <v>2</v>
      </c>
      <c r="I2092" s="5" t="n">
        <f aca="false">INDEX(Produtos!$D$2:$D$11,MATCH(F2092,Produtos!$A$2:$A$11,0))</f>
        <v>379.9</v>
      </c>
      <c r="J2092" s="5" t="n">
        <f aca="false">H2092*I2092</f>
        <v>759.8</v>
      </c>
      <c r="K2092" s="5" t="n">
        <f aca="false">INDEX(Produtos!$E$2:$E$11,MATCH(F2092,Produtos!$A$2:$A$11,0))</f>
        <v>235</v>
      </c>
      <c r="L2092" s="5" t="n">
        <f aca="false">H2092*K2092</f>
        <v>470</v>
      </c>
    </row>
    <row r="2093" customFormat="false" ht="15" hidden="false" customHeight="false" outlineLevel="0" collapsed="false">
      <c r="A2093" s="2" t="s">
        <v>2375</v>
      </c>
      <c r="B2093" s="8" t="n">
        <v>46197</v>
      </c>
      <c r="C2093" s="2" t="s">
        <v>86</v>
      </c>
      <c r="D2093" s="3" t="str">
        <f aca="false">INDEX(Vendedores!$C$2:$C$101,MATCH(C2093,Vendedores!$A$2:$A$101,0))</f>
        <v>L02</v>
      </c>
      <c r="E2093" s="3" t="str">
        <f aca="false">INDEX(Lojas!$E$2:$E$11,MATCH(D2093,Lojas!$A$2:$A$11,0))</f>
        <v>Sudeste</v>
      </c>
      <c r="F2093" s="2" t="s">
        <v>265</v>
      </c>
      <c r="G2093" s="3" t="str">
        <f aca="false">INDEX(Produtos!$B$2:$B$11,MATCH(F2093,Produtos!$A$2:$A$11,0))&amp;" "&amp;INDEX(Produtos!$C$2:$C$11,MATCH(F2093,Produtos!$A$2:$A$11,0))</f>
        <v>Fone de Ouvido Headset</v>
      </c>
      <c r="H2093" s="2" t="n">
        <v>1</v>
      </c>
      <c r="I2093" s="5" t="n">
        <f aca="false">INDEX(Produtos!$D$2:$D$11,MATCH(F2093,Produtos!$A$2:$A$11,0))</f>
        <v>249.9</v>
      </c>
      <c r="J2093" s="5" t="n">
        <f aca="false">H2093*I2093</f>
        <v>249.9</v>
      </c>
      <c r="K2093" s="5" t="n">
        <f aca="false">INDEX(Produtos!$E$2:$E$11,MATCH(F2093,Produtos!$A$2:$A$11,0))</f>
        <v>145</v>
      </c>
      <c r="L2093" s="5" t="n">
        <f aca="false">H2093*K2093</f>
        <v>145</v>
      </c>
    </row>
    <row r="2094" customFormat="false" ht="15" hidden="false" customHeight="false" outlineLevel="0" collapsed="false">
      <c r="A2094" s="2" t="s">
        <v>2376</v>
      </c>
      <c r="B2094" s="8" t="n">
        <v>46197</v>
      </c>
      <c r="C2094" s="2" t="s">
        <v>146</v>
      </c>
      <c r="D2094" s="3" t="str">
        <f aca="false">INDEX(Vendedores!$C$2:$C$101,MATCH(C2094,Vendedores!$A$2:$A$101,0))</f>
        <v>L05</v>
      </c>
      <c r="E2094" s="3" t="str">
        <f aca="false">INDEX(Lojas!$E$2:$E$11,MATCH(D2094,Lojas!$A$2:$A$11,0))</f>
        <v>Sul</v>
      </c>
      <c r="F2094" s="2" t="s">
        <v>275</v>
      </c>
      <c r="G2094" s="3" t="str">
        <f aca="false">INDEX(Produtos!$B$2:$B$11,MATCH(F2094,Produtos!$A$2:$A$11,0))&amp;" "&amp;INDEX(Produtos!$C$2:$C$11,MATCH(F2094,Produtos!$A$2:$A$11,0))</f>
        <v>Controle de Videogame PS5</v>
      </c>
      <c r="H2094" s="2" t="n">
        <v>3</v>
      </c>
      <c r="I2094" s="5" t="n">
        <f aca="false">INDEX(Produtos!$D$2:$D$11,MATCH(F2094,Produtos!$A$2:$A$11,0))</f>
        <v>379.9</v>
      </c>
      <c r="J2094" s="5" t="n">
        <f aca="false">H2094*I2094</f>
        <v>1139.7</v>
      </c>
      <c r="K2094" s="5" t="n">
        <f aca="false">INDEX(Produtos!$E$2:$E$11,MATCH(F2094,Produtos!$A$2:$A$11,0))</f>
        <v>235</v>
      </c>
      <c r="L2094" s="5" t="n">
        <f aca="false">H2094*K2094</f>
        <v>705</v>
      </c>
    </row>
    <row r="2095" customFormat="false" ht="15" hidden="false" customHeight="false" outlineLevel="0" collapsed="false">
      <c r="A2095" s="2" t="s">
        <v>2377</v>
      </c>
      <c r="B2095" s="8" t="n">
        <v>46197</v>
      </c>
      <c r="C2095" s="2" t="s">
        <v>129</v>
      </c>
      <c r="D2095" s="3" t="str">
        <f aca="false">INDEX(Vendedores!$C$2:$C$101,MATCH(C2095,Vendedores!$A$2:$A$101,0))</f>
        <v>L05</v>
      </c>
      <c r="E2095" s="3" t="str">
        <f aca="false">INDEX(Lojas!$E$2:$E$11,MATCH(D2095,Lojas!$A$2:$A$11,0))</f>
        <v>Sul</v>
      </c>
      <c r="F2095" s="2" t="s">
        <v>262</v>
      </c>
      <c r="G2095" s="3" t="str">
        <f aca="false">INDEX(Produtos!$B$2:$B$11,MATCH(F2095,Produtos!$A$2:$A$11,0))&amp;" "&amp;INDEX(Produtos!$C$2:$C$11,MATCH(F2095,Produtos!$A$2:$A$11,0))</f>
        <v>Fone de Ouvido De Celular</v>
      </c>
      <c r="H2095" s="2" t="n">
        <v>1</v>
      </c>
      <c r="I2095" s="5" t="n">
        <f aca="false">INDEX(Produtos!$D$2:$D$11,MATCH(F2095,Produtos!$A$2:$A$11,0))</f>
        <v>59.9</v>
      </c>
      <c r="J2095" s="5" t="n">
        <f aca="false">H2095*I2095</f>
        <v>59.9</v>
      </c>
      <c r="K2095" s="5" t="n">
        <f aca="false">INDEX(Produtos!$E$2:$E$11,MATCH(F2095,Produtos!$A$2:$A$11,0))</f>
        <v>28</v>
      </c>
      <c r="L2095" s="5" t="n">
        <f aca="false">H2095*K2095</f>
        <v>28</v>
      </c>
    </row>
    <row r="2096" customFormat="false" ht="15" hidden="false" customHeight="false" outlineLevel="0" collapsed="false">
      <c r="A2096" s="2" t="s">
        <v>2378</v>
      </c>
      <c r="B2096" s="8" t="n">
        <v>46198</v>
      </c>
      <c r="C2096" s="2" t="s">
        <v>180</v>
      </c>
      <c r="D2096" s="3" t="str">
        <f aca="false">INDEX(Vendedores!$C$2:$C$101,MATCH(C2096,Vendedores!$A$2:$A$101,0))</f>
        <v>L07</v>
      </c>
      <c r="E2096" s="3" t="str">
        <f aca="false">INDEX(Lojas!$E$2:$E$11,MATCH(D2096,Lojas!$A$2:$A$11,0))</f>
        <v>Sul</v>
      </c>
      <c r="F2096" s="2" t="s">
        <v>267</v>
      </c>
      <c r="G2096" s="3" t="str">
        <f aca="false">INDEX(Produtos!$B$2:$B$11,MATCH(F2096,Produtos!$A$2:$A$11,0))&amp;" "&amp;INDEX(Produtos!$C$2:$C$11,MATCH(F2096,Produtos!$A$2:$A$11,0))</f>
        <v>Carregador de Celular Tipo C</v>
      </c>
      <c r="H2096" s="2" t="n">
        <v>2</v>
      </c>
      <c r="I2096" s="5" t="n">
        <f aca="false">INDEX(Produtos!$D$2:$D$11,MATCH(F2096,Produtos!$A$2:$A$11,0))</f>
        <v>44.9</v>
      </c>
      <c r="J2096" s="5" t="n">
        <f aca="false">H2096*I2096</f>
        <v>89.8</v>
      </c>
      <c r="K2096" s="5" t="n">
        <f aca="false">INDEX(Produtos!$E$2:$E$11,MATCH(F2096,Produtos!$A$2:$A$11,0))</f>
        <v>18</v>
      </c>
      <c r="L2096" s="5" t="n">
        <f aca="false">H2096*K2096</f>
        <v>36</v>
      </c>
    </row>
    <row r="2097" customFormat="false" ht="15" hidden="false" customHeight="false" outlineLevel="0" collapsed="false">
      <c r="A2097" s="2" t="s">
        <v>2379</v>
      </c>
      <c r="B2097" s="8" t="n">
        <v>46198</v>
      </c>
      <c r="C2097" s="2" t="s">
        <v>211</v>
      </c>
      <c r="D2097" s="3" t="str">
        <f aca="false">INDEX(Vendedores!$C$2:$C$101,MATCH(C2097,Vendedores!$A$2:$A$101,0))</f>
        <v>L09</v>
      </c>
      <c r="E2097" s="3" t="str">
        <f aca="false">INDEX(Lojas!$E$2:$E$11,MATCH(D2097,Lojas!$A$2:$A$11,0))</f>
        <v>Nordeste</v>
      </c>
      <c r="F2097" s="2" t="s">
        <v>255</v>
      </c>
      <c r="G2097" s="3" t="str">
        <f aca="false">INDEX(Produtos!$B$2:$B$11,MATCH(F2097,Produtos!$A$2:$A$11,0))&amp;" "&amp;INDEX(Produtos!$C$2:$C$11,MATCH(F2097,Produtos!$A$2:$A$11,0))</f>
        <v>Notebook Positivo</v>
      </c>
      <c r="H2097" s="2" t="n">
        <v>1</v>
      </c>
      <c r="I2097" s="5" t="n">
        <f aca="false">INDEX(Produtos!$D$2:$D$11,MATCH(F2097,Produtos!$A$2:$A$11,0))</f>
        <v>2199</v>
      </c>
      <c r="J2097" s="5" t="n">
        <f aca="false">H2097*I2097</f>
        <v>2199</v>
      </c>
      <c r="K2097" s="5" t="n">
        <f aca="false">INDEX(Produtos!$E$2:$E$11,MATCH(F2097,Produtos!$A$2:$A$11,0))</f>
        <v>1550</v>
      </c>
      <c r="L2097" s="5" t="n">
        <f aca="false">H2097*K2097</f>
        <v>1550</v>
      </c>
    </row>
    <row r="2098" customFormat="false" ht="15" hidden="false" customHeight="false" outlineLevel="0" collapsed="false">
      <c r="A2098" s="2" t="s">
        <v>2380</v>
      </c>
      <c r="B2098" s="8" t="n">
        <v>46198</v>
      </c>
      <c r="C2098" s="2" t="s">
        <v>62</v>
      </c>
      <c r="D2098" s="3" t="str">
        <f aca="false">INDEX(Vendedores!$C$2:$C$101,MATCH(C2098,Vendedores!$A$2:$A$101,0))</f>
        <v>L01</v>
      </c>
      <c r="E2098" s="3" t="str">
        <f aca="false">INDEX(Lojas!$E$2:$E$11,MATCH(D2098,Lojas!$A$2:$A$11,0))</f>
        <v>Sudeste</v>
      </c>
      <c r="F2098" s="2" t="s">
        <v>270</v>
      </c>
      <c r="G2098" s="3" t="str">
        <f aca="false">INDEX(Produtos!$B$2:$B$11,MATCH(F2098,Produtos!$A$2:$A$11,0))&amp;" "&amp;INDEX(Produtos!$C$2:$C$11,MATCH(F2098,Produtos!$A$2:$A$11,0))</f>
        <v>Controle de Videogame Xbox</v>
      </c>
      <c r="H2098" s="2" t="n">
        <v>1</v>
      </c>
      <c r="I2098" s="5" t="n">
        <f aca="false">INDEX(Produtos!$D$2:$D$11,MATCH(F2098,Produtos!$A$2:$A$11,0))</f>
        <v>349.9</v>
      </c>
      <c r="J2098" s="5" t="n">
        <f aca="false">H2098*I2098</f>
        <v>349.9</v>
      </c>
      <c r="K2098" s="5" t="n">
        <f aca="false">INDEX(Produtos!$E$2:$E$11,MATCH(F2098,Produtos!$A$2:$A$11,0))</f>
        <v>215</v>
      </c>
      <c r="L2098" s="5" t="n">
        <f aca="false">H2098*K2098</f>
        <v>215</v>
      </c>
    </row>
    <row r="2099" customFormat="false" ht="15" hidden="false" customHeight="false" outlineLevel="0" collapsed="false">
      <c r="A2099" s="2" t="s">
        <v>2381</v>
      </c>
      <c r="B2099" s="8" t="n">
        <v>46198</v>
      </c>
      <c r="C2099" s="2" t="s">
        <v>68</v>
      </c>
      <c r="D2099" s="3" t="str">
        <f aca="false">INDEX(Vendedores!$C$2:$C$101,MATCH(C2099,Vendedores!$A$2:$A$101,0))</f>
        <v>L01</v>
      </c>
      <c r="E2099" s="3" t="str">
        <f aca="false">INDEX(Lojas!$E$2:$E$11,MATCH(D2099,Lojas!$A$2:$A$11,0))</f>
        <v>Sudeste</v>
      </c>
      <c r="F2099" s="2" t="s">
        <v>270</v>
      </c>
      <c r="G2099" s="3" t="str">
        <f aca="false">INDEX(Produtos!$B$2:$B$11,MATCH(F2099,Produtos!$A$2:$A$11,0))&amp;" "&amp;INDEX(Produtos!$C$2:$C$11,MATCH(F2099,Produtos!$A$2:$A$11,0))</f>
        <v>Controle de Videogame Xbox</v>
      </c>
      <c r="H2099" s="2" t="n">
        <v>2</v>
      </c>
      <c r="I2099" s="5" t="n">
        <f aca="false">INDEX(Produtos!$D$2:$D$11,MATCH(F2099,Produtos!$A$2:$A$11,0))</f>
        <v>349.9</v>
      </c>
      <c r="J2099" s="5" t="n">
        <f aca="false">H2099*I2099</f>
        <v>699.8</v>
      </c>
      <c r="K2099" s="5" t="n">
        <f aca="false">INDEX(Produtos!$E$2:$E$11,MATCH(F2099,Produtos!$A$2:$A$11,0))</f>
        <v>215</v>
      </c>
      <c r="L2099" s="5" t="n">
        <f aca="false">H2099*K2099</f>
        <v>430</v>
      </c>
    </row>
    <row r="2100" customFormat="false" ht="15" hidden="false" customHeight="false" outlineLevel="0" collapsed="false">
      <c r="A2100" s="2" t="s">
        <v>2382</v>
      </c>
      <c r="B2100" s="8" t="n">
        <v>46198</v>
      </c>
      <c r="C2100" s="2" t="s">
        <v>80</v>
      </c>
      <c r="D2100" s="3" t="str">
        <f aca="false">INDEX(Vendedores!$C$2:$C$101,MATCH(C2100,Vendedores!$A$2:$A$101,0))</f>
        <v>L02</v>
      </c>
      <c r="E2100" s="3" t="str">
        <f aca="false">INDEX(Lojas!$E$2:$E$11,MATCH(D2100,Lojas!$A$2:$A$11,0))</f>
        <v>Sudeste</v>
      </c>
      <c r="F2100" s="2" t="s">
        <v>257</v>
      </c>
      <c r="G2100" s="3" t="str">
        <f aca="false">INDEX(Produtos!$B$2:$B$11,MATCH(F2100,Produtos!$A$2:$A$11,0))&amp;" "&amp;INDEX(Produtos!$C$2:$C$11,MATCH(F2100,Produtos!$A$2:$A$11,0))</f>
        <v>Celular Samsung</v>
      </c>
      <c r="H2100" s="2" t="n">
        <v>1</v>
      </c>
      <c r="I2100" s="5" t="n">
        <f aca="false">INDEX(Produtos!$D$2:$D$11,MATCH(F2100,Produtos!$A$2:$A$11,0))</f>
        <v>2499</v>
      </c>
      <c r="J2100" s="5" t="n">
        <f aca="false">H2100*I2100</f>
        <v>2499</v>
      </c>
      <c r="K2100" s="5" t="n">
        <f aca="false">INDEX(Produtos!$E$2:$E$11,MATCH(F2100,Produtos!$A$2:$A$11,0))</f>
        <v>1800</v>
      </c>
      <c r="L2100" s="5" t="n">
        <f aca="false">H2100*K2100</f>
        <v>1800</v>
      </c>
    </row>
    <row r="2101" customFormat="false" ht="15" hidden="false" customHeight="false" outlineLevel="0" collapsed="false">
      <c r="A2101" s="2" t="s">
        <v>2383</v>
      </c>
      <c r="B2101" s="8" t="n">
        <v>46198</v>
      </c>
      <c r="C2101" s="2" t="s">
        <v>90</v>
      </c>
      <c r="D2101" s="3" t="str">
        <f aca="false">INDEX(Vendedores!$C$2:$C$101,MATCH(C2101,Vendedores!$A$2:$A$101,0))</f>
        <v>L03</v>
      </c>
      <c r="E2101" s="3" t="str">
        <f aca="false">INDEX(Lojas!$E$2:$E$11,MATCH(D2101,Lojas!$A$2:$A$11,0))</f>
        <v>Sudeste</v>
      </c>
      <c r="F2101" s="2" t="s">
        <v>273</v>
      </c>
      <c r="G2101" s="3" t="str">
        <f aca="false">INDEX(Produtos!$B$2:$B$11,MATCH(F2101,Produtos!$A$2:$A$11,0))&amp;" "&amp;INDEX(Produtos!$C$2:$C$11,MATCH(F2101,Produtos!$A$2:$A$11,0))</f>
        <v>Controle de Videogame PS4</v>
      </c>
      <c r="H2101" s="2" t="n">
        <v>2</v>
      </c>
      <c r="I2101" s="5" t="n">
        <f aca="false">INDEX(Produtos!$D$2:$D$11,MATCH(F2101,Produtos!$A$2:$A$11,0))</f>
        <v>299.9</v>
      </c>
      <c r="J2101" s="5" t="n">
        <f aca="false">H2101*I2101</f>
        <v>599.8</v>
      </c>
      <c r="K2101" s="5" t="n">
        <f aca="false">INDEX(Produtos!$E$2:$E$11,MATCH(F2101,Produtos!$A$2:$A$11,0))</f>
        <v>175</v>
      </c>
      <c r="L2101" s="5" t="n">
        <f aca="false">H2101*K2101</f>
        <v>350</v>
      </c>
    </row>
    <row r="2102" customFormat="false" ht="15" hidden="false" customHeight="false" outlineLevel="0" collapsed="false">
      <c r="A2102" s="2" t="s">
        <v>2384</v>
      </c>
      <c r="B2102" s="8" t="n">
        <v>46198</v>
      </c>
      <c r="C2102" s="2" t="s">
        <v>76</v>
      </c>
      <c r="D2102" s="3" t="str">
        <f aca="false">INDEX(Vendedores!$C$2:$C$101,MATCH(C2102,Vendedores!$A$2:$A$101,0))</f>
        <v>L02</v>
      </c>
      <c r="E2102" s="3" t="str">
        <f aca="false">INDEX(Lojas!$E$2:$E$11,MATCH(D2102,Lojas!$A$2:$A$11,0))</f>
        <v>Sudeste</v>
      </c>
      <c r="F2102" s="2" t="s">
        <v>265</v>
      </c>
      <c r="G2102" s="3" t="str">
        <f aca="false">INDEX(Produtos!$B$2:$B$11,MATCH(F2102,Produtos!$A$2:$A$11,0))&amp;" "&amp;INDEX(Produtos!$C$2:$C$11,MATCH(F2102,Produtos!$A$2:$A$11,0))</f>
        <v>Fone de Ouvido Headset</v>
      </c>
      <c r="H2102" s="2" t="n">
        <v>1</v>
      </c>
      <c r="I2102" s="5" t="n">
        <f aca="false">INDEX(Produtos!$D$2:$D$11,MATCH(F2102,Produtos!$A$2:$A$11,0))</f>
        <v>249.9</v>
      </c>
      <c r="J2102" s="5" t="n">
        <f aca="false">H2102*I2102</f>
        <v>249.9</v>
      </c>
      <c r="K2102" s="5" t="n">
        <f aca="false">INDEX(Produtos!$E$2:$E$11,MATCH(F2102,Produtos!$A$2:$A$11,0))</f>
        <v>145</v>
      </c>
      <c r="L2102" s="5" t="n">
        <f aca="false">H2102*K2102</f>
        <v>145</v>
      </c>
    </row>
    <row r="2103" customFormat="false" ht="15" hidden="false" customHeight="false" outlineLevel="0" collapsed="false">
      <c r="A2103" s="2" t="s">
        <v>2385</v>
      </c>
      <c r="B2103" s="8" t="n">
        <v>46198</v>
      </c>
      <c r="C2103" s="2" t="s">
        <v>195</v>
      </c>
      <c r="D2103" s="3" t="str">
        <f aca="false">INDEX(Vendedores!$C$2:$C$101,MATCH(C2103,Vendedores!$A$2:$A$101,0))</f>
        <v>L08</v>
      </c>
      <c r="E2103" s="3" t="str">
        <f aca="false">INDEX(Lojas!$E$2:$E$11,MATCH(D2103,Lojas!$A$2:$A$11,0))</f>
        <v>Nordeste</v>
      </c>
      <c r="F2103" s="2" t="s">
        <v>257</v>
      </c>
      <c r="G2103" s="3" t="str">
        <f aca="false">INDEX(Produtos!$B$2:$B$11,MATCH(F2103,Produtos!$A$2:$A$11,0))&amp;" "&amp;INDEX(Produtos!$C$2:$C$11,MATCH(F2103,Produtos!$A$2:$A$11,0))</f>
        <v>Celular Samsung</v>
      </c>
      <c r="H2103" s="2" t="n">
        <v>1</v>
      </c>
      <c r="I2103" s="5" t="n">
        <f aca="false">INDEX(Produtos!$D$2:$D$11,MATCH(F2103,Produtos!$A$2:$A$11,0))</f>
        <v>2499</v>
      </c>
      <c r="J2103" s="5" t="n">
        <f aca="false">H2103*I2103</f>
        <v>2499</v>
      </c>
      <c r="K2103" s="5" t="n">
        <f aca="false">INDEX(Produtos!$E$2:$E$11,MATCH(F2103,Produtos!$A$2:$A$11,0))</f>
        <v>1800</v>
      </c>
      <c r="L2103" s="5" t="n">
        <f aca="false">H2103*K2103</f>
        <v>1800</v>
      </c>
    </row>
    <row r="2104" customFormat="false" ht="15" hidden="false" customHeight="false" outlineLevel="0" collapsed="false">
      <c r="A2104" s="2" t="s">
        <v>2386</v>
      </c>
      <c r="B2104" s="8" t="n">
        <v>46198</v>
      </c>
      <c r="C2104" s="2" t="s">
        <v>131</v>
      </c>
      <c r="D2104" s="3" t="str">
        <f aca="false">INDEX(Vendedores!$C$2:$C$101,MATCH(C2104,Vendedores!$A$2:$A$101,0))</f>
        <v>L05</v>
      </c>
      <c r="E2104" s="3" t="str">
        <f aca="false">INDEX(Lojas!$E$2:$E$11,MATCH(D2104,Lojas!$A$2:$A$11,0))</f>
        <v>Sul</v>
      </c>
      <c r="F2104" s="2" t="s">
        <v>267</v>
      </c>
      <c r="G2104" s="3" t="str">
        <f aca="false">INDEX(Produtos!$B$2:$B$11,MATCH(F2104,Produtos!$A$2:$A$11,0))&amp;" "&amp;INDEX(Produtos!$C$2:$C$11,MATCH(F2104,Produtos!$A$2:$A$11,0))</f>
        <v>Carregador de Celular Tipo C</v>
      </c>
      <c r="H2104" s="2" t="n">
        <v>2</v>
      </c>
      <c r="I2104" s="5" t="n">
        <f aca="false">INDEX(Produtos!$D$2:$D$11,MATCH(F2104,Produtos!$A$2:$A$11,0))</f>
        <v>44.9</v>
      </c>
      <c r="J2104" s="5" t="n">
        <f aca="false">H2104*I2104</f>
        <v>89.8</v>
      </c>
      <c r="K2104" s="5" t="n">
        <f aca="false">INDEX(Produtos!$E$2:$E$11,MATCH(F2104,Produtos!$A$2:$A$11,0))</f>
        <v>18</v>
      </c>
      <c r="L2104" s="5" t="n">
        <f aca="false">H2104*K2104</f>
        <v>36</v>
      </c>
    </row>
    <row r="2105" customFormat="false" ht="15" hidden="false" customHeight="false" outlineLevel="0" collapsed="false">
      <c r="A2105" s="2" t="s">
        <v>2387</v>
      </c>
      <c r="B2105" s="8" t="n">
        <v>46198</v>
      </c>
      <c r="C2105" s="2" t="s">
        <v>172</v>
      </c>
      <c r="D2105" s="3" t="str">
        <f aca="false">INDEX(Vendedores!$C$2:$C$101,MATCH(C2105,Vendedores!$A$2:$A$101,0))</f>
        <v>L07</v>
      </c>
      <c r="E2105" s="3" t="str">
        <f aca="false">INDEX(Lojas!$E$2:$E$11,MATCH(D2105,Lojas!$A$2:$A$11,0))</f>
        <v>Sul</v>
      </c>
      <c r="F2105" s="2" t="s">
        <v>262</v>
      </c>
      <c r="G2105" s="3" t="str">
        <f aca="false">INDEX(Produtos!$B$2:$B$11,MATCH(F2105,Produtos!$A$2:$A$11,0))&amp;" "&amp;INDEX(Produtos!$C$2:$C$11,MATCH(F2105,Produtos!$A$2:$A$11,0))</f>
        <v>Fone de Ouvido De Celular</v>
      </c>
      <c r="H2105" s="2" t="n">
        <v>1</v>
      </c>
      <c r="I2105" s="5" t="n">
        <f aca="false">INDEX(Produtos!$D$2:$D$11,MATCH(F2105,Produtos!$A$2:$A$11,0))</f>
        <v>59.9</v>
      </c>
      <c r="J2105" s="5" t="n">
        <f aca="false">H2105*I2105</f>
        <v>59.9</v>
      </c>
      <c r="K2105" s="5" t="n">
        <f aca="false">INDEX(Produtos!$E$2:$E$11,MATCH(F2105,Produtos!$A$2:$A$11,0))</f>
        <v>28</v>
      </c>
      <c r="L2105" s="5" t="n">
        <f aca="false">H2105*K2105</f>
        <v>28</v>
      </c>
    </row>
    <row r="2106" customFormat="false" ht="15" hidden="false" customHeight="false" outlineLevel="0" collapsed="false">
      <c r="A2106" s="2" t="s">
        <v>2388</v>
      </c>
      <c r="B2106" s="8" t="n">
        <v>46198</v>
      </c>
      <c r="C2106" s="2" t="s">
        <v>86</v>
      </c>
      <c r="D2106" s="3" t="str">
        <f aca="false">INDEX(Vendedores!$C$2:$C$101,MATCH(C2106,Vendedores!$A$2:$A$101,0))</f>
        <v>L02</v>
      </c>
      <c r="E2106" s="3" t="str">
        <f aca="false">INDEX(Lojas!$E$2:$E$11,MATCH(D2106,Lojas!$A$2:$A$11,0))</f>
        <v>Sudeste</v>
      </c>
      <c r="F2106" s="2" t="s">
        <v>265</v>
      </c>
      <c r="G2106" s="3" t="str">
        <f aca="false">INDEX(Produtos!$B$2:$B$11,MATCH(F2106,Produtos!$A$2:$A$11,0))&amp;" "&amp;INDEX(Produtos!$C$2:$C$11,MATCH(F2106,Produtos!$A$2:$A$11,0))</f>
        <v>Fone de Ouvido Headset</v>
      </c>
      <c r="H2106" s="2" t="n">
        <v>1</v>
      </c>
      <c r="I2106" s="5" t="n">
        <f aca="false">INDEX(Produtos!$D$2:$D$11,MATCH(F2106,Produtos!$A$2:$A$11,0))</f>
        <v>249.9</v>
      </c>
      <c r="J2106" s="5" t="n">
        <f aca="false">H2106*I2106</f>
        <v>249.9</v>
      </c>
      <c r="K2106" s="5" t="n">
        <f aca="false">INDEX(Produtos!$E$2:$E$11,MATCH(F2106,Produtos!$A$2:$A$11,0))</f>
        <v>145</v>
      </c>
      <c r="L2106" s="5" t="n">
        <f aca="false">H2106*K2106</f>
        <v>145</v>
      </c>
    </row>
    <row r="2107" customFormat="false" ht="15" hidden="false" customHeight="false" outlineLevel="0" collapsed="false">
      <c r="A2107" s="2" t="s">
        <v>2389</v>
      </c>
      <c r="B2107" s="8" t="n">
        <v>46198</v>
      </c>
      <c r="C2107" s="2" t="s">
        <v>100</v>
      </c>
      <c r="D2107" s="3" t="str">
        <f aca="false">INDEX(Vendedores!$C$2:$C$101,MATCH(C2107,Vendedores!$A$2:$A$101,0))</f>
        <v>L03</v>
      </c>
      <c r="E2107" s="3" t="str">
        <f aca="false">INDEX(Lojas!$E$2:$E$11,MATCH(D2107,Lojas!$A$2:$A$11,0))</f>
        <v>Sudeste</v>
      </c>
      <c r="F2107" s="2" t="s">
        <v>257</v>
      </c>
      <c r="G2107" s="3" t="str">
        <f aca="false">INDEX(Produtos!$B$2:$B$11,MATCH(F2107,Produtos!$A$2:$A$11,0))&amp;" "&amp;INDEX(Produtos!$C$2:$C$11,MATCH(F2107,Produtos!$A$2:$A$11,0))</f>
        <v>Celular Samsung</v>
      </c>
      <c r="H2107" s="2" t="n">
        <v>1</v>
      </c>
      <c r="I2107" s="5" t="n">
        <f aca="false">INDEX(Produtos!$D$2:$D$11,MATCH(F2107,Produtos!$A$2:$A$11,0))</f>
        <v>2499</v>
      </c>
      <c r="J2107" s="5" t="n">
        <f aca="false">H2107*I2107</f>
        <v>2499</v>
      </c>
      <c r="K2107" s="5" t="n">
        <f aca="false">INDEX(Produtos!$E$2:$E$11,MATCH(F2107,Produtos!$A$2:$A$11,0))</f>
        <v>1800</v>
      </c>
      <c r="L2107" s="5" t="n">
        <f aca="false">H2107*K2107</f>
        <v>1800</v>
      </c>
    </row>
    <row r="2108" customFormat="false" ht="15" hidden="false" customHeight="false" outlineLevel="0" collapsed="false">
      <c r="A2108" s="2" t="s">
        <v>2390</v>
      </c>
      <c r="B2108" s="8" t="n">
        <v>46198</v>
      </c>
      <c r="C2108" s="2" t="s">
        <v>241</v>
      </c>
      <c r="D2108" s="3" t="str">
        <f aca="false">INDEX(Vendedores!$C$2:$C$101,MATCH(C2108,Vendedores!$A$2:$A$101,0))</f>
        <v>L10</v>
      </c>
      <c r="E2108" s="3" t="str">
        <f aca="false">INDEX(Lojas!$E$2:$E$11,MATCH(D2108,Lojas!$A$2:$A$11,0))</f>
        <v>Nordeste</v>
      </c>
      <c r="F2108" s="2" t="s">
        <v>275</v>
      </c>
      <c r="G2108" s="3" t="str">
        <f aca="false">INDEX(Produtos!$B$2:$B$11,MATCH(F2108,Produtos!$A$2:$A$11,0))&amp;" "&amp;INDEX(Produtos!$C$2:$C$11,MATCH(F2108,Produtos!$A$2:$A$11,0))</f>
        <v>Controle de Videogame PS5</v>
      </c>
      <c r="H2108" s="2" t="n">
        <v>1</v>
      </c>
      <c r="I2108" s="5" t="n">
        <f aca="false">INDEX(Produtos!$D$2:$D$11,MATCH(F2108,Produtos!$A$2:$A$11,0))</f>
        <v>379.9</v>
      </c>
      <c r="J2108" s="5" t="n">
        <f aca="false">H2108*I2108</f>
        <v>379.9</v>
      </c>
      <c r="K2108" s="5" t="n">
        <f aca="false">INDEX(Produtos!$E$2:$E$11,MATCH(F2108,Produtos!$A$2:$A$11,0))</f>
        <v>235</v>
      </c>
      <c r="L2108" s="5" t="n">
        <f aca="false">H2108*K2108</f>
        <v>235</v>
      </c>
    </row>
    <row r="2109" customFormat="false" ht="15" hidden="false" customHeight="false" outlineLevel="0" collapsed="false">
      <c r="A2109" s="2" t="s">
        <v>2391</v>
      </c>
      <c r="B2109" s="8" t="n">
        <v>46198</v>
      </c>
      <c r="C2109" s="2" t="s">
        <v>225</v>
      </c>
      <c r="D2109" s="3" t="str">
        <f aca="false">INDEX(Vendedores!$C$2:$C$101,MATCH(C2109,Vendedores!$A$2:$A$101,0))</f>
        <v>L10</v>
      </c>
      <c r="E2109" s="3" t="str">
        <f aca="false">INDEX(Lojas!$E$2:$E$11,MATCH(D2109,Lojas!$A$2:$A$11,0))</f>
        <v>Nordeste</v>
      </c>
      <c r="F2109" s="2" t="s">
        <v>267</v>
      </c>
      <c r="G2109" s="3" t="str">
        <f aca="false">INDEX(Produtos!$B$2:$B$11,MATCH(F2109,Produtos!$A$2:$A$11,0))&amp;" "&amp;INDEX(Produtos!$C$2:$C$11,MATCH(F2109,Produtos!$A$2:$A$11,0))</f>
        <v>Carregador de Celular Tipo C</v>
      </c>
      <c r="H2109" s="2" t="n">
        <v>1</v>
      </c>
      <c r="I2109" s="5" t="n">
        <f aca="false">INDEX(Produtos!$D$2:$D$11,MATCH(F2109,Produtos!$A$2:$A$11,0))</f>
        <v>44.9</v>
      </c>
      <c r="J2109" s="5" t="n">
        <f aca="false">H2109*I2109</f>
        <v>44.9</v>
      </c>
      <c r="K2109" s="5" t="n">
        <f aca="false">INDEX(Produtos!$E$2:$E$11,MATCH(F2109,Produtos!$A$2:$A$11,0))</f>
        <v>18</v>
      </c>
      <c r="L2109" s="5" t="n">
        <f aca="false">H2109*K2109</f>
        <v>18</v>
      </c>
    </row>
    <row r="2110" customFormat="false" ht="15" hidden="false" customHeight="false" outlineLevel="0" collapsed="false">
      <c r="A2110" s="2" t="s">
        <v>2392</v>
      </c>
      <c r="B2110" s="8" t="n">
        <v>46198</v>
      </c>
      <c r="C2110" s="2" t="s">
        <v>231</v>
      </c>
      <c r="D2110" s="3" t="str">
        <f aca="false">INDEX(Vendedores!$C$2:$C$101,MATCH(C2110,Vendedores!$A$2:$A$101,0))</f>
        <v>L10</v>
      </c>
      <c r="E2110" s="3" t="str">
        <f aca="false">INDEX(Lojas!$E$2:$E$11,MATCH(D2110,Lojas!$A$2:$A$11,0))</f>
        <v>Nordeste</v>
      </c>
      <c r="F2110" s="2" t="s">
        <v>255</v>
      </c>
      <c r="G2110" s="3" t="str">
        <f aca="false">INDEX(Produtos!$B$2:$B$11,MATCH(F2110,Produtos!$A$2:$A$11,0))&amp;" "&amp;INDEX(Produtos!$C$2:$C$11,MATCH(F2110,Produtos!$A$2:$A$11,0))</f>
        <v>Notebook Positivo</v>
      </c>
      <c r="H2110" s="2" t="n">
        <v>2</v>
      </c>
      <c r="I2110" s="5" t="n">
        <f aca="false">INDEX(Produtos!$D$2:$D$11,MATCH(F2110,Produtos!$A$2:$A$11,0))</f>
        <v>2199</v>
      </c>
      <c r="J2110" s="5" t="n">
        <f aca="false">H2110*I2110</f>
        <v>4398</v>
      </c>
      <c r="K2110" s="5" t="n">
        <f aca="false">INDEX(Produtos!$E$2:$E$11,MATCH(F2110,Produtos!$A$2:$A$11,0))</f>
        <v>1550</v>
      </c>
      <c r="L2110" s="5" t="n">
        <f aca="false">H2110*K2110</f>
        <v>3100</v>
      </c>
    </row>
    <row r="2111" customFormat="false" ht="15" hidden="false" customHeight="false" outlineLevel="0" collapsed="false">
      <c r="A2111" s="2" t="s">
        <v>2393</v>
      </c>
      <c r="B2111" s="8" t="n">
        <v>46199</v>
      </c>
      <c r="C2111" s="2" t="s">
        <v>207</v>
      </c>
      <c r="D2111" s="3" t="str">
        <f aca="false">INDEX(Vendedores!$C$2:$C$101,MATCH(C2111,Vendedores!$A$2:$A$101,0))</f>
        <v>L09</v>
      </c>
      <c r="E2111" s="3" t="str">
        <f aca="false">INDEX(Lojas!$E$2:$E$11,MATCH(D2111,Lojas!$A$2:$A$11,0))</f>
        <v>Nordeste</v>
      </c>
      <c r="F2111" s="2" t="s">
        <v>275</v>
      </c>
      <c r="G2111" s="3" t="str">
        <f aca="false">INDEX(Produtos!$B$2:$B$11,MATCH(F2111,Produtos!$A$2:$A$11,0))&amp;" "&amp;INDEX(Produtos!$C$2:$C$11,MATCH(F2111,Produtos!$A$2:$A$11,0))</f>
        <v>Controle de Videogame PS5</v>
      </c>
      <c r="H2111" s="2" t="n">
        <v>1</v>
      </c>
      <c r="I2111" s="5" t="n">
        <f aca="false">INDEX(Produtos!$D$2:$D$11,MATCH(F2111,Produtos!$A$2:$A$11,0))</f>
        <v>379.9</v>
      </c>
      <c r="J2111" s="5" t="n">
        <f aca="false">H2111*I2111</f>
        <v>379.9</v>
      </c>
      <c r="K2111" s="5" t="n">
        <f aca="false">INDEX(Produtos!$E$2:$E$11,MATCH(F2111,Produtos!$A$2:$A$11,0))</f>
        <v>235</v>
      </c>
      <c r="L2111" s="5" t="n">
        <f aca="false">H2111*K2111</f>
        <v>235</v>
      </c>
    </row>
    <row r="2112" customFormat="false" ht="15" hidden="false" customHeight="false" outlineLevel="0" collapsed="false">
      <c r="A2112" s="2" t="s">
        <v>2394</v>
      </c>
      <c r="B2112" s="8" t="n">
        <v>46199</v>
      </c>
      <c r="C2112" s="2" t="s">
        <v>154</v>
      </c>
      <c r="D2112" s="3" t="str">
        <f aca="false">INDEX(Vendedores!$C$2:$C$101,MATCH(C2112,Vendedores!$A$2:$A$101,0))</f>
        <v>L06</v>
      </c>
      <c r="E2112" s="3" t="str">
        <f aca="false">INDEX(Lojas!$E$2:$E$11,MATCH(D2112,Lojas!$A$2:$A$11,0))</f>
        <v>Sul</v>
      </c>
      <c r="F2112" s="2" t="s">
        <v>255</v>
      </c>
      <c r="G2112" s="3" t="str">
        <f aca="false">INDEX(Produtos!$B$2:$B$11,MATCH(F2112,Produtos!$A$2:$A$11,0))&amp;" "&amp;INDEX(Produtos!$C$2:$C$11,MATCH(F2112,Produtos!$A$2:$A$11,0))</f>
        <v>Notebook Positivo</v>
      </c>
      <c r="H2112" s="2" t="n">
        <v>1</v>
      </c>
      <c r="I2112" s="5" t="n">
        <f aca="false">INDEX(Produtos!$D$2:$D$11,MATCH(F2112,Produtos!$A$2:$A$11,0))</f>
        <v>2199</v>
      </c>
      <c r="J2112" s="5" t="n">
        <f aca="false">H2112*I2112</f>
        <v>2199</v>
      </c>
      <c r="K2112" s="5" t="n">
        <f aca="false">INDEX(Produtos!$E$2:$E$11,MATCH(F2112,Produtos!$A$2:$A$11,0))</f>
        <v>1550</v>
      </c>
      <c r="L2112" s="5" t="n">
        <f aca="false">H2112*K2112</f>
        <v>1550</v>
      </c>
    </row>
    <row r="2113" customFormat="false" ht="15" hidden="false" customHeight="false" outlineLevel="0" collapsed="false">
      <c r="A2113" s="2" t="s">
        <v>2395</v>
      </c>
      <c r="B2113" s="8" t="n">
        <v>46199</v>
      </c>
      <c r="C2113" s="2" t="s">
        <v>239</v>
      </c>
      <c r="D2113" s="3" t="str">
        <f aca="false">INDEX(Vendedores!$C$2:$C$101,MATCH(C2113,Vendedores!$A$2:$A$101,0))</f>
        <v>L10</v>
      </c>
      <c r="E2113" s="3" t="str">
        <f aca="false">INDEX(Lojas!$E$2:$E$11,MATCH(D2113,Lojas!$A$2:$A$11,0))</f>
        <v>Nordeste</v>
      </c>
      <c r="F2113" s="2" t="s">
        <v>257</v>
      </c>
      <c r="G2113" s="3" t="str">
        <f aca="false">INDEX(Produtos!$B$2:$B$11,MATCH(F2113,Produtos!$A$2:$A$11,0))&amp;" "&amp;INDEX(Produtos!$C$2:$C$11,MATCH(F2113,Produtos!$A$2:$A$11,0))</f>
        <v>Celular Samsung</v>
      </c>
      <c r="H2113" s="2" t="n">
        <v>1</v>
      </c>
      <c r="I2113" s="5" t="n">
        <f aca="false">INDEX(Produtos!$D$2:$D$11,MATCH(F2113,Produtos!$A$2:$A$11,0))</f>
        <v>2499</v>
      </c>
      <c r="J2113" s="5" t="n">
        <f aca="false">H2113*I2113</f>
        <v>2499</v>
      </c>
      <c r="K2113" s="5" t="n">
        <f aca="false">INDEX(Produtos!$E$2:$E$11,MATCH(F2113,Produtos!$A$2:$A$11,0))</f>
        <v>1800</v>
      </c>
      <c r="L2113" s="5" t="n">
        <f aca="false">H2113*K2113</f>
        <v>1800</v>
      </c>
    </row>
    <row r="2114" customFormat="false" ht="15" hidden="false" customHeight="false" outlineLevel="0" collapsed="false">
      <c r="A2114" s="2" t="s">
        <v>2396</v>
      </c>
      <c r="B2114" s="8" t="n">
        <v>46199</v>
      </c>
      <c r="C2114" s="2" t="s">
        <v>221</v>
      </c>
      <c r="D2114" s="3" t="str">
        <f aca="false">INDEX(Vendedores!$C$2:$C$101,MATCH(C2114,Vendedores!$A$2:$A$101,0))</f>
        <v>L09</v>
      </c>
      <c r="E2114" s="3" t="str">
        <f aca="false">INDEX(Lojas!$E$2:$E$11,MATCH(D2114,Lojas!$A$2:$A$11,0))</f>
        <v>Nordeste</v>
      </c>
      <c r="F2114" s="2" t="s">
        <v>260</v>
      </c>
      <c r="G2114" s="3" t="str">
        <f aca="false">INDEX(Produtos!$B$2:$B$11,MATCH(F2114,Produtos!$A$2:$A$11,0))&amp;" "&amp;INDEX(Produtos!$C$2:$C$11,MATCH(F2114,Produtos!$A$2:$A$11,0))</f>
        <v>Celular Motorola</v>
      </c>
      <c r="H2114" s="2" t="n">
        <v>1</v>
      </c>
      <c r="I2114" s="5" t="n">
        <f aca="false">INDEX(Produtos!$D$2:$D$11,MATCH(F2114,Produtos!$A$2:$A$11,0))</f>
        <v>1799</v>
      </c>
      <c r="J2114" s="5" t="n">
        <f aca="false">H2114*I2114</f>
        <v>1799</v>
      </c>
      <c r="K2114" s="5" t="n">
        <f aca="false">INDEX(Produtos!$E$2:$E$11,MATCH(F2114,Produtos!$A$2:$A$11,0))</f>
        <v>1250</v>
      </c>
      <c r="L2114" s="5" t="n">
        <f aca="false">H2114*K2114</f>
        <v>1250</v>
      </c>
    </row>
    <row r="2115" customFormat="false" ht="15" hidden="false" customHeight="false" outlineLevel="0" collapsed="false">
      <c r="A2115" s="2" t="s">
        <v>2397</v>
      </c>
      <c r="B2115" s="8" t="n">
        <v>46199</v>
      </c>
      <c r="C2115" s="2" t="s">
        <v>110</v>
      </c>
      <c r="D2115" s="3" t="str">
        <f aca="false">INDEX(Vendedores!$C$2:$C$101,MATCH(C2115,Vendedores!$A$2:$A$101,0))</f>
        <v>L04</v>
      </c>
      <c r="E2115" s="3" t="str">
        <f aca="false">INDEX(Lojas!$E$2:$E$11,MATCH(D2115,Lojas!$A$2:$A$11,0))</f>
        <v>Sudeste</v>
      </c>
      <c r="F2115" s="2" t="s">
        <v>267</v>
      </c>
      <c r="G2115" s="3" t="str">
        <f aca="false">INDEX(Produtos!$B$2:$B$11,MATCH(F2115,Produtos!$A$2:$A$11,0))&amp;" "&amp;INDEX(Produtos!$C$2:$C$11,MATCH(F2115,Produtos!$A$2:$A$11,0))</f>
        <v>Carregador de Celular Tipo C</v>
      </c>
      <c r="H2115" s="2" t="n">
        <v>1</v>
      </c>
      <c r="I2115" s="5" t="n">
        <f aca="false">INDEX(Produtos!$D$2:$D$11,MATCH(F2115,Produtos!$A$2:$A$11,0))</f>
        <v>44.9</v>
      </c>
      <c r="J2115" s="5" t="n">
        <f aca="false">H2115*I2115</f>
        <v>44.9</v>
      </c>
      <c r="K2115" s="5" t="n">
        <f aca="false">INDEX(Produtos!$E$2:$E$11,MATCH(F2115,Produtos!$A$2:$A$11,0))</f>
        <v>18</v>
      </c>
      <c r="L2115" s="5" t="n">
        <f aca="false">H2115*K2115</f>
        <v>18</v>
      </c>
    </row>
    <row r="2116" customFormat="false" ht="15" hidden="false" customHeight="false" outlineLevel="0" collapsed="false">
      <c r="A2116" s="2" t="s">
        <v>2398</v>
      </c>
      <c r="B2116" s="8" t="n">
        <v>46199</v>
      </c>
      <c r="C2116" s="2" t="s">
        <v>193</v>
      </c>
      <c r="D2116" s="3" t="str">
        <f aca="false">INDEX(Vendedores!$C$2:$C$101,MATCH(C2116,Vendedores!$A$2:$A$101,0))</f>
        <v>L08</v>
      </c>
      <c r="E2116" s="3" t="str">
        <f aca="false">INDEX(Lojas!$E$2:$E$11,MATCH(D2116,Lojas!$A$2:$A$11,0))</f>
        <v>Nordeste</v>
      </c>
      <c r="F2116" s="2" t="s">
        <v>260</v>
      </c>
      <c r="G2116" s="3" t="str">
        <f aca="false">INDEX(Produtos!$B$2:$B$11,MATCH(F2116,Produtos!$A$2:$A$11,0))&amp;" "&amp;INDEX(Produtos!$C$2:$C$11,MATCH(F2116,Produtos!$A$2:$A$11,0))</f>
        <v>Celular Motorola</v>
      </c>
      <c r="H2116" s="2" t="n">
        <v>2</v>
      </c>
      <c r="I2116" s="5" t="n">
        <f aca="false">INDEX(Produtos!$D$2:$D$11,MATCH(F2116,Produtos!$A$2:$A$11,0))</f>
        <v>1799</v>
      </c>
      <c r="J2116" s="5" t="n">
        <f aca="false">H2116*I2116</f>
        <v>3598</v>
      </c>
      <c r="K2116" s="5" t="n">
        <f aca="false">INDEX(Produtos!$E$2:$E$11,MATCH(F2116,Produtos!$A$2:$A$11,0))</f>
        <v>1250</v>
      </c>
      <c r="L2116" s="5" t="n">
        <f aca="false">H2116*K2116</f>
        <v>2500</v>
      </c>
    </row>
    <row r="2117" customFormat="false" ht="15" hidden="false" customHeight="false" outlineLevel="0" collapsed="false">
      <c r="A2117" s="2" t="s">
        <v>2399</v>
      </c>
      <c r="B2117" s="8" t="n">
        <v>46199</v>
      </c>
      <c r="C2117" s="2" t="s">
        <v>225</v>
      </c>
      <c r="D2117" s="3" t="str">
        <f aca="false">INDEX(Vendedores!$C$2:$C$101,MATCH(C2117,Vendedores!$A$2:$A$101,0))</f>
        <v>L10</v>
      </c>
      <c r="E2117" s="3" t="str">
        <f aca="false">INDEX(Lojas!$E$2:$E$11,MATCH(D2117,Lojas!$A$2:$A$11,0))</f>
        <v>Nordeste</v>
      </c>
      <c r="F2117" s="2" t="s">
        <v>267</v>
      </c>
      <c r="G2117" s="3" t="str">
        <f aca="false">INDEX(Produtos!$B$2:$B$11,MATCH(F2117,Produtos!$A$2:$A$11,0))&amp;" "&amp;INDEX(Produtos!$C$2:$C$11,MATCH(F2117,Produtos!$A$2:$A$11,0))</f>
        <v>Carregador de Celular Tipo C</v>
      </c>
      <c r="H2117" s="2" t="n">
        <v>1</v>
      </c>
      <c r="I2117" s="5" t="n">
        <f aca="false">INDEX(Produtos!$D$2:$D$11,MATCH(F2117,Produtos!$A$2:$A$11,0))</f>
        <v>44.9</v>
      </c>
      <c r="J2117" s="5" t="n">
        <f aca="false">H2117*I2117</f>
        <v>44.9</v>
      </c>
      <c r="K2117" s="5" t="n">
        <f aca="false">INDEX(Produtos!$E$2:$E$11,MATCH(F2117,Produtos!$A$2:$A$11,0))</f>
        <v>18</v>
      </c>
      <c r="L2117" s="5" t="n">
        <f aca="false">H2117*K2117</f>
        <v>18</v>
      </c>
    </row>
    <row r="2118" customFormat="false" ht="15" hidden="false" customHeight="false" outlineLevel="0" collapsed="false">
      <c r="A2118" s="2" t="s">
        <v>2400</v>
      </c>
      <c r="B2118" s="8" t="n">
        <v>46199</v>
      </c>
      <c r="C2118" s="2" t="s">
        <v>213</v>
      </c>
      <c r="D2118" s="3" t="str">
        <f aca="false">INDEX(Vendedores!$C$2:$C$101,MATCH(C2118,Vendedores!$A$2:$A$101,0))</f>
        <v>L09</v>
      </c>
      <c r="E2118" s="3" t="str">
        <f aca="false">INDEX(Lojas!$E$2:$E$11,MATCH(D2118,Lojas!$A$2:$A$11,0))</f>
        <v>Nordeste</v>
      </c>
      <c r="F2118" s="2" t="s">
        <v>255</v>
      </c>
      <c r="G2118" s="3" t="str">
        <f aca="false">INDEX(Produtos!$B$2:$B$11,MATCH(F2118,Produtos!$A$2:$A$11,0))&amp;" "&amp;INDEX(Produtos!$C$2:$C$11,MATCH(F2118,Produtos!$A$2:$A$11,0))</f>
        <v>Notebook Positivo</v>
      </c>
      <c r="H2118" s="2" t="n">
        <v>2</v>
      </c>
      <c r="I2118" s="5" t="n">
        <f aca="false">INDEX(Produtos!$D$2:$D$11,MATCH(F2118,Produtos!$A$2:$A$11,0))</f>
        <v>2199</v>
      </c>
      <c r="J2118" s="5" t="n">
        <f aca="false">H2118*I2118</f>
        <v>4398</v>
      </c>
      <c r="K2118" s="5" t="n">
        <f aca="false">INDEX(Produtos!$E$2:$E$11,MATCH(F2118,Produtos!$A$2:$A$11,0))</f>
        <v>1550</v>
      </c>
      <c r="L2118" s="5" t="n">
        <f aca="false">H2118*K2118</f>
        <v>3100</v>
      </c>
    </row>
    <row r="2119" customFormat="false" ht="15" hidden="false" customHeight="false" outlineLevel="0" collapsed="false">
      <c r="A2119" s="2" t="s">
        <v>2401</v>
      </c>
      <c r="B2119" s="8" t="n">
        <v>46199</v>
      </c>
      <c r="C2119" s="2" t="s">
        <v>88</v>
      </c>
      <c r="D2119" s="3" t="str">
        <f aca="false">INDEX(Vendedores!$C$2:$C$101,MATCH(C2119,Vendedores!$A$2:$A$101,0))</f>
        <v>L02</v>
      </c>
      <c r="E2119" s="3" t="str">
        <f aca="false">INDEX(Lojas!$E$2:$E$11,MATCH(D2119,Lojas!$A$2:$A$11,0))</f>
        <v>Sudeste</v>
      </c>
      <c r="F2119" s="2" t="s">
        <v>273</v>
      </c>
      <c r="G2119" s="3" t="str">
        <f aca="false">INDEX(Produtos!$B$2:$B$11,MATCH(F2119,Produtos!$A$2:$A$11,0))&amp;" "&amp;INDEX(Produtos!$C$2:$C$11,MATCH(F2119,Produtos!$A$2:$A$11,0))</f>
        <v>Controle de Videogame PS4</v>
      </c>
      <c r="H2119" s="2" t="n">
        <v>1</v>
      </c>
      <c r="I2119" s="5" t="n">
        <f aca="false">INDEX(Produtos!$D$2:$D$11,MATCH(F2119,Produtos!$A$2:$A$11,0))</f>
        <v>299.9</v>
      </c>
      <c r="J2119" s="5" t="n">
        <f aca="false">H2119*I2119</f>
        <v>299.9</v>
      </c>
      <c r="K2119" s="5" t="n">
        <f aca="false">INDEX(Produtos!$E$2:$E$11,MATCH(F2119,Produtos!$A$2:$A$11,0))</f>
        <v>175</v>
      </c>
      <c r="L2119" s="5" t="n">
        <f aca="false">H2119*K2119</f>
        <v>175</v>
      </c>
    </row>
    <row r="2120" customFormat="false" ht="15" hidden="false" customHeight="false" outlineLevel="0" collapsed="false">
      <c r="A2120" s="2" t="s">
        <v>2402</v>
      </c>
      <c r="B2120" s="8" t="n">
        <v>46199</v>
      </c>
      <c r="C2120" s="2" t="s">
        <v>131</v>
      </c>
      <c r="D2120" s="3" t="str">
        <f aca="false">INDEX(Vendedores!$C$2:$C$101,MATCH(C2120,Vendedores!$A$2:$A$101,0))</f>
        <v>L05</v>
      </c>
      <c r="E2120" s="3" t="str">
        <f aca="false">INDEX(Lojas!$E$2:$E$11,MATCH(D2120,Lojas!$A$2:$A$11,0))</f>
        <v>Sul</v>
      </c>
      <c r="F2120" s="2" t="s">
        <v>273</v>
      </c>
      <c r="G2120" s="3" t="str">
        <f aca="false">INDEX(Produtos!$B$2:$B$11,MATCH(F2120,Produtos!$A$2:$A$11,0))&amp;" "&amp;INDEX(Produtos!$C$2:$C$11,MATCH(F2120,Produtos!$A$2:$A$11,0))</f>
        <v>Controle de Videogame PS4</v>
      </c>
      <c r="H2120" s="2" t="n">
        <v>2</v>
      </c>
      <c r="I2120" s="5" t="n">
        <f aca="false">INDEX(Produtos!$D$2:$D$11,MATCH(F2120,Produtos!$A$2:$A$11,0))</f>
        <v>299.9</v>
      </c>
      <c r="J2120" s="5" t="n">
        <f aca="false">H2120*I2120</f>
        <v>599.8</v>
      </c>
      <c r="K2120" s="5" t="n">
        <f aca="false">INDEX(Produtos!$E$2:$E$11,MATCH(F2120,Produtos!$A$2:$A$11,0))</f>
        <v>175</v>
      </c>
      <c r="L2120" s="5" t="n">
        <f aca="false">H2120*K2120</f>
        <v>350</v>
      </c>
    </row>
    <row r="2121" customFormat="false" ht="15" hidden="false" customHeight="false" outlineLevel="0" collapsed="false">
      <c r="A2121" s="2" t="s">
        <v>2403</v>
      </c>
      <c r="B2121" s="8" t="n">
        <v>46199</v>
      </c>
      <c r="C2121" s="2" t="s">
        <v>156</v>
      </c>
      <c r="D2121" s="3" t="str">
        <f aca="false">INDEX(Vendedores!$C$2:$C$101,MATCH(C2121,Vendedores!$A$2:$A$101,0))</f>
        <v>L06</v>
      </c>
      <c r="E2121" s="3" t="str">
        <f aca="false">INDEX(Lojas!$E$2:$E$11,MATCH(D2121,Lojas!$A$2:$A$11,0))</f>
        <v>Sul</v>
      </c>
      <c r="F2121" s="2" t="s">
        <v>275</v>
      </c>
      <c r="G2121" s="3" t="str">
        <f aca="false">INDEX(Produtos!$B$2:$B$11,MATCH(F2121,Produtos!$A$2:$A$11,0))&amp;" "&amp;INDEX(Produtos!$C$2:$C$11,MATCH(F2121,Produtos!$A$2:$A$11,0))</f>
        <v>Controle de Videogame PS5</v>
      </c>
      <c r="H2121" s="2" t="n">
        <v>2</v>
      </c>
      <c r="I2121" s="5" t="n">
        <f aca="false">INDEX(Produtos!$D$2:$D$11,MATCH(F2121,Produtos!$A$2:$A$11,0))</f>
        <v>379.9</v>
      </c>
      <c r="J2121" s="5" t="n">
        <f aca="false">H2121*I2121</f>
        <v>759.8</v>
      </c>
      <c r="K2121" s="5" t="n">
        <f aca="false">INDEX(Produtos!$E$2:$E$11,MATCH(F2121,Produtos!$A$2:$A$11,0))</f>
        <v>235</v>
      </c>
      <c r="L2121" s="5" t="n">
        <f aca="false">H2121*K2121</f>
        <v>470</v>
      </c>
    </row>
    <row r="2122" customFormat="false" ht="15" hidden="false" customHeight="false" outlineLevel="0" collapsed="false">
      <c r="A2122" s="2" t="s">
        <v>2404</v>
      </c>
      <c r="B2122" s="8" t="n">
        <v>46199</v>
      </c>
      <c r="C2122" s="2" t="s">
        <v>185</v>
      </c>
      <c r="D2122" s="3" t="str">
        <f aca="false">INDEX(Vendedores!$C$2:$C$101,MATCH(C2122,Vendedores!$A$2:$A$101,0))</f>
        <v>L08</v>
      </c>
      <c r="E2122" s="3" t="str">
        <f aca="false">INDEX(Lojas!$E$2:$E$11,MATCH(D2122,Lojas!$A$2:$A$11,0))</f>
        <v>Nordeste</v>
      </c>
      <c r="F2122" s="2" t="s">
        <v>267</v>
      </c>
      <c r="G2122" s="3" t="str">
        <f aca="false">INDEX(Produtos!$B$2:$B$11,MATCH(F2122,Produtos!$A$2:$A$11,0))&amp;" "&amp;INDEX(Produtos!$C$2:$C$11,MATCH(F2122,Produtos!$A$2:$A$11,0))</f>
        <v>Carregador de Celular Tipo C</v>
      </c>
      <c r="H2122" s="2" t="n">
        <v>2</v>
      </c>
      <c r="I2122" s="5" t="n">
        <f aca="false">INDEX(Produtos!$D$2:$D$11,MATCH(F2122,Produtos!$A$2:$A$11,0))</f>
        <v>44.9</v>
      </c>
      <c r="J2122" s="5" t="n">
        <f aca="false">H2122*I2122</f>
        <v>89.8</v>
      </c>
      <c r="K2122" s="5" t="n">
        <f aca="false">INDEX(Produtos!$E$2:$E$11,MATCH(F2122,Produtos!$A$2:$A$11,0))</f>
        <v>18</v>
      </c>
      <c r="L2122" s="5" t="n">
        <f aca="false">H2122*K2122</f>
        <v>36</v>
      </c>
    </row>
    <row r="2123" customFormat="false" ht="15" hidden="false" customHeight="false" outlineLevel="0" collapsed="false">
      <c r="A2123" s="2" t="s">
        <v>2405</v>
      </c>
      <c r="B2123" s="8" t="n">
        <v>46199</v>
      </c>
      <c r="C2123" s="2" t="s">
        <v>60</v>
      </c>
      <c r="D2123" s="3" t="str">
        <f aca="false">INDEX(Vendedores!$C$2:$C$101,MATCH(C2123,Vendedores!$A$2:$A$101,0))</f>
        <v>L01</v>
      </c>
      <c r="E2123" s="3" t="str">
        <f aca="false">INDEX(Lojas!$E$2:$E$11,MATCH(D2123,Lojas!$A$2:$A$11,0))</f>
        <v>Sudeste</v>
      </c>
      <c r="F2123" s="2" t="s">
        <v>273</v>
      </c>
      <c r="G2123" s="3" t="str">
        <f aca="false">INDEX(Produtos!$B$2:$B$11,MATCH(F2123,Produtos!$A$2:$A$11,0))&amp;" "&amp;INDEX(Produtos!$C$2:$C$11,MATCH(F2123,Produtos!$A$2:$A$11,0))</f>
        <v>Controle de Videogame PS4</v>
      </c>
      <c r="H2123" s="2" t="n">
        <v>1</v>
      </c>
      <c r="I2123" s="5" t="n">
        <f aca="false">INDEX(Produtos!$D$2:$D$11,MATCH(F2123,Produtos!$A$2:$A$11,0))</f>
        <v>299.9</v>
      </c>
      <c r="J2123" s="5" t="n">
        <f aca="false">H2123*I2123</f>
        <v>299.9</v>
      </c>
      <c r="K2123" s="5" t="n">
        <f aca="false">INDEX(Produtos!$E$2:$E$11,MATCH(F2123,Produtos!$A$2:$A$11,0))</f>
        <v>175</v>
      </c>
      <c r="L2123" s="5" t="n">
        <f aca="false">H2123*K2123</f>
        <v>175</v>
      </c>
    </row>
    <row r="2124" customFormat="false" ht="15" hidden="false" customHeight="false" outlineLevel="0" collapsed="false">
      <c r="A2124" s="2" t="s">
        <v>2406</v>
      </c>
      <c r="B2124" s="8" t="n">
        <v>46200</v>
      </c>
      <c r="C2124" s="2" t="s">
        <v>90</v>
      </c>
      <c r="D2124" s="3" t="str">
        <f aca="false">INDEX(Vendedores!$C$2:$C$101,MATCH(C2124,Vendedores!$A$2:$A$101,0))</f>
        <v>L03</v>
      </c>
      <c r="E2124" s="3" t="str">
        <f aca="false">INDEX(Lojas!$E$2:$E$11,MATCH(D2124,Lojas!$A$2:$A$11,0))</f>
        <v>Sudeste</v>
      </c>
      <c r="F2124" s="2" t="s">
        <v>267</v>
      </c>
      <c r="G2124" s="3" t="str">
        <f aca="false">INDEX(Produtos!$B$2:$B$11,MATCH(F2124,Produtos!$A$2:$A$11,0))&amp;" "&amp;INDEX(Produtos!$C$2:$C$11,MATCH(F2124,Produtos!$A$2:$A$11,0))</f>
        <v>Carregador de Celular Tipo C</v>
      </c>
      <c r="H2124" s="2" t="n">
        <v>1</v>
      </c>
      <c r="I2124" s="5" t="n">
        <f aca="false">INDEX(Produtos!$D$2:$D$11,MATCH(F2124,Produtos!$A$2:$A$11,0))</f>
        <v>44.9</v>
      </c>
      <c r="J2124" s="5" t="n">
        <f aca="false">H2124*I2124</f>
        <v>44.9</v>
      </c>
      <c r="K2124" s="5" t="n">
        <f aca="false">INDEX(Produtos!$E$2:$E$11,MATCH(F2124,Produtos!$A$2:$A$11,0))</f>
        <v>18</v>
      </c>
      <c r="L2124" s="5" t="n">
        <f aca="false">H2124*K2124</f>
        <v>18</v>
      </c>
    </row>
    <row r="2125" customFormat="false" ht="15" hidden="false" customHeight="false" outlineLevel="0" collapsed="false">
      <c r="A2125" s="2" t="s">
        <v>2407</v>
      </c>
      <c r="B2125" s="8" t="n">
        <v>46200</v>
      </c>
      <c r="C2125" s="2" t="s">
        <v>183</v>
      </c>
      <c r="D2125" s="3" t="str">
        <f aca="false">INDEX(Vendedores!$C$2:$C$101,MATCH(C2125,Vendedores!$A$2:$A$101,0))</f>
        <v>L07</v>
      </c>
      <c r="E2125" s="3" t="str">
        <f aca="false">INDEX(Lojas!$E$2:$E$11,MATCH(D2125,Lojas!$A$2:$A$11,0))</f>
        <v>Sul</v>
      </c>
      <c r="F2125" s="2" t="s">
        <v>275</v>
      </c>
      <c r="G2125" s="3" t="str">
        <f aca="false">INDEX(Produtos!$B$2:$B$11,MATCH(F2125,Produtos!$A$2:$A$11,0))&amp;" "&amp;INDEX(Produtos!$C$2:$C$11,MATCH(F2125,Produtos!$A$2:$A$11,0))</f>
        <v>Controle de Videogame PS5</v>
      </c>
      <c r="H2125" s="2" t="n">
        <v>1</v>
      </c>
      <c r="I2125" s="5" t="n">
        <f aca="false">INDEX(Produtos!$D$2:$D$11,MATCH(F2125,Produtos!$A$2:$A$11,0))</f>
        <v>379.9</v>
      </c>
      <c r="J2125" s="5" t="n">
        <f aca="false">H2125*I2125</f>
        <v>379.9</v>
      </c>
      <c r="K2125" s="5" t="n">
        <f aca="false">INDEX(Produtos!$E$2:$E$11,MATCH(F2125,Produtos!$A$2:$A$11,0))</f>
        <v>235</v>
      </c>
      <c r="L2125" s="5" t="n">
        <f aca="false">H2125*K2125</f>
        <v>235</v>
      </c>
    </row>
    <row r="2126" customFormat="false" ht="15" hidden="false" customHeight="false" outlineLevel="0" collapsed="false">
      <c r="A2126" s="2" t="s">
        <v>2408</v>
      </c>
      <c r="B2126" s="8" t="n">
        <v>46200</v>
      </c>
      <c r="C2126" s="2" t="s">
        <v>90</v>
      </c>
      <c r="D2126" s="3" t="str">
        <f aca="false">INDEX(Vendedores!$C$2:$C$101,MATCH(C2126,Vendedores!$A$2:$A$101,0))</f>
        <v>L03</v>
      </c>
      <c r="E2126" s="3" t="str">
        <f aca="false">INDEX(Lojas!$E$2:$E$11,MATCH(D2126,Lojas!$A$2:$A$11,0))</f>
        <v>Sudeste</v>
      </c>
      <c r="F2126" s="2" t="s">
        <v>273</v>
      </c>
      <c r="G2126" s="3" t="str">
        <f aca="false">INDEX(Produtos!$B$2:$B$11,MATCH(F2126,Produtos!$A$2:$A$11,0))&amp;" "&amp;INDEX(Produtos!$C$2:$C$11,MATCH(F2126,Produtos!$A$2:$A$11,0))</f>
        <v>Controle de Videogame PS4</v>
      </c>
      <c r="H2126" s="2" t="n">
        <v>1</v>
      </c>
      <c r="I2126" s="5" t="n">
        <f aca="false">INDEX(Produtos!$D$2:$D$11,MATCH(F2126,Produtos!$A$2:$A$11,0))</f>
        <v>299.9</v>
      </c>
      <c r="J2126" s="5" t="n">
        <f aca="false">H2126*I2126</f>
        <v>299.9</v>
      </c>
      <c r="K2126" s="5" t="n">
        <f aca="false">INDEX(Produtos!$E$2:$E$11,MATCH(F2126,Produtos!$A$2:$A$11,0))</f>
        <v>175</v>
      </c>
      <c r="L2126" s="5" t="n">
        <f aca="false">H2126*K2126</f>
        <v>175</v>
      </c>
    </row>
    <row r="2127" customFormat="false" ht="15" hidden="false" customHeight="false" outlineLevel="0" collapsed="false">
      <c r="A2127" s="2" t="s">
        <v>2409</v>
      </c>
      <c r="B2127" s="8" t="n">
        <v>46200</v>
      </c>
      <c r="C2127" s="2" t="s">
        <v>243</v>
      </c>
      <c r="D2127" s="3" t="str">
        <f aca="false">INDEX(Vendedores!$C$2:$C$101,MATCH(C2127,Vendedores!$A$2:$A$101,0))</f>
        <v>L10</v>
      </c>
      <c r="E2127" s="3" t="str">
        <f aca="false">INDEX(Lojas!$E$2:$E$11,MATCH(D2127,Lojas!$A$2:$A$11,0))</f>
        <v>Nordeste</v>
      </c>
      <c r="F2127" s="2" t="s">
        <v>260</v>
      </c>
      <c r="G2127" s="3" t="str">
        <f aca="false">INDEX(Produtos!$B$2:$B$11,MATCH(F2127,Produtos!$A$2:$A$11,0))&amp;" "&amp;INDEX(Produtos!$C$2:$C$11,MATCH(F2127,Produtos!$A$2:$A$11,0))</f>
        <v>Celular Motorola</v>
      </c>
      <c r="H2127" s="2" t="n">
        <v>1</v>
      </c>
      <c r="I2127" s="5" t="n">
        <f aca="false">INDEX(Produtos!$D$2:$D$11,MATCH(F2127,Produtos!$A$2:$A$11,0))</f>
        <v>1799</v>
      </c>
      <c r="J2127" s="5" t="n">
        <f aca="false">H2127*I2127</f>
        <v>1799</v>
      </c>
      <c r="K2127" s="5" t="n">
        <f aca="false">INDEX(Produtos!$E$2:$E$11,MATCH(F2127,Produtos!$A$2:$A$11,0))</f>
        <v>1250</v>
      </c>
      <c r="L2127" s="5" t="n">
        <f aca="false">H2127*K2127</f>
        <v>1250</v>
      </c>
    </row>
    <row r="2128" customFormat="false" ht="15" hidden="false" customHeight="false" outlineLevel="0" collapsed="false">
      <c r="A2128" s="2" t="s">
        <v>2410</v>
      </c>
      <c r="B2128" s="8" t="n">
        <v>46200</v>
      </c>
      <c r="C2128" s="2" t="s">
        <v>104</v>
      </c>
      <c r="D2128" s="3" t="str">
        <f aca="false">INDEX(Vendedores!$C$2:$C$101,MATCH(C2128,Vendedores!$A$2:$A$101,0))</f>
        <v>L03</v>
      </c>
      <c r="E2128" s="3" t="str">
        <f aca="false">INDEX(Lojas!$E$2:$E$11,MATCH(D2128,Lojas!$A$2:$A$11,0))</f>
        <v>Sudeste</v>
      </c>
      <c r="F2128" s="2" t="s">
        <v>260</v>
      </c>
      <c r="G2128" s="3" t="str">
        <f aca="false">INDEX(Produtos!$B$2:$B$11,MATCH(F2128,Produtos!$A$2:$A$11,0))&amp;" "&amp;INDEX(Produtos!$C$2:$C$11,MATCH(F2128,Produtos!$A$2:$A$11,0))</f>
        <v>Celular Motorola</v>
      </c>
      <c r="H2128" s="2" t="n">
        <v>1</v>
      </c>
      <c r="I2128" s="5" t="n">
        <f aca="false">INDEX(Produtos!$D$2:$D$11,MATCH(F2128,Produtos!$A$2:$A$11,0))</f>
        <v>1799</v>
      </c>
      <c r="J2128" s="5" t="n">
        <f aca="false">H2128*I2128</f>
        <v>1799</v>
      </c>
      <c r="K2128" s="5" t="n">
        <f aca="false">INDEX(Produtos!$E$2:$E$11,MATCH(F2128,Produtos!$A$2:$A$11,0))</f>
        <v>1250</v>
      </c>
      <c r="L2128" s="5" t="n">
        <f aca="false">H2128*K2128</f>
        <v>1250</v>
      </c>
    </row>
    <row r="2129" customFormat="false" ht="15" hidden="false" customHeight="false" outlineLevel="0" collapsed="false">
      <c r="A2129" s="2" t="s">
        <v>2411</v>
      </c>
      <c r="B2129" s="8" t="n">
        <v>46200</v>
      </c>
      <c r="C2129" s="2" t="s">
        <v>88</v>
      </c>
      <c r="D2129" s="3" t="str">
        <f aca="false">INDEX(Vendedores!$C$2:$C$101,MATCH(C2129,Vendedores!$A$2:$A$101,0))</f>
        <v>L02</v>
      </c>
      <c r="E2129" s="3" t="str">
        <f aca="false">INDEX(Lojas!$E$2:$E$11,MATCH(D2129,Lojas!$A$2:$A$11,0))</f>
        <v>Sudeste</v>
      </c>
      <c r="F2129" s="2" t="s">
        <v>265</v>
      </c>
      <c r="G2129" s="3" t="str">
        <f aca="false">INDEX(Produtos!$B$2:$B$11,MATCH(F2129,Produtos!$A$2:$A$11,0))&amp;" "&amp;INDEX(Produtos!$C$2:$C$11,MATCH(F2129,Produtos!$A$2:$A$11,0))</f>
        <v>Fone de Ouvido Headset</v>
      </c>
      <c r="H2129" s="2" t="n">
        <v>1</v>
      </c>
      <c r="I2129" s="5" t="n">
        <f aca="false">INDEX(Produtos!$D$2:$D$11,MATCH(F2129,Produtos!$A$2:$A$11,0))</f>
        <v>249.9</v>
      </c>
      <c r="J2129" s="5" t="n">
        <f aca="false">H2129*I2129</f>
        <v>249.9</v>
      </c>
      <c r="K2129" s="5" t="n">
        <f aca="false">INDEX(Produtos!$E$2:$E$11,MATCH(F2129,Produtos!$A$2:$A$11,0))</f>
        <v>145</v>
      </c>
      <c r="L2129" s="5" t="n">
        <f aca="false">H2129*K2129</f>
        <v>145</v>
      </c>
    </row>
    <row r="2130" customFormat="false" ht="15" hidden="false" customHeight="false" outlineLevel="0" collapsed="false">
      <c r="A2130" s="2" t="s">
        <v>2412</v>
      </c>
      <c r="B2130" s="8" t="n">
        <v>46200</v>
      </c>
      <c r="C2130" s="2" t="s">
        <v>70</v>
      </c>
      <c r="D2130" s="3" t="str">
        <f aca="false">INDEX(Vendedores!$C$2:$C$101,MATCH(C2130,Vendedores!$A$2:$A$101,0))</f>
        <v>L02</v>
      </c>
      <c r="E2130" s="3" t="str">
        <f aca="false">INDEX(Lojas!$E$2:$E$11,MATCH(D2130,Lojas!$A$2:$A$11,0))</f>
        <v>Sudeste</v>
      </c>
      <c r="F2130" s="2" t="s">
        <v>255</v>
      </c>
      <c r="G2130" s="3" t="str">
        <f aca="false">INDEX(Produtos!$B$2:$B$11,MATCH(F2130,Produtos!$A$2:$A$11,0))&amp;" "&amp;INDEX(Produtos!$C$2:$C$11,MATCH(F2130,Produtos!$A$2:$A$11,0))</f>
        <v>Notebook Positivo</v>
      </c>
      <c r="H2130" s="2" t="n">
        <v>1</v>
      </c>
      <c r="I2130" s="5" t="n">
        <f aca="false">INDEX(Produtos!$D$2:$D$11,MATCH(F2130,Produtos!$A$2:$A$11,0))</f>
        <v>2199</v>
      </c>
      <c r="J2130" s="5" t="n">
        <f aca="false">H2130*I2130</f>
        <v>2199</v>
      </c>
      <c r="K2130" s="5" t="n">
        <f aca="false">INDEX(Produtos!$E$2:$E$11,MATCH(F2130,Produtos!$A$2:$A$11,0))</f>
        <v>1550</v>
      </c>
      <c r="L2130" s="5" t="n">
        <f aca="false">H2130*K2130</f>
        <v>1550</v>
      </c>
    </row>
    <row r="2131" customFormat="false" ht="15" hidden="false" customHeight="false" outlineLevel="0" collapsed="false">
      <c r="A2131" s="2" t="s">
        <v>2413</v>
      </c>
      <c r="B2131" s="8" t="n">
        <v>46200</v>
      </c>
      <c r="C2131" s="2" t="s">
        <v>203</v>
      </c>
      <c r="D2131" s="3" t="str">
        <f aca="false">INDEX(Vendedores!$C$2:$C$101,MATCH(C2131,Vendedores!$A$2:$A$101,0))</f>
        <v>L08</v>
      </c>
      <c r="E2131" s="3" t="str">
        <f aca="false">INDEX(Lojas!$E$2:$E$11,MATCH(D2131,Lojas!$A$2:$A$11,0))</f>
        <v>Nordeste</v>
      </c>
      <c r="F2131" s="2" t="s">
        <v>260</v>
      </c>
      <c r="G2131" s="3" t="str">
        <f aca="false">INDEX(Produtos!$B$2:$B$11,MATCH(F2131,Produtos!$A$2:$A$11,0))&amp;" "&amp;INDEX(Produtos!$C$2:$C$11,MATCH(F2131,Produtos!$A$2:$A$11,0))</f>
        <v>Celular Motorola</v>
      </c>
      <c r="H2131" s="2" t="n">
        <v>1</v>
      </c>
      <c r="I2131" s="5" t="n">
        <f aca="false">INDEX(Produtos!$D$2:$D$11,MATCH(F2131,Produtos!$A$2:$A$11,0))</f>
        <v>1799</v>
      </c>
      <c r="J2131" s="5" t="n">
        <f aca="false">H2131*I2131</f>
        <v>1799</v>
      </c>
      <c r="K2131" s="5" t="n">
        <f aca="false">INDEX(Produtos!$E$2:$E$11,MATCH(F2131,Produtos!$A$2:$A$11,0))</f>
        <v>1250</v>
      </c>
      <c r="L2131" s="5" t="n">
        <f aca="false">H2131*K2131</f>
        <v>1250</v>
      </c>
    </row>
    <row r="2132" customFormat="false" ht="15" hidden="false" customHeight="false" outlineLevel="0" collapsed="false">
      <c r="A2132" s="2" t="s">
        <v>2414</v>
      </c>
      <c r="B2132" s="8" t="n">
        <v>46200</v>
      </c>
      <c r="C2132" s="2" t="s">
        <v>118</v>
      </c>
      <c r="D2132" s="3" t="str">
        <f aca="false">INDEX(Vendedores!$C$2:$C$101,MATCH(C2132,Vendedores!$A$2:$A$101,0))</f>
        <v>L04</v>
      </c>
      <c r="E2132" s="3" t="str">
        <f aca="false">INDEX(Lojas!$E$2:$E$11,MATCH(D2132,Lojas!$A$2:$A$11,0))</f>
        <v>Sudeste</v>
      </c>
      <c r="F2132" s="2" t="s">
        <v>265</v>
      </c>
      <c r="G2132" s="3" t="str">
        <f aca="false">INDEX(Produtos!$B$2:$B$11,MATCH(F2132,Produtos!$A$2:$A$11,0))&amp;" "&amp;INDEX(Produtos!$C$2:$C$11,MATCH(F2132,Produtos!$A$2:$A$11,0))</f>
        <v>Fone de Ouvido Headset</v>
      </c>
      <c r="H2132" s="2" t="n">
        <v>1</v>
      </c>
      <c r="I2132" s="5" t="n">
        <f aca="false">INDEX(Produtos!$D$2:$D$11,MATCH(F2132,Produtos!$A$2:$A$11,0))</f>
        <v>249.9</v>
      </c>
      <c r="J2132" s="5" t="n">
        <f aca="false">H2132*I2132</f>
        <v>249.9</v>
      </c>
      <c r="K2132" s="5" t="n">
        <f aca="false">INDEX(Produtos!$E$2:$E$11,MATCH(F2132,Produtos!$A$2:$A$11,0))</f>
        <v>145</v>
      </c>
      <c r="L2132" s="5" t="n">
        <f aca="false">H2132*K2132</f>
        <v>145</v>
      </c>
    </row>
    <row r="2133" customFormat="false" ht="15" hidden="false" customHeight="false" outlineLevel="0" collapsed="false">
      <c r="A2133" s="2" t="s">
        <v>2415</v>
      </c>
      <c r="B2133" s="8" t="n">
        <v>46200</v>
      </c>
      <c r="C2133" s="2" t="s">
        <v>223</v>
      </c>
      <c r="D2133" s="3" t="str">
        <f aca="false">INDEX(Vendedores!$C$2:$C$101,MATCH(C2133,Vendedores!$A$2:$A$101,0))</f>
        <v>L09</v>
      </c>
      <c r="E2133" s="3" t="str">
        <f aca="false">INDEX(Lojas!$E$2:$E$11,MATCH(D2133,Lojas!$A$2:$A$11,0))</f>
        <v>Nordeste</v>
      </c>
      <c r="F2133" s="2" t="s">
        <v>270</v>
      </c>
      <c r="G2133" s="3" t="str">
        <f aca="false">INDEX(Produtos!$B$2:$B$11,MATCH(F2133,Produtos!$A$2:$A$11,0))&amp;" "&amp;INDEX(Produtos!$C$2:$C$11,MATCH(F2133,Produtos!$A$2:$A$11,0))</f>
        <v>Controle de Videogame Xbox</v>
      </c>
      <c r="H2133" s="2" t="n">
        <v>1</v>
      </c>
      <c r="I2133" s="5" t="n">
        <f aca="false">INDEX(Produtos!$D$2:$D$11,MATCH(F2133,Produtos!$A$2:$A$11,0))</f>
        <v>349.9</v>
      </c>
      <c r="J2133" s="5" t="n">
        <f aca="false">H2133*I2133</f>
        <v>349.9</v>
      </c>
      <c r="K2133" s="5" t="n">
        <f aca="false">INDEX(Produtos!$E$2:$E$11,MATCH(F2133,Produtos!$A$2:$A$11,0))</f>
        <v>215</v>
      </c>
      <c r="L2133" s="5" t="n">
        <f aca="false">H2133*K2133</f>
        <v>215</v>
      </c>
    </row>
    <row r="2134" customFormat="false" ht="15" hidden="false" customHeight="false" outlineLevel="0" collapsed="false">
      <c r="A2134" s="2" t="s">
        <v>2416</v>
      </c>
      <c r="B2134" s="8" t="n">
        <v>46200</v>
      </c>
      <c r="C2134" s="2" t="s">
        <v>170</v>
      </c>
      <c r="D2134" s="3" t="str">
        <f aca="false">INDEX(Vendedores!$C$2:$C$101,MATCH(C2134,Vendedores!$A$2:$A$101,0))</f>
        <v>L07</v>
      </c>
      <c r="E2134" s="3" t="str">
        <f aca="false">INDEX(Lojas!$E$2:$E$11,MATCH(D2134,Lojas!$A$2:$A$11,0))</f>
        <v>Sul</v>
      </c>
      <c r="F2134" s="2" t="s">
        <v>270</v>
      </c>
      <c r="G2134" s="3" t="str">
        <f aca="false">INDEX(Produtos!$B$2:$B$11,MATCH(F2134,Produtos!$A$2:$A$11,0))&amp;" "&amp;INDEX(Produtos!$C$2:$C$11,MATCH(F2134,Produtos!$A$2:$A$11,0))</f>
        <v>Controle de Videogame Xbox</v>
      </c>
      <c r="H2134" s="2" t="n">
        <v>2</v>
      </c>
      <c r="I2134" s="5" t="n">
        <f aca="false">INDEX(Produtos!$D$2:$D$11,MATCH(F2134,Produtos!$A$2:$A$11,0))</f>
        <v>349.9</v>
      </c>
      <c r="J2134" s="5" t="n">
        <f aca="false">H2134*I2134</f>
        <v>699.8</v>
      </c>
      <c r="K2134" s="5" t="n">
        <f aca="false">INDEX(Produtos!$E$2:$E$11,MATCH(F2134,Produtos!$A$2:$A$11,0))</f>
        <v>215</v>
      </c>
      <c r="L2134" s="5" t="n">
        <f aca="false">H2134*K2134</f>
        <v>430</v>
      </c>
    </row>
    <row r="2135" customFormat="false" ht="15" hidden="false" customHeight="false" outlineLevel="0" collapsed="false">
      <c r="A2135" s="2" t="s">
        <v>2417</v>
      </c>
      <c r="B2135" s="8" t="n">
        <v>46200</v>
      </c>
      <c r="C2135" s="2" t="s">
        <v>211</v>
      </c>
      <c r="D2135" s="3" t="str">
        <f aca="false">INDEX(Vendedores!$C$2:$C$101,MATCH(C2135,Vendedores!$A$2:$A$101,0))</f>
        <v>L09</v>
      </c>
      <c r="E2135" s="3" t="str">
        <f aca="false">INDEX(Lojas!$E$2:$E$11,MATCH(D2135,Lojas!$A$2:$A$11,0))</f>
        <v>Nordeste</v>
      </c>
      <c r="F2135" s="2" t="s">
        <v>270</v>
      </c>
      <c r="G2135" s="3" t="str">
        <f aca="false">INDEX(Produtos!$B$2:$B$11,MATCH(F2135,Produtos!$A$2:$A$11,0))&amp;" "&amp;INDEX(Produtos!$C$2:$C$11,MATCH(F2135,Produtos!$A$2:$A$11,0))</f>
        <v>Controle de Videogame Xbox</v>
      </c>
      <c r="H2135" s="2" t="n">
        <v>2</v>
      </c>
      <c r="I2135" s="5" t="n">
        <f aca="false">INDEX(Produtos!$D$2:$D$11,MATCH(F2135,Produtos!$A$2:$A$11,0))</f>
        <v>349.9</v>
      </c>
      <c r="J2135" s="5" t="n">
        <f aca="false">H2135*I2135</f>
        <v>699.8</v>
      </c>
      <c r="K2135" s="5" t="n">
        <f aca="false">INDEX(Produtos!$E$2:$E$11,MATCH(F2135,Produtos!$A$2:$A$11,0))</f>
        <v>215</v>
      </c>
      <c r="L2135" s="5" t="n">
        <f aca="false">H2135*K2135</f>
        <v>430</v>
      </c>
    </row>
    <row r="2136" customFormat="false" ht="15" hidden="false" customHeight="false" outlineLevel="0" collapsed="false">
      <c r="A2136" s="2" t="s">
        <v>2418</v>
      </c>
      <c r="B2136" s="8" t="n">
        <v>46200</v>
      </c>
      <c r="C2136" s="2" t="s">
        <v>158</v>
      </c>
      <c r="D2136" s="3" t="str">
        <f aca="false">INDEX(Vendedores!$C$2:$C$101,MATCH(C2136,Vendedores!$A$2:$A$101,0))</f>
        <v>L06</v>
      </c>
      <c r="E2136" s="3" t="str">
        <f aca="false">INDEX(Lojas!$E$2:$E$11,MATCH(D2136,Lojas!$A$2:$A$11,0))</f>
        <v>Sul</v>
      </c>
      <c r="F2136" s="2" t="s">
        <v>273</v>
      </c>
      <c r="G2136" s="3" t="str">
        <f aca="false">INDEX(Produtos!$B$2:$B$11,MATCH(F2136,Produtos!$A$2:$A$11,0))&amp;" "&amp;INDEX(Produtos!$C$2:$C$11,MATCH(F2136,Produtos!$A$2:$A$11,0))</f>
        <v>Controle de Videogame PS4</v>
      </c>
      <c r="H2136" s="2" t="n">
        <v>2</v>
      </c>
      <c r="I2136" s="5" t="n">
        <f aca="false">INDEX(Produtos!$D$2:$D$11,MATCH(F2136,Produtos!$A$2:$A$11,0))</f>
        <v>299.9</v>
      </c>
      <c r="J2136" s="5" t="n">
        <f aca="false">H2136*I2136</f>
        <v>599.8</v>
      </c>
      <c r="K2136" s="5" t="n">
        <f aca="false">INDEX(Produtos!$E$2:$E$11,MATCH(F2136,Produtos!$A$2:$A$11,0))</f>
        <v>175</v>
      </c>
      <c r="L2136" s="5" t="n">
        <f aca="false">H2136*K2136</f>
        <v>350</v>
      </c>
    </row>
    <row r="2137" customFormat="false" ht="15" hidden="false" customHeight="false" outlineLevel="0" collapsed="false">
      <c r="A2137" s="2" t="s">
        <v>2419</v>
      </c>
      <c r="B2137" s="8" t="n">
        <v>46200</v>
      </c>
      <c r="C2137" s="2" t="s">
        <v>235</v>
      </c>
      <c r="D2137" s="3" t="str">
        <f aca="false">INDEX(Vendedores!$C$2:$C$101,MATCH(C2137,Vendedores!$A$2:$A$101,0))</f>
        <v>L10</v>
      </c>
      <c r="E2137" s="3" t="str">
        <f aca="false">INDEX(Lojas!$E$2:$E$11,MATCH(D2137,Lojas!$A$2:$A$11,0))</f>
        <v>Nordeste</v>
      </c>
      <c r="F2137" s="2" t="s">
        <v>267</v>
      </c>
      <c r="G2137" s="3" t="str">
        <f aca="false">INDEX(Produtos!$B$2:$B$11,MATCH(F2137,Produtos!$A$2:$A$11,0))&amp;" "&amp;INDEX(Produtos!$C$2:$C$11,MATCH(F2137,Produtos!$A$2:$A$11,0))</f>
        <v>Carregador de Celular Tipo C</v>
      </c>
      <c r="H2137" s="2" t="n">
        <v>1</v>
      </c>
      <c r="I2137" s="5" t="n">
        <f aca="false">INDEX(Produtos!$D$2:$D$11,MATCH(F2137,Produtos!$A$2:$A$11,0))</f>
        <v>44.9</v>
      </c>
      <c r="J2137" s="5" t="n">
        <f aca="false">H2137*I2137</f>
        <v>44.9</v>
      </c>
      <c r="K2137" s="5" t="n">
        <f aca="false">INDEX(Produtos!$E$2:$E$11,MATCH(F2137,Produtos!$A$2:$A$11,0))</f>
        <v>18</v>
      </c>
      <c r="L2137" s="5" t="n">
        <f aca="false">H2137*K2137</f>
        <v>18</v>
      </c>
    </row>
    <row r="2138" customFormat="false" ht="15" hidden="false" customHeight="false" outlineLevel="0" collapsed="false">
      <c r="A2138" s="2" t="s">
        <v>2420</v>
      </c>
      <c r="B2138" s="8" t="n">
        <v>46200</v>
      </c>
      <c r="C2138" s="2" t="s">
        <v>182</v>
      </c>
      <c r="D2138" s="3" t="str">
        <f aca="false">INDEX(Vendedores!$C$2:$C$101,MATCH(C2138,Vendedores!$A$2:$A$101,0))</f>
        <v>L07</v>
      </c>
      <c r="E2138" s="3" t="str">
        <f aca="false">INDEX(Lojas!$E$2:$E$11,MATCH(D2138,Lojas!$A$2:$A$11,0))</f>
        <v>Sul</v>
      </c>
      <c r="F2138" s="2" t="s">
        <v>275</v>
      </c>
      <c r="G2138" s="3" t="str">
        <f aca="false">INDEX(Produtos!$B$2:$B$11,MATCH(F2138,Produtos!$A$2:$A$11,0))&amp;" "&amp;INDEX(Produtos!$C$2:$C$11,MATCH(F2138,Produtos!$A$2:$A$11,0))</f>
        <v>Controle de Videogame PS5</v>
      </c>
      <c r="H2138" s="2" t="n">
        <v>1</v>
      </c>
      <c r="I2138" s="5" t="n">
        <f aca="false">INDEX(Produtos!$D$2:$D$11,MATCH(F2138,Produtos!$A$2:$A$11,0))</f>
        <v>379.9</v>
      </c>
      <c r="J2138" s="5" t="n">
        <f aca="false">H2138*I2138</f>
        <v>379.9</v>
      </c>
      <c r="K2138" s="5" t="n">
        <f aca="false">INDEX(Produtos!$E$2:$E$11,MATCH(F2138,Produtos!$A$2:$A$11,0))</f>
        <v>235</v>
      </c>
      <c r="L2138" s="5" t="n">
        <f aca="false">H2138*K2138</f>
        <v>235</v>
      </c>
    </row>
    <row r="2139" customFormat="false" ht="15" hidden="false" customHeight="false" outlineLevel="0" collapsed="false">
      <c r="A2139" s="2" t="s">
        <v>2421</v>
      </c>
      <c r="B2139" s="8" t="n">
        <v>46200</v>
      </c>
      <c r="C2139" s="2" t="s">
        <v>182</v>
      </c>
      <c r="D2139" s="3" t="str">
        <f aca="false">INDEX(Vendedores!$C$2:$C$101,MATCH(C2139,Vendedores!$A$2:$A$101,0))</f>
        <v>L07</v>
      </c>
      <c r="E2139" s="3" t="str">
        <f aca="false">INDEX(Lojas!$E$2:$E$11,MATCH(D2139,Lojas!$A$2:$A$11,0))</f>
        <v>Sul</v>
      </c>
      <c r="F2139" s="2" t="s">
        <v>260</v>
      </c>
      <c r="G2139" s="3" t="str">
        <f aca="false">INDEX(Produtos!$B$2:$B$11,MATCH(F2139,Produtos!$A$2:$A$11,0))&amp;" "&amp;INDEX(Produtos!$C$2:$C$11,MATCH(F2139,Produtos!$A$2:$A$11,0))</f>
        <v>Celular Motorola</v>
      </c>
      <c r="H2139" s="2" t="n">
        <v>2</v>
      </c>
      <c r="I2139" s="5" t="n">
        <f aca="false">INDEX(Produtos!$D$2:$D$11,MATCH(F2139,Produtos!$A$2:$A$11,0))</f>
        <v>1799</v>
      </c>
      <c r="J2139" s="5" t="n">
        <f aca="false">H2139*I2139</f>
        <v>3598</v>
      </c>
      <c r="K2139" s="5" t="n">
        <f aca="false">INDEX(Produtos!$E$2:$E$11,MATCH(F2139,Produtos!$A$2:$A$11,0))</f>
        <v>1250</v>
      </c>
      <c r="L2139" s="5" t="n">
        <f aca="false">H2139*K2139</f>
        <v>2500</v>
      </c>
    </row>
    <row r="2140" customFormat="false" ht="15" hidden="false" customHeight="false" outlineLevel="0" collapsed="false">
      <c r="A2140" s="2" t="s">
        <v>2422</v>
      </c>
      <c r="B2140" s="8" t="n">
        <v>46200</v>
      </c>
      <c r="C2140" s="2" t="s">
        <v>193</v>
      </c>
      <c r="D2140" s="3" t="str">
        <f aca="false">INDEX(Vendedores!$C$2:$C$101,MATCH(C2140,Vendedores!$A$2:$A$101,0))</f>
        <v>L08</v>
      </c>
      <c r="E2140" s="3" t="str">
        <f aca="false">INDEX(Lojas!$E$2:$E$11,MATCH(D2140,Lojas!$A$2:$A$11,0))</f>
        <v>Nordeste</v>
      </c>
      <c r="F2140" s="2" t="s">
        <v>267</v>
      </c>
      <c r="G2140" s="3" t="str">
        <f aca="false">INDEX(Produtos!$B$2:$B$11,MATCH(F2140,Produtos!$A$2:$A$11,0))&amp;" "&amp;INDEX(Produtos!$C$2:$C$11,MATCH(F2140,Produtos!$A$2:$A$11,0))</f>
        <v>Carregador de Celular Tipo C</v>
      </c>
      <c r="H2140" s="2" t="n">
        <v>1</v>
      </c>
      <c r="I2140" s="5" t="n">
        <f aca="false">INDEX(Produtos!$D$2:$D$11,MATCH(F2140,Produtos!$A$2:$A$11,0))</f>
        <v>44.9</v>
      </c>
      <c r="J2140" s="5" t="n">
        <f aca="false">H2140*I2140</f>
        <v>44.9</v>
      </c>
      <c r="K2140" s="5" t="n">
        <f aca="false">INDEX(Produtos!$E$2:$E$11,MATCH(F2140,Produtos!$A$2:$A$11,0))</f>
        <v>18</v>
      </c>
      <c r="L2140" s="5" t="n">
        <f aca="false">H2140*K2140</f>
        <v>18</v>
      </c>
    </row>
    <row r="2141" customFormat="false" ht="15" hidden="false" customHeight="false" outlineLevel="0" collapsed="false">
      <c r="A2141" s="2" t="s">
        <v>2423</v>
      </c>
      <c r="B2141" s="8" t="n">
        <v>46200</v>
      </c>
      <c r="C2141" s="2" t="s">
        <v>126</v>
      </c>
      <c r="D2141" s="3" t="str">
        <f aca="false">INDEX(Vendedores!$C$2:$C$101,MATCH(C2141,Vendedores!$A$2:$A$101,0))</f>
        <v>L04</v>
      </c>
      <c r="E2141" s="3" t="str">
        <f aca="false">INDEX(Lojas!$E$2:$E$11,MATCH(D2141,Lojas!$A$2:$A$11,0))</f>
        <v>Sudeste</v>
      </c>
      <c r="F2141" s="2" t="s">
        <v>265</v>
      </c>
      <c r="G2141" s="3" t="str">
        <f aca="false">INDEX(Produtos!$B$2:$B$11,MATCH(F2141,Produtos!$A$2:$A$11,0))&amp;" "&amp;INDEX(Produtos!$C$2:$C$11,MATCH(F2141,Produtos!$A$2:$A$11,0))</f>
        <v>Fone de Ouvido Headset</v>
      </c>
      <c r="H2141" s="2" t="n">
        <v>2</v>
      </c>
      <c r="I2141" s="5" t="n">
        <f aca="false">INDEX(Produtos!$D$2:$D$11,MATCH(F2141,Produtos!$A$2:$A$11,0))</f>
        <v>249.9</v>
      </c>
      <c r="J2141" s="5" t="n">
        <f aca="false">H2141*I2141</f>
        <v>499.8</v>
      </c>
      <c r="K2141" s="5" t="n">
        <f aca="false">INDEX(Produtos!$E$2:$E$11,MATCH(F2141,Produtos!$A$2:$A$11,0))</f>
        <v>145</v>
      </c>
      <c r="L2141" s="5" t="n">
        <f aca="false">H2141*K2141</f>
        <v>290</v>
      </c>
    </row>
    <row r="2142" customFormat="false" ht="15" hidden="false" customHeight="false" outlineLevel="0" collapsed="false">
      <c r="A2142" s="2" t="s">
        <v>2424</v>
      </c>
      <c r="B2142" s="8" t="n">
        <v>46200</v>
      </c>
      <c r="C2142" s="2" t="s">
        <v>154</v>
      </c>
      <c r="D2142" s="3" t="str">
        <f aca="false">INDEX(Vendedores!$C$2:$C$101,MATCH(C2142,Vendedores!$A$2:$A$101,0))</f>
        <v>L06</v>
      </c>
      <c r="E2142" s="3" t="str">
        <f aca="false">INDEX(Lojas!$E$2:$E$11,MATCH(D2142,Lojas!$A$2:$A$11,0))</f>
        <v>Sul</v>
      </c>
      <c r="F2142" s="2" t="s">
        <v>270</v>
      </c>
      <c r="G2142" s="3" t="str">
        <f aca="false">INDEX(Produtos!$B$2:$B$11,MATCH(F2142,Produtos!$A$2:$A$11,0))&amp;" "&amp;INDEX(Produtos!$C$2:$C$11,MATCH(F2142,Produtos!$A$2:$A$11,0))</f>
        <v>Controle de Videogame Xbox</v>
      </c>
      <c r="H2142" s="2" t="n">
        <v>2</v>
      </c>
      <c r="I2142" s="5" t="n">
        <f aca="false">INDEX(Produtos!$D$2:$D$11,MATCH(F2142,Produtos!$A$2:$A$11,0))</f>
        <v>349.9</v>
      </c>
      <c r="J2142" s="5" t="n">
        <f aca="false">H2142*I2142</f>
        <v>699.8</v>
      </c>
      <c r="K2142" s="5" t="n">
        <f aca="false">INDEX(Produtos!$E$2:$E$11,MATCH(F2142,Produtos!$A$2:$A$11,0))</f>
        <v>215</v>
      </c>
      <c r="L2142" s="5" t="n">
        <f aca="false">H2142*K2142</f>
        <v>430</v>
      </c>
    </row>
    <row r="2143" customFormat="false" ht="15" hidden="false" customHeight="false" outlineLevel="0" collapsed="false">
      <c r="A2143" s="2" t="s">
        <v>2425</v>
      </c>
      <c r="B2143" s="8" t="n">
        <v>46201</v>
      </c>
      <c r="C2143" s="2" t="s">
        <v>137</v>
      </c>
      <c r="D2143" s="3" t="str">
        <f aca="false">INDEX(Vendedores!$C$2:$C$101,MATCH(C2143,Vendedores!$A$2:$A$101,0))</f>
        <v>L05</v>
      </c>
      <c r="E2143" s="3" t="str">
        <f aca="false">INDEX(Lojas!$E$2:$E$11,MATCH(D2143,Lojas!$A$2:$A$11,0))</f>
        <v>Sul</v>
      </c>
      <c r="F2143" s="2" t="s">
        <v>262</v>
      </c>
      <c r="G2143" s="3" t="str">
        <f aca="false">INDEX(Produtos!$B$2:$B$11,MATCH(F2143,Produtos!$A$2:$A$11,0))&amp;" "&amp;INDEX(Produtos!$C$2:$C$11,MATCH(F2143,Produtos!$A$2:$A$11,0))</f>
        <v>Fone de Ouvido De Celular</v>
      </c>
      <c r="H2143" s="2" t="n">
        <v>1</v>
      </c>
      <c r="I2143" s="5" t="n">
        <f aca="false">INDEX(Produtos!$D$2:$D$11,MATCH(F2143,Produtos!$A$2:$A$11,0))</f>
        <v>59.9</v>
      </c>
      <c r="J2143" s="5" t="n">
        <f aca="false">H2143*I2143</f>
        <v>59.9</v>
      </c>
      <c r="K2143" s="5" t="n">
        <f aca="false">INDEX(Produtos!$E$2:$E$11,MATCH(F2143,Produtos!$A$2:$A$11,0))</f>
        <v>28</v>
      </c>
      <c r="L2143" s="5" t="n">
        <f aca="false">H2143*K2143</f>
        <v>28</v>
      </c>
    </row>
    <row r="2144" customFormat="false" ht="15" hidden="false" customHeight="false" outlineLevel="0" collapsed="false">
      <c r="A2144" s="2" t="s">
        <v>2426</v>
      </c>
      <c r="B2144" s="8" t="n">
        <v>46201</v>
      </c>
      <c r="C2144" s="2" t="s">
        <v>243</v>
      </c>
      <c r="D2144" s="3" t="str">
        <f aca="false">INDEX(Vendedores!$C$2:$C$101,MATCH(C2144,Vendedores!$A$2:$A$101,0))</f>
        <v>L10</v>
      </c>
      <c r="E2144" s="3" t="str">
        <f aca="false">INDEX(Lojas!$E$2:$E$11,MATCH(D2144,Lojas!$A$2:$A$11,0))</f>
        <v>Nordeste</v>
      </c>
      <c r="F2144" s="2" t="s">
        <v>265</v>
      </c>
      <c r="G2144" s="3" t="str">
        <f aca="false">INDEX(Produtos!$B$2:$B$11,MATCH(F2144,Produtos!$A$2:$A$11,0))&amp;" "&amp;INDEX(Produtos!$C$2:$C$11,MATCH(F2144,Produtos!$A$2:$A$11,0))</f>
        <v>Fone de Ouvido Headset</v>
      </c>
      <c r="H2144" s="2" t="n">
        <v>1</v>
      </c>
      <c r="I2144" s="5" t="n">
        <f aca="false">INDEX(Produtos!$D$2:$D$11,MATCH(F2144,Produtos!$A$2:$A$11,0))</f>
        <v>249.9</v>
      </c>
      <c r="J2144" s="5" t="n">
        <f aca="false">H2144*I2144</f>
        <v>249.9</v>
      </c>
      <c r="K2144" s="5" t="n">
        <f aca="false">INDEX(Produtos!$E$2:$E$11,MATCH(F2144,Produtos!$A$2:$A$11,0))</f>
        <v>145</v>
      </c>
      <c r="L2144" s="5" t="n">
        <f aca="false">H2144*K2144</f>
        <v>145</v>
      </c>
    </row>
    <row r="2145" customFormat="false" ht="15" hidden="false" customHeight="false" outlineLevel="0" collapsed="false">
      <c r="A2145" s="2" t="s">
        <v>2427</v>
      </c>
      <c r="B2145" s="8" t="n">
        <v>46201</v>
      </c>
      <c r="C2145" s="2" t="s">
        <v>178</v>
      </c>
      <c r="D2145" s="3" t="str">
        <f aca="false">INDEX(Vendedores!$C$2:$C$101,MATCH(C2145,Vendedores!$A$2:$A$101,0))</f>
        <v>L07</v>
      </c>
      <c r="E2145" s="3" t="str">
        <f aca="false">INDEX(Lojas!$E$2:$E$11,MATCH(D2145,Lojas!$A$2:$A$11,0))</f>
        <v>Sul</v>
      </c>
      <c r="F2145" s="2" t="s">
        <v>265</v>
      </c>
      <c r="G2145" s="3" t="str">
        <f aca="false">INDEX(Produtos!$B$2:$B$11,MATCH(F2145,Produtos!$A$2:$A$11,0))&amp;" "&amp;INDEX(Produtos!$C$2:$C$11,MATCH(F2145,Produtos!$A$2:$A$11,0))</f>
        <v>Fone de Ouvido Headset</v>
      </c>
      <c r="H2145" s="2" t="n">
        <v>1</v>
      </c>
      <c r="I2145" s="5" t="n">
        <f aca="false">INDEX(Produtos!$D$2:$D$11,MATCH(F2145,Produtos!$A$2:$A$11,0))</f>
        <v>249.9</v>
      </c>
      <c r="J2145" s="5" t="n">
        <f aca="false">H2145*I2145</f>
        <v>249.9</v>
      </c>
      <c r="K2145" s="5" t="n">
        <f aca="false">INDEX(Produtos!$E$2:$E$11,MATCH(F2145,Produtos!$A$2:$A$11,0))</f>
        <v>145</v>
      </c>
      <c r="L2145" s="5" t="n">
        <f aca="false">H2145*K2145</f>
        <v>145</v>
      </c>
    </row>
    <row r="2146" customFormat="false" ht="15" hidden="false" customHeight="false" outlineLevel="0" collapsed="false">
      <c r="A2146" s="2" t="s">
        <v>2428</v>
      </c>
      <c r="B2146" s="8" t="n">
        <v>46201</v>
      </c>
      <c r="C2146" s="2" t="s">
        <v>191</v>
      </c>
      <c r="D2146" s="3" t="str">
        <f aca="false">INDEX(Vendedores!$C$2:$C$101,MATCH(C2146,Vendedores!$A$2:$A$101,0))</f>
        <v>L08</v>
      </c>
      <c r="E2146" s="3" t="str">
        <f aca="false">INDEX(Lojas!$E$2:$E$11,MATCH(D2146,Lojas!$A$2:$A$11,0))</f>
        <v>Nordeste</v>
      </c>
      <c r="F2146" s="2" t="s">
        <v>267</v>
      </c>
      <c r="G2146" s="3" t="str">
        <f aca="false">INDEX(Produtos!$B$2:$B$11,MATCH(F2146,Produtos!$A$2:$A$11,0))&amp;" "&amp;INDEX(Produtos!$C$2:$C$11,MATCH(F2146,Produtos!$A$2:$A$11,0))</f>
        <v>Carregador de Celular Tipo C</v>
      </c>
      <c r="H2146" s="2" t="n">
        <v>1</v>
      </c>
      <c r="I2146" s="5" t="n">
        <f aca="false">INDEX(Produtos!$D$2:$D$11,MATCH(F2146,Produtos!$A$2:$A$11,0))</f>
        <v>44.9</v>
      </c>
      <c r="J2146" s="5" t="n">
        <f aca="false">H2146*I2146</f>
        <v>44.9</v>
      </c>
      <c r="K2146" s="5" t="n">
        <f aca="false">INDEX(Produtos!$E$2:$E$11,MATCH(F2146,Produtos!$A$2:$A$11,0))</f>
        <v>18</v>
      </c>
      <c r="L2146" s="5" t="n">
        <f aca="false">H2146*K2146</f>
        <v>18</v>
      </c>
    </row>
    <row r="2147" customFormat="false" ht="15" hidden="false" customHeight="false" outlineLevel="0" collapsed="false">
      <c r="A2147" s="2" t="s">
        <v>2429</v>
      </c>
      <c r="B2147" s="8" t="n">
        <v>46201</v>
      </c>
      <c r="C2147" s="2" t="s">
        <v>185</v>
      </c>
      <c r="D2147" s="3" t="str">
        <f aca="false">INDEX(Vendedores!$C$2:$C$101,MATCH(C2147,Vendedores!$A$2:$A$101,0))</f>
        <v>L08</v>
      </c>
      <c r="E2147" s="3" t="str">
        <f aca="false">INDEX(Lojas!$E$2:$E$11,MATCH(D2147,Lojas!$A$2:$A$11,0))</f>
        <v>Nordeste</v>
      </c>
      <c r="F2147" s="2" t="s">
        <v>260</v>
      </c>
      <c r="G2147" s="3" t="str">
        <f aca="false">INDEX(Produtos!$B$2:$B$11,MATCH(F2147,Produtos!$A$2:$A$11,0))&amp;" "&amp;INDEX(Produtos!$C$2:$C$11,MATCH(F2147,Produtos!$A$2:$A$11,0))</f>
        <v>Celular Motorola</v>
      </c>
      <c r="H2147" s="2" t="n">
        <v>1</v>
      </c>
      <c r="I2147" s="5" t="n">
        <f aca="false">INDEX(Produtos!$D$2:$D$11,MATCH(F2147,Produtos!$A$2:$A$11,0))</f>
        <v>1799</v>
      </c>
      <c r="J2147" s="5" t="n">
        <f aca="false">H2147*I2147</f>
        <v>1799</v>
      </c>
      <c r="K2147" s="5" t="n">
        <f aca="false">INDEX(Produtos!$E$2:$E$11,MATCH(F2147,Produtos!$A$2:$A$11,0))</f>
        <v>1250</v>
      </c>
      <c r="L2147" s="5" t="n">
        <f aca="false">H2147*K2147</f>
        <v>1250</v>
      </c>
    </row>
    <row r="2148" customFormat="false" ht="15" hidden="false" customHeight="false" outlineLevel="0" collapsed="false">
      <c r="A2148" s="2" t="s">
        <v>2430</v>
      </c>
      <c r="B2148" s="8" t="n">
        <v>46201</v>
      </c>
      <c r="C2148" s="2" t="s">
        <v>182</v>
      </c>
      <c r="D2148" s="3" t="str">
        <f aca="false">INDEX(Vendedores!$C$2:$C$101,MATCH(C2148,Vendedores!$A$2:$A$101,0))</f>
        <v>L07</v>
      </c>
      <c r="E2148" s="3" t="str">
        <f aca="false">INDEX(Lojas!$E$2:$E$11,MATCH(D2148,Lojas!$A$2:$A$11,0))</f>
        <v>Sul</v>
      </c>
      <c r="F2148" s="2" t="s">
        <v>255</v>
      </c>
      <c r="G2148" s="3" t="str">
        <f aca="false">INDEX(Produtos!$B$2:$B$11,MATCH(F2148,Produtos!$A$2:$A$11,0))&amp;" "&amp;INDEX(Produtos!$C$2:$C$11,MATCH(F2148,Produtos!$A$2:$A$11,0))</f>
        <v>Notebook Positivo</v>
      </c>
      <c r="H2148" s="2" t="n">
        <v>1</v>
      </c>
      <c r="I2148" s="5" t="n">
        <f aca="false">INDEX(Produtos!$D$2:$D$11,MATCH(F2148,Produtos!$A$2:$A$11,0))</f>
        <v>2199</v>
      </c>
      <c r="J2148" s="5" t="n">
        <f aca="false">H2148*I2148</f>
        <v>2199</v>
      </c>
      <c r="K2148" s="5" t="n">
        <f aca="false">INDEX(Produtos!$E$2:$E$11,MATCH(F2148,Produtos!$A$2:$A$11,0))</f>
        <v>1550</v>
      </c>
      <c r="L2148" s="5" t="n">
        <f aca="false">H2148*K2148</f>
        <v>1550</v>
      </c>
    </row>
    <row r="2149" customFormat="false" ht="15" hidden="false" customHeight="false" outlineLevel="0" collapsed="false">
      <c r="A2149" s="2" t="s">
        <v>2431</v>
      </c>
      <c r="B2149" s="8" t="n">
        <v>46201</v>
      </c>
      <c r="C2149" s="2" t="s">
        <v>156</v>
      </c>
      <c r="D2149" s="3" t="str">
        <f aca="false">INDEX(Vendedores!$C$2:$C$101,MATCH(C2149,Vendedores!$A$2:$A$101,0))</f>
        <v>L06</v>
      </c>
      <c r="E2149" s="3" t="str">
        <f aca="false">INDEX(Lojas!$E$2:$E$11,MATCH(D2149,Lojas!$A$2:$A$11,0))</f>
        <v>Sul</v>
      </c>
      <c r="F2149" s="2" t="s">
        <v>275</v>
      </c>
      <c r="G2149" s="3" t="str">
        <f aca="false">INDEX(Produtos!$B$2:$B$11,MATCH(F2149,Produtos!$A$2:$A$11,0))&amp;" "&amp;INDEX(Produtos!$C$2:$C$11,MATCH(F2149,Produtos!$A$2:$A$11,0))</f>
        <v>Controle de Videogame PS5</v>
      </c>
      <c r="H2149" s="2" t="n">
        <v>1</v>
      </c>
      <c r="I2149" s="5" t="n">
        <f aca="false">INDEX(Produtos!$D$2:$D$11,MATCH(F2149,Produtos!$A$2:$A$11,0))</f>
        <v>379.9</v>
      </c>
      <c r="J2149" s="5" t="n">
        <f aca="false">H2149*I2149</f>
        <v>379.9</v>
      </c>
      <c r="K2149" s="5" t="n">
        <f aca="false">INDEX(Produtos!$E$2:$E$11,MATCH(F2149,Produtos!$A$2:$A$11,0))</f>
        <v>235</v>
      </c>
      <c r="L2149" s="5" t="n">
        <f aca="false">H2149*K2149</f>
        <v>235</v>
      </c>
    </row>
    <row r="2150" customFormat="false" ht="15" hidden="false" customHeight="false" outlineLevel="0" collapsed="false">
      <c r="A2150" s="2" t="s">
        <v>2432</v>
      </c>
      <c r="B2150" s="8" t="n">
        <v>46201</v>
      </c>
      <c r="C2150" s="2" t="s">
        <v>144</v>
      </c>
      <c r="D2150" s="3" t="str">
        <f aca="false">INDEX(Vendedores!$C$2:$C$101,MATCH(C2150,Vendedores!$A$2:$A$101,0))</f>
        <v>L05</v>
      </c>
      <c r="E2150" s="3" t="str">
        <f aca="false">INDEX(Lojas!$E$2:$E$11,MATCH(D2150,Lojas!$A$2:$A$11,0))</f>
        <v>Sul</v>
      </c>
      <c r="F2150" s="2" t="s">
        <v>270</v>
      </c>
      <c r="G2150" s="3" t="str">
        <f aca="false">INDEX(Produtos!$B$2:$B$11,MATCH(F2150,Produtos!$A$2:$A$11,0))&amp;" "&amp;INDEX(Produtos!$C$2:$C$11,MATCH(F2150,Produtos!$A$2:$A$11,0))</f>
        <v>Controle de Videogame Xbox</v>
      </c>
      <c r="H2150" s="2" t="n">
        <v>3</v>
      </c>
      <c r="I2150" s="5" t="n">
        <f aca="false">INDEX(Produtos!$D$2:$D$11,MATCH(F2150,Produtos!$A$2:$A$11,0))</f>
        <v>349.9</v>
      </c>
      <c r="J2150" s="5" t="n">
        <f aca="false">H2150*I2150</f>
        <v>1049.7</v>
      </c>
      <c r="K2150" s="5" t="n">
        <f aca="false">INDEX(Produtos!$E$2:$E$11,MATCH(F2150,Produtos!$A$2:$A$11,0))</f>
        <v>215</v>
      </c>
      <c r="L2150" s="5" t="n">
        <f aca="false">H2150*K2150</f>
        <v>645</v>
      </c>
    </row>
    <row r="2151" customFormat="false" ht="15" hidden="false" customHeight="false" outlineLevel="0" collapsed="false">
      <c r="A2151" s="2" t="s">
        <v>2433</v>
      </c>
      <c r="B2151" s="8" t="n">
        <v>46201</v>
      </c>
      <c r="C2151" s="2" t="s">
        <v>231</v>
      </c>
      <c r="D2151" s="3" t="str">
        <f aca="false">INDEX(Vendedores!$C$2:$C$101,MATCH(C2151,Vendedores!$A$2:$A$101,0))</f>
        <v>L10</v>
      </c>
      <c r="E2151" s="3" t="str">
        <f aca="false">INDEX(Lojas!$E$2:$E$11,MATCH(D2151,Lojas!$A$2:$A$11,0))</f>
        <v>Nordeste</v>
      </c>
      <c r="F2151" s="2" t="s">
        <v>255</v>
      </c>
      <c r="G2151" s="3" t="str">
        <f aca="false">INDEX(Produtos!$B$2:$B$11,MATCH(F2151,Produtos!$A$2:$A$11,0))&amp;" "&amp;INDEX(Produtos!$C$2:$C$11,MATCH(F2151,Produtos!$A$2:$A$11,0))</f>
        <v>Notebook Positivo</v>
      </c>
      <c r="H2151" s="2" t="n">
        <v>3</v>
      </c>
      <c r="I2151" s="5" t="n">
        <f aca="false">INDEX(Produtos!$D$2:$D$11,MATCH(F2151,Produtos!$A$2:$A$11,0))</f>
        <v>2199</v>
      </c>
      <c r="J2151" s="5" t="n">
        <f aca="false">H2151*I2151</f>
        <v>6597</v>
      </c>
      <c r="K2151" s="5" t="n">
        <f aca="false">INDEX(Produtos!$E$2:$E$11,MATCH(F2151,Produtos!$A$2:$A$11,0))</f>
        <v>1550</v>
      </c>
      <c r="L2151" s="5" t="n">
        <f aca="false">H2151*K2151</f>
        <v>4650</v>
      </c>
    </row>
    <row r="2152" customFormat="false" ht="15" hidden="false" customHeight="false" outlineLevel="0" collapsed="false">
      <c r="A2152" s="2" t="s">
        <v>2434</v>
      </c>
      <c r="B2152" s="8" t="n">
        <v>46201</v>
      </c>
      <c r="C2152" s="2" t="s">
        <v>178</v>
      </c>
      <c r="D2152" s="3" t="str">
        <f aca="false">INDEX(Vendedores!$C$2:$C$101,MATCH(C2152,Vendedores!$A$2:$A$101,0))</f>
        <v>L07</v>
      </c>
      <c r="E2152" s="3" t="str">
        <f aca="false">INDEX(Lojas!$E$2:$E$11,MATCH(D2152,Lojas!$A$2:$A$11,0))</f>
        <v>Sul</v>
      </c>
      <c r="F2152" s="2" t="s">
        <v>262</v>
      </c>
      <c r="G2152" s="3" t="str">
        <f aca="false">INDEX(Produtos!$B$2:$B$11,MATCH(F2152,Produtos!$A$2:$A$11,0))&amp;" "&amp;INDEX(Produtos!$C$2:$C$11,MATCH(F2152,Produtos!$A$2:$A$11,0))</f>
        <v>Fone de Ouvido De Celular</v>
      </c>
      <c r="H2152" s="2" t="n">
        <v>1</v>
      </c>
      <c r="I2152" s="5" t="n">
        <f aca="false">INDEX(Produtos!$D$2:$D$11,MATCH(F2152,Produtos!$A$2:$A$11,0))</f>
        <v>59.9</v>
      </c>
      <c r="J2152" s="5" t="n">
        <f aca="false">H2152*I2152</f>
        <v>59.9</v>
      </c>
      <c r="K2152" s="5" t="n">
        <f aca="false">INDEX(Produtos!$E$2:$E$11,MATCH(F2152,Produtos!$A$2:$A$11,0))</f>
        <v>28</v>
      </c>
      <c r="L2152" s="5" t="n">
        <f aca="false">H2152*K2152</f>
        <v>28</v>
      </c>
    </row>
    <row r="2153" customFormat="false" ht="15" hidden="false" customHeight="false" outlineLevel="0" collapsed="false">
      <c r="A2153" s="2" t="s">
        <v>2435</v>
      </c>
      <c r="B2153" s="8" t="n">
        <v>46201</v>
      </c>
      <c r="C2153" s="2" t="s">
        <v>158</v>
      </c>
      <c r="D2153" s="3" t="str">
        <f aca="false">INDEX(Vendedores!$C$2:$C$101,MATCH(C2153,Vendedores!$A$2:$A$101,0))</f>
        <v>L06</v>
      </c>
      <c r="E2153" s="3" t="str">
        <f aca="false">INDEX(Lojas!$E$2:$E$11,MATCH(D2153,Lojas!$A$2:$A$11,0))</f>
        <v>Sul</v>
      </c>
      <c r="F2153" s="2" t="s">
        <v>270</v>
      </c>
      <c r="G2153" s="3" t="str">
        <f aca="false">INDEX(Produtos!$B$2:$B$11,MATCH(F2153,Produtos!$A$2:$A$11,0))&amp;" "&amp;INDEX(Produtos!$C$2:$C$11,MATCH(F2153,Produtos!$A$2:$A$11,0))</f>
        <v>Controle de Videogame Xbox</v>
      </c>
      <c r="H2153" s="2" t="n">
        <v>2</v>
      </c>
      <c r="I2153" s="5" t="n">
        <f aca="false">INDEX(Produtos!$D$2:$D$11,MATCH(F2153,Produtos!$A$2:$A$11,0))</f>
        <v>349.9</v>
      </c>
      <c r="J2153" s="5" t="n">
        <f aca="false">H2153*I2153</f>
        <v>699.8</v>
      </c>
      <c r="K2153" s="5" t="n">
        <f aca="false">INDEX(Produtos!$E$2:$E$11,MATCH(F2153,Produtos!$A$2:$A$11,0))</f>
        <v>215</v>
      </c>
      <c r="L2153" s="5" t="n">
        <f aca="false">H2153*K2153</f>
        <v>430</v>
      </c>
    </row>
    <row r="2154" customFormat="false" ht="15" hidden="false" customHeight="false" outlineLevel="0" collapsed="false">
      <c r="A2154" s="2" t="s">
        <v>2436</v>
      </c>
      <c r="B2154" s="8" t="n">
        <v>46201</v>
      </c>
      <c r="C2154" s="2" t="s">
        <v>193</v>
      </c>
      <c r="D2154" s="3" t="str">
        <f aca="false">INDEX(Vendedores!$C$2:$C$101,MATCH(C2154,Vendedores!$A$2:$A$101,0))</f>
        <v>L08</v>
      </c>
      <c r="E2154" s="3" t="str">
        <f aca="false">INDEX(Lojas!$E$2:$E$11,MATCH(D2154,Lojas!$A$2:$A$11,0))</f>
        <v>Nordeste</v>
      </c>
      <c r="F2154" s="2" t="s">
        <v>267</v>
      </c>
      <c r="G2154" s="3" t="str">
        <f aca="false">INDEX(Produtos!$B$2:$B$11,MATCH(F2154,Produtos!$A$2:$A$11,0))&amp;" "&amp;INDEX(Produtos!$C$2:$C$11,MATCH(F2154,Produtos!$A$2:$A$11,0))</f>
        <v>Carregador de Celular Tipo C</v>
      </c>
      <c r="H2154" s="2" t="n">
        <v>1</v>
      </c>
      <c r="I2154" s="5" t="n">
        <f aca="false">INDEX(Produtos!$D$2:$D$11,MATCH(F2154,Produtos!$A$2:$A$11,0))</f>
        <v>44.9</v>
      </c>
      <c r="J2154" s="5" t="n">
        <f aca="false">H2154*I2154</f>
        <v>44.9</v>
      </c>
      <c r="K2154" s="5" t="n">
        <f aca="false">INDEX(Produtos!$E$2:$E$11,MATCH(F2154,Produtos!$A$2:$A$11,0))</f>
        <v>18</v>
      </c>
      <c r="L2154" s="5" t="n">
        <f aca="false">H2154*K2154</f>
        <v>18</v>
      </c>
    </row>
    <row r="2155" customFormat="false" ht="15" hidden="false" customHeight="false" outlineLevel="0" collapsed="false">
      <c r="A2155" s="2" t="s">
        <v>2437</v>
      </c>
      <c r="B2155" s="8" t="n">
        <v>46201</v>
      </c>
      <c r="C2155" s="2" t="s">
        <v>168</v>
      </c>
      <c r="D2155" s="3" t="str">
        <f aca="false">INDEX(Vendedores!$C$2:$C$101,MATCH(C2155,Vendedores!$A$2:$A$101,0))</f>
        <v>L07</v>
      </c>
      <c r="E2155" s="3" t="str">
        <f aca="false">INDEX(Lojas!$E$2:$E$11,MATCH(D2155,Lojas!$A$2:$A$11,0))</f>
        <v>Sul</v>
      </c>
      <c r="F2155" s="2" t="s">
        <v>255</v>
      </c>
      <c r="G2155" s="3" t="str">
        <f aca="false">INDEX(Produtos!$B$2:$B$11,MATCH(F2155,Produtos!$A$2:$A$11,0))&amp;" "&amp;INDEX(Produtos!$C$2:$C$11,MATCH(F2155,Produtos!$A$2:$A$11,0))</f>
        <v>Notebook Positivo</v>
      </c>
      <c r="H2155" s="2" t="n">
        <v>1</v>
      </c>
      <c r="I2155" s="5" t="n">
        <f aca="false">INDEX(Produtos!$D$2:$D$11,MATCH(F2155,Produtos!$A$2:$A$11,0))</f>
        <v>2199</v>
      </c>
      <c r="J2155" s="5" t="n">
        <f aca="false">H2155*I2155</f>
        <v>2199</v>
      </c>
      <c r="K2155" s="5" t="n">
        <f aca="false">INDEX(Produtos!$E$2:$E$11,MATCH(F2155,Produtos!$A$2:$A$11,0))</f>
        <v>1550</v>
      </c>
      <c r="L2155" s="5" t="n">
        <f aca="false">H2155*K2155</f>
        <v>1550</v>
      </c>
    </row>
    <row r="2156" customFormat="false" ht="15" hidden="false" customHeight="false" outlineLevel="0" collapsed="false">
      <c r="A2156" s="2" t="s">
        <v>2438</v>
      </c>
      <c r="B2156" s="8" t="n">
        <v>46201</v>
      </c>
      <c r="C2156" s="2" t="s">
        <v>205</v>
      </c>
      <c r="D2156" s="3" t="str">
        <f aca="false">INDEX(Vendedores!$C$2:$C$101,MATCH(C2156,Vendedores!$A$2:$A$101,0))</f>
        <v>L09</v>
      </c>
      <c r="E2156" s="3" t="str">
        <f aca="false">INDEX(Lojas!$E$2:$E$11,MATCH(D2156,Lojas!$A$2:$A$11,0))</f>
        <v>Nordeste</v>
      </c>
      <c r="F2156" s="2" t="s">
        <v>260</v>
      </c>
      <c r="G2156" s="3" t="str">
        <f aca="false">INDEX(Produtos!$B$2:$B$11,MATCH(F2156,Produtos!$A$2:$A$11,0))&amp;" "&amp;INDEX(Produtos!$C$2:$C$11,MATCH(F2156,Produtos!$A$2:$A$11,0))</f>
        <v>Celular Motorola</v>
      </c>
      <c r="H2156" s="2" t="n">
        <v>1</v>
      </c>
      <c r="I2156" s="5" t="n">
        <f aca="false">INDEX(Produtos!$D$2:$D$11,MATCH(F2156,Produtos!$A$2:$A$11,0))</f>
        <v>1799</v>
      </c>
      <c r="J2156" s="5" t="n">
        <f aca="false">H2156*I2156</f>
        <v>1799</v>
      </c>
      <c r="K2156" s="5" t="n">
        <f aca="false">INDEX(Produtos!$E$2:$E$11,MATCH(F2156,Produtos!$A$2:$A$11,0))</f>
        <v>1250</v>
      </c>
      <c r="L2156" s="5" t="n">
        <f aca="false">H2156*K2156</f>
        <v>1250</v>
      </c>
    </row>
    <row r="2157" customFormat="false" ht="15" hidden="false" customHeight="false" outlineLevel="0" collapsed="false">
      <c r="A2157" s="2" t="s">
        <v>2439</v>
      </c>
      <c r="B2157" s="8" t="n">
        <v>46202</v>
      </c>
      <c r="C2157" s="2" t="s">
        <v>88</v>
      </c>
      <c r="D2157" s="3" t="str">
        <f aca="false">INDEX(Vendedores!$C$2:$C$101,MATCH(C2157,Vendedores!$A$2:$A$101,0))</f>
        <v>L02</v>
      </c>
      <c r="E2157" s="3" t="str">
        <f aca="false">INDEX(Lojas!$E$2:$E$11,MATCH(D2157,Lojas!$A$2:$A$11,0))</f>
        <v>Sudeste</v>
      </c>
      <c r="F2157" s="2" t="s">
        <v>252</v>
      </c>
      <c r="G2157" s="3" t="str">
        <f aca="false">INDEX(Produtos!$B$2:$B$11,MATCH(F2157,Produtos!$A$2:$A$11,0))&amp;" "&amp;INDEX(Produtos!$C$2:$C$11,MATCH(F2157,Produtos!$A$2:$A$11,0))</f>
        <v>Notebook Lenovo</v>
      </c>
      <c r="H2157" s="2" t="n">
        <v>1</v>
      </c>
      <c r="I2157" s="5" t="n">
        <f aca="false">INDEX(Produtos!$D$2:$D$11,MATCH(F2157,Produtos!$A$2:$A$11,0))</f>
        <v>3199</v>
      </c>
      <c r="J2157" s="5" t="n">
        <f aca="false">H2157*I2157</f>
        <v>3199</v>
      </c>
      <c r="K2157" s="5" t="n">
        <f aca="false">INDEX(Produtos!$E$2:$E$11,MATCH(F2157,Produtos!$A$2:$A$11,0))</f>
        <v>2350</v>
      </c>
      <c r="L2157" s="5" t="n">
        <f aca="false">H2157*K2157</f>
        <v>2350</v>
      </c>
    </row>
    <row r="2158" customFormat="false" ht="15" hidden="false" customHeight="false" outlineLevel="0" collapsed="false">
      <c r="A2158" s="2" t="s">
        <v>2440</v>
      </c>
      <c r="B2158" s="8" t="n">
        <v>46202</v>
      </c>
      <c r="C2158" s="2" t="s">
        <v>193</v>
      </c>
      <c r="D2158" s="3" t="str">
        <f aca="false">INDEX(Vendedores!$C$2:$C$101,MATCH(C2158,Vendedores!$A$2:$A$101,0))</f>
        <v>L08</v>
      </c>
      <c r="E2158" s="3" t="str">
        <f aca="false">INDEX(Lojas!$E$2:$E$11,MATCH(D2158,Lojas!$A$2:$A$11,0))</f>
        <v>Nordeste</v>
      </c>
      <c r="F2158" s="2" t="s">
        <v>260</v>
      </c>
      <c r="G2158" s="3" t="str">
        <f aca="false">INDEX(Produtos!$B$2:$B$11,MATCH(F2158,Produtos!$A$2:$A$11,0))&amp;" "&amp;INDEX(Produtos!$C$2:$C$11,MATCH(F2158,Produtos!$A$2:$A$11,0))</f>
        <v>Celular Motorola</v>
      </c>
      <c r="H2158" s="2" t="n">
        <v>2</v>
      </c>
      <c r="I2158" s="5" t="n">
        <f aca="false">INDEX(Produtos!$D$2:$D$11,MATCH(F2158,Produtos!$A$2:$A$11,0))</f>
        <v>1799</v>
      </c>
      <c r="J2158" s="5" t="n">
        <f aca="false">H2158*I2158</f>
        <v>3598</v>
      </c>
      <c r="K2158" s="5" t="n">
        <f aca="false">INDEX(Produtos!$E$2:$E$11,MATCH(F2158,Produtos!$A$2:$A$11,0))</f>
        <v>1250</v>
      </c>
      <c r="L2158" s="5" t="n">
        <f aca="false">H2158*K2158</f>
        <v>2500</v>
      </c>
    </row>
    <row r="2159" customFormat="false" ht="15" hidden="false" customHeight="false" outlineLevel="0" collapsed="false">
      <c r="A2159" s="2" t="s">
        <v>2441</v>
      </c>
      <c r="B2159" s="8" t="n">
        <v>46202</v>
      </c>
      <c r="C2159" s="2" t="s">
        <v>172</v>
      </c>
      <c r="D2159" s="3" t="str">
        <f aca="false">INDEX(Vendedores!$C$2:$C$101,MATCH(C2159,Vendedores!$A$2:$A$101,0))</f>
        <v>L07</v>
      </c>
      <c r="E2159" s="3" t="str">
        <f aca="false">INDEX(Lojas!$E$2:$E$11,MATCH(D2159,Lojas!$A$2:$A$11,0))</f>
        <v>Sul</v>
      </c>
      <c r="F2159" s="2" t="s">
        <v>262</v>
      </c>
      <c r="G2159" s="3" t="str">
        <f aca="false">INDEX(Produtos!$B$2:$B$11,MATCH(F2159,Produtos!$A$2:$A$11,0))&amp;" "&amp;INDEX(Produtos!$C$2:$C$11,MATCH(F2159,Produtos!$A$2:$A$11,0))</f>
        <v>Fone de Ouvido De Celular</v>
      </c>
      <c r="H2159" s="2" t="n">
        <v>1</v>
      </c>
      <c r="I2159" s="5" t="n">
        <f aca="false">INDEX(Produtos!$D$2:$D$11,MATCH(F2159,Produtos!$A$2:$A$11,0))</f>
        <v>59.9</v>
      </c>
      <c r="J2159" s="5" t="n">
        <f aca="false">H2159*I2159</f>
        <v>59.9</v>
      </c>
      <c r="K2159" s="5" t="n">
        <f aca="false">INDEX(Produtos!$E$2:$E$11,MATCH(F2159,Produtos!$A$2:$A$11,0))</f>
        <v>28</v>
      </c>
      <c r="L2159" s="5" t="n">
        <f aca="false">H2159*K2159</f>
        <v>28</v>
      </c>
    </row>
    <row r="2160" customFormat="false" ht="15" hidden="false" customHeight="false" outlineLevel="0" collapsed="false">
      <c r="A2160" s="2" t="s">
        <v>2442</v>
      </c>
      <c r="B2160" s="8" t="n">
        <v>46202</v>
      </c>
      <c r="C2160" s="2" t="s">
        <v>94</v>
      </c>
      <c r="D2160" s="3" t="str">
        <f aca="false">INDEX(Vendedores!$C$2:$C$101,MATCH(C2160,Vendedores!$A$2:$A$101,0))</f>
        <v>L03</v>
      </c>
      <c r="E2160" s="3" t="str">
        <f aca="false">INDEX(Lojas!$E$2:$E$11,MATCH(D2160,Lojas!$A$2:$A$11,0))</f>
        <v>Sudeste</v>
      </c>
      <c r="F2160" s="2" t="s">
        <v>257</v>
      </c>
      <c r="G2160" s="3" t="str">
        <f aca="false">INDEX(Produtos!$B$2:$B$11,MATCH(F2160,Produtos!$A$2:$A$11,0))&amp;" "&amp;INDEX(Produtos!$C$2:$C$11,MATCH(F2160,Produtos!$A$2:$A$11,0))</f>
        <v>Celular Samsung</v>
      </c>
      <c r="H2160" s="2" t="n">
        <v>1</v>
      </c>
      <c r="I2160" s="5" t="n">
        <f aca="false">INDEX(Produtos!$D$2:$D$11,MATCH(F2160,Produtos!$A$2:$A$11,0))</f>
        <v>2499</v>
      </c>
      <c r="J2160" s="5" t="n">
        <f aca="false">H2160*I2160</f>
        <v>2499</v>
      </c>
      <c r="K2160" s="5" t="n">
        <f aca="false">INDEX(Produtos!$E$2:$E$11,MATCH(F2160,Produtos!$A$2:$A$11,0))</f>
        <v>1800</v>
      </c>
      <c r="L2160" s="5" t="n">
        <f aca="false">H2160*K2160</f>
        <v>1800</v>
      </c>
    </row>
    <row r="2161" customFormat="false" ht="15" hidden="false" customHeight="false" outlineLevel="0" collapsed="false">
      <c r="A2161" s="2" t="s">
        <v>2443</v>
      </c>
      <c r="B2161" s="8" t="n">
        <v>46202</v>
      </c>
      <c r="C2161" s="2" t="s">
        <v>138</v>
      </c>
      <c r="D2161" s="3" t="str">
        <f aca="false">INDEX(Vendedores!$C$2:$C$101,MATCH(C2161,Vendedores!$A$2:$A$101,0))</f>
        <v>L05</v>
      </c>
      <c r="E2161" s="3" t="str">
        <f aca="false">INDEX(Lojas!$E$2:$E$11,MATCH(D2161,Lojas!$A$2:$A$11,0))</f>
        <v>Sul</v>
      </c>
      <c r="F2161" s="2" t="s">
        <v>267</v>
      </c>
      <c r="G2161" s="3" t="str">
        <f aca="false">INDEX(Produtos!$B$2:$B$11,MATCH(F2161,Produtos!$A$2:$A$11,0))&amp;" "&amp;INDEX(Produtos!$C$2:$C$11,MATCH(F2161,Produtos!$A$2:$A$11,0))</f>
        <v>Carregador de Celular Tipo C</v>
      </c>
      <c r="H2161" s="2" t="n">
        <v>2</v>
      </c>
      <c r="I2161" s="5" t="n">
        <f aca="false">INDEX(Produtos!$D$2:$D$11,MATCH(F2161,Produtos!$A$2:$A$11,0))</f>
        <v>44.9</v>
      </c>
      <c r="J2161" s="5" t="n">
        <f aca="false">H2161*I2161</f>
        <v>89.8</v>
      </c>
      <c r="K2161" s="5" t="n">
        <f aca="false">INDEX(Produtos!$E$2:$E$11,MATCH(F2161,Produtos!$A$2:$A$11,0))</f>
        <v>18</v>
      </c>
      <c r="L2161" s="5" t="n">
        <f aca="false">H2161*K2161</f>
        <v>36</v>
      </c>
    </row>
    <row r="2162" customFormat="false" ht="15" hidden="false" customHeight="false" outlineLevel="0" collapsed="false">
      <c r="A2162" s="2" t="s">
        <v>2444</v>
      </c>
      <c r="B2162" s="8" t="n">
        <v>46202</v>
      </c>
      <c r="C2162" s="2" t="s">
        <v>96</v>
      </c>
      <c r="D2162" s="3" t="str">
        <f aca="false">INDEX(Vendedores!$C$2:$C$101,MATCH(C2162,Vendedores!$A$2:$A$101,0))</f>
        <v>L03</v>
      </c>
      <c r="E2162" s="3" t="str">
        <f aca="false">INDEX(Lojas!$E$2:$E$11,MATCH(D2162,Lojas!$A$2:$A$11,0))</f>
        <v>Sudeste</v>
      </c>
      <c r="F2162" s="2" t="s">
        <v>260</v>
      </c>
      <c r="G2162" s="3" t="str">
        <f aca="false">INDEX(Produtos!$B$2:$B$11,MATCH(F2162,Produtos!$A$2:$A$11,0))&amp;" "&amp;INDEX(Produtos!$C$2:$C$11,MATCH(F2162,Produtos!$A$2:$A$11,0))</f>
        <v>Celular Motorola</v>
      </c>
      <c r="H2162" s="2" t="n">
        <v>2</v>
      </c>
      <c r="I2162" s="5" t="n">
        <f aca="false">INDEX(Produtos!$D$2:$D$11,MATCH(F2162,Produtos!$A$2:$A$11,0))</f>
        <v>1799</v>
      </c>
      <c r="J2162" s="5" t="n">
        <f aca="false">H2162*I2162</f>
        <v>3598</v>
      </c>
      <c r="K2162" s="5" t="n">
        <f aca="false">INDEX(Produtos!$E$2:$E$11,MATCH(F2162,Produtos!$A$2:$A$11,0))</f>
        <v>1250</v>
      </c>
      <c r="L2162" s="5" t="n">
        <f aca="false">H2162*K2162</f>
        <v>2500</v>
      </c>
    </row>
    <row r="2163" customFormat="false" ht="15" hidden="false" customHeight="false" outlineLevel="0" collapsed="false">
      <c r="A2163" s="2" t="s">
        <v>2445</v>
      </c>
      <c r="B2163" s="8" t="n">
        <v>46202</v>
      </c>
      <c r="C2163" s="2" t="s">
        <v>183</v>
      </c>
      <c r="D2163" s="3" t="str">
        <f aca="false">INDEX(Vendedores!$C$2:$C$101,MATCH(C2163,Vendedores!$A$2:$A$101,0))</f>
        <v>L07</v>
      </c>
      <c r="E2163" s="3" t="str">
        <f aca="false">INDEX(Lojas!$E$2:$E$11,MATCH(D2163,Lojas!$A$2:$A$11,0))</f>
        <v>Sul</v>
      </c>
      <c r="F2163" s="2" t="s">
        <v>257</v>
      </c>
      <c r="G2163" s="3" t="str">
        <f aca="false">INDEX(Produtos!$B$2:$B$11,MATCH(F2163,Produtos!$A$2:$A$11,0))&amp;" "&amp;INDEX(Produtos!$C$2:$C$11,MATCH(F2163,Produtos!$A$2:$A$11,0))</f>
        <v>Celular Samsung</v>
      </c>
      <c r="H2163" s="2" t="n">
        <v>1</v>
      </c>
      <c r="I2163" s="5" t="n">
        <f aca="false">INDEX(Produtos!$D$2:$D$11,MATCH(F2163,Produtos!$A$2:$A$11,0))</f>
        <v>2499</v>
      </c>
      <c r="J2163" s="5" t="n">
        <f aca="false">H2163*I2163</f>
        <v>2499</v>
      </c>
      <c r="K2163" s="5" t="n">
        <f aca="false">INDEX(Produtos!$E$2:$E$11,MATCH(F2163,Produtos!$A$2:$A$11,0))</f>
        <v>1800</v>
      </c>
      <c r="L2163" s="5" t="n">
        <f aca="false">H2163*K2163</f>
        <v>1800</v>
      </c>
    </row>
    <row r="2164" customFormat="false" ht="15" hidden="false" customHeight="false" outlineLevel="0" collapsed="false">
      <c r="A2164" s="2" t="s">
        <v>2446</v>
      </c>
      <c r="B2164" s="8" t="n">
        <v>46202</v>
      </c>
      <c r="C2164" s="2" t="s">
        <v>86</v>
      </c>
      <c r="D2164" s="3" t="str">
        <f aca="false">INDEX(Vendedores!$C$2:$C$101,MATCH(C2164,Vendedores!$A$2:$A$101,0))</f>
        <v>L02</v>
      </c>
      <c r="E2164" s="3" t="str">
        <f aca="false">INDEX(Lojas!$E$2:$E$11,MATCH(D2164,Lojas!$A$2:$A$11,0))</f>
        <v>Sudeste</v>
      </c>
      <c r="F2164" s="2" t="s">
        <v>252</v>
      </c>
      <c r="G2164" s="3" t="str">
        <f aca="false">INDEX(Produtos!$B$2:$B$11,MATCH(F2164,Produtos!$A$2:$A$11,0))&amp;" "&amp;INDEX(Produtos!$C$2:$C$11,MATCH(F2164,Produtos!$A$2:$A$11,0))</f>
        <v>Notebook Lenovo</v>
      </c>
      <c r="H2164" s="2" t="n">
        <v>2</v>
      </c>
      <c r="I2164" s="5" t="n">
        <f aca="false">INDEX(Produtos!$D$2:$D$11,MATCH(F2164,Produtos!$A$2:$A$11,0))</f>
        <v>3199</v>
      </c>
      <c r="J2164" s="5" t="n">
        <f aca="false">H2164*I2164</f>
        <v>6398</v>
      </c>
      <c r="K2164" s="5" t="n">
        <f aca="false">INDEX(Produtos!$E$2:$E$11,MATCH(F2164,Produtos!$A$2:$A$11,0))</f>
        <v>2350</v>
      </c>
      <c r="L2164" s="5" t="n">
        <f aca="false">H2164*K2164</f>
        <v>4700</v>
      </c>
    </row>
    <row r="2165" customFormat="false" ht="15" hidden="false" customHeight="false" outlineLevel="0" collapsed="false">
      <c r="A2165" s="2" t="s">
        <v>2447</v>
      </c>
      <c r="B2165" s="8" t="n">
        <v>46202</v>
      </c>
      <c r="C2165" s="2" t="s">
        <v>126</v>
      </c>
      <c r="D2165" s="3" t="str">
        <f aca="false">INDEX(Vendedores!$C$2:$C$101,MATCH(C2165,Vendedores!$A$2:$A$101,0))</f>
        <v>L04</v>
      </c>
      <c r="E2165" s="3" t="str">
        <f aca="false">INDEX(Lojas!$E$2:$E$11,MATCH(D2165,Lojas!$A$2:$A$11,0))</f>
        <v>Sudeste</v>
      </c>
      <c r="F2165" s="2" t="s">
        <v>252</v>
      </c>
      <c r="G2165" s="3" t="str">
        <f aca="false">INDEX(Produtos!$B$2:$B$11,MATCH(F2165,Produtos!$A$2:$A$11,0))&amp;" "&amp;INDEX(Produtos!$C$2:$C$11,MATCH(F2165,Produtos!$A$2:$A$11,0))</f>
        <v>Notebook Lenovo</v>
      </c>
      <c r="H2165" s="2" t="n">
        <v>2</v>
      </c>
      <c r="I2165" s="5" t="n">
        <f aca="false">INDEX(Produtos!$D$2:$D$11,MATCH(F2165,Produtos!$A$2:$A$11,0))</f>
        <v>3199</v>
      </c>
      <c r="J2165" s="5" t="n">
        <f aca="false">H2165*I2165</f>
        <v>6398</v>
      </c>
      <c r="K2165" s="5" t="n">
        <f aca="false">INDEX(Produtos!$E$2:$E$11,MATCH(F2165,Produtos!$A$2:$A$11,0))</f>
        <v>2350</v>
      </c>
      <c r="L2165" s="5" t="n">
        <f aca="false">H2165*K2165</f>
        <v>4700</v>
      </c>
    </row>
    <row r="2166" customFormat="false" ht="15" hidden="false" customHeight="false" outlineLevel="0" collapsed="false">
      <c r="A2166" s="2" t="s">
        <v>2448</v>
      </c>
      <c r="B2166" s="8" t="n">
        <v>46202</v>
      </c>
      <c r="C2166" s="2" t="s">
        <v>108</v>
      </c>
      <c r="D2166" s="3" t="str">
        <f aca="false">INDEX(Vendedores!$C$2:$C$101,MATCH(C2166,Vendedores!$A$2:$A$101,0))</f>
        <v>L03</v>
      </c>
      <c r="E2166" s="3" t="str">
        <f aca="false">INDEX(Lojas!$E$2:$E$11,MATCH(D2166,Lojas!$A$2:$A$11,0))</f>
        <v>Sudeste</v>
      </c>
      <c r="F2166" s="2" t="s">
        <v>255</v>
      </c>
      <c r="G2166" s="3" t="str">
        <f aca="false">INDEX(Produtos!$B$2:$B$11,MATCH(F2166,Produtos!$A$2:$A$11,0))&amp;" "&amp;INDEX(Produtos!$C$2:$C$11,MATCH(F2166,Produtos!$A$2:$A$11,0))</f>
        <v>Notebook Positivo</v>
      </c>
      <c r="H2166" s="2" t="n">
        <v>1</v>
      </c>
      <c r="I2166" s="5" t="n">
        <f aca="false">INDEX(Produtos!$D$2:$D$11,MATCH(F2166,Produtos!$A$2:$A$11,0))</f>
        <v>2199</v>
      </c>
      <c r="J2166" s="5" t="n">
        <f aca="false">H2166*I2166</f>
        <v>2199</v>
      </c>
      <c r="K2166" s="5" t="n">
        <f aca="false">INDEX(Produtos!$E$2:$E$11,MATCH(F2166,Produtos!$A$2:$A$11,0))</f>
        <v>1550</v>
      </c>
      <c r="L2166" s="5" t="n">
        <f aca="false">H2166*K2166</f>
        <v>1550</v>
      </c>
    </row>
    <row r="2167" customFormat="false" ht="15" hidden="false" customHeight="false" outlineLevel="0" collapsed="false">
      <c r="A2167" s="2" t="s">
        <v>2449</v>
      </c>
      <c r="B2167" s="8" t="n">
        <v>46202</v>
      </c>
      <c r="C2167" s="2" t="s">
        <v>146</v>
      </c>
      <c r="D2167" s="3" t="str">
        <f aca="false">INDEX(Vendedores!$C$2:$C$101,MATCH(C2167,Vendedores!$A$2:$A$101,0))</f>
        <v>L05</v>
      </c>
      <c r="E2167" s="3" t="str">
        <f aca="false">INDEX(Lojas!$E$2:$E$11,MATCH(D2167,Lojas!$A$2:$A$11,0))</f>
        <v>Sul</v>
      </c>
      <c r="F2167" s="2" t="s">
        <v>265</v>
      </c>
      <c r="G2167" s="3" t="str">
        <f aca="false">INDEX(Produtos!$B$2:$B$11,MATCH(F2167,Produtos!$A$2:$A$11,0))&amp;" "&amp;INDEX(Produtos!$C$2:$C$11,MATCH(F2167,Produtos!$A$2:$A$11,0))</f>
        <v>Fone de Ouvido Headset</v>
      </c>
      <c r="H2167" s="2" t="n">
        <v>1</v>
      </c>
      <c r="I2167" s="5" t="n">
        <f aca="false">INDEX(Produtos!$D$2:$D$11,MATCH(F2167,Produtos!$A$2:$A$11,0))</f>
        <v>249.9</v>
      </c>
      <c r="J2167" s="5" t="n">
        <f aca="false">H2167*I2167</f>
        <v>249.9</v>
      </c>
      <c r="K2167" s="5" t="n">
        <f aca="false">INDEX(Produtos!$E$2:$E$11,MATCH(F2167,Produtos!$A$2:$A$11,0))</f>
        <v>145</v>
      </c>
      <c r="L2167" s="5" t="n">
        <f aca="false">H2167*K2167</f>
        <v>145</v>
      </c>
    </row>
    <row r="2168" customFormat="false" ht="15" hidden="false" customHeight="false" outlineLevel="0" collapsed="false">
      <c r="A2168" s="2" t="s">
        <v>2450</v>
      </c>
      <c r="B2168" s="8" t="n">
        <v>46202</v>
      </c>
      <c r="C2168" s="2" t="s">
        <v>221</v>
      </c>
      <c r="D2168" s="3" t="str">
        <f aca="false">INDEX(Vendedores!$C$2:$C$101,MATCH(C2168,Vendedores!$A$2:$A$101,0))</f>
        <v>L09</v>
      </c>
      <c r="E2168" s="3" t="str">
        <f aca="false">INDEX(Lojas!$E$2:$E$11,MATCH(D2168,Lojas!$A$2:$A$11,0))</f>
        <v>Nordeste</v>
      </c>
      <c r="F2168" s="2" t="s">
        <v>270</v>
      </c>
      <c r="G2168" s="3" t="str">
        <f aca="false">INDEX(Produtos!$B$2:$B$11,MATCH(F2168,Produtos!$A$2:$A$11,0))&amp;" "&amp;INDEX(Produtos!$C$2:$C$11,MATCH(F2168,Produtos!$A$2:$A$11,0))</f>
        <v>Controle de Videogame Xbox</v>
      </c>
      <c r="H2168" s="2" t="n">
        <v>1</v>
      </c>
      <c r="I2168" s="5" t="n">
        <f aca="false">INDEX(Produtos!$D$2:$D$11,MATCH(F2168,Produtos!$A$2:$A$11,0))</f>
        <v>349.9</v>
      </c>
      <c r="J2168" s="5" t="n">
        <f aca="false">H2168*I2168</f>
        <v>349.9</v>
      </c>
      <c r="K2168" s="5" t="n">
        <f aca="false">INDEX(Produtos!$E$2:$E$11,MATCH(F2168,Produtos!$A$2:$A$11,0))</f>
        <v>215</v>
      </c>
      <c r="L2168" s="5" t="n">
        <f aca="false">H2168*K2168</f>
        <v>215</v>
      </c>
    </row>
    <row r="2169" customFormat="false" ht="15" hidden="false" customHeight="false" outlineLevel="0" collapsed="false">
      <c r="A2169" s="2" t="s">
        <v>2451</v>
      </c>
      <c r="B2169" s="8" t="n">
        <v>46202</v>
      </c>
      <c r="C2169" s="2" t="s">
        <v>118</v>
      </c>
      <c r="D2169" s="3" t="str">
        <f aca="false">INDEX(Vendedores!$C$2:$C$101,MATCH(C2169,Vendedores!$A$2:$A$101,0))</f>
        <v>L04</v>
      </c>
      <c r="E2169" s="3" t="str">
        <f aca="false">INDEX(Lojas!$E$2:$E$11,MATCH(D2169,Lojas!$A$2:$A$11,0))</f>
        <v>Sudeste</v>
      </c>
      <c r="F2169" s="2" t="s">
        <v>265</v>
      </c>
      <c r="G2169" s="3" t="str">
        <f aca="false">INDEX(Produtos!$B$2:$B$11,MATCH(F2169,Produtos!$A$2:$A$11,0))&amp;" "&amp;INDEX(Produtos!$C$2:$C$11,MATCH(F2169,Produtos!$A$2:$A$11,0))</f>
        <v>Fone de Ouvido Headset</v>
      </c>
      <c r="H2169" s="2" t="n">
        <v>2</v>
      </c>
      <c r="I2169" s="5" t="n">
        <f aca="false">INDEX(Produtos!$D$2:$D$11,MATCH(F2169,Produtos!$A$2:$A$11,0))</f>
        <v>249.9</v>
      </c>
      <c r="J2169" s="5" t="n">
        <f aca="false">H2169*I2169</f>
        <v>499.8</v>
      </c>
      <c r="K2169" s="5" t="n">
        <f aca="false">INDEX(Produtos!$E$2:$E$11,MATCH(F2169,Produtos!$A$2:$A$11,0))</f>
        <v>145</v>
      </c>
      <c r="L2169" s="5" t="n">
        <f aca="false">H2169*K2169</f>
        <v>290</v>
      </c>
    </row>
    <row r="2170" customFormat="false" ht="15" hidden="false" customHeight="false" outlineLevel="0" collapsed="false">
      <c r="A2170" s="2" t="s">
        <v>2452</v>
      </c>
      <c r="B2170" s="8" t="n">
        <v>46202</v>
      </c>
      <c r="C2170" s="2" t="s">
        <v>142</v>
      </c>
      <c r="D2170" s="3" t="str">
        <f aca="false">INDEX(Vendedores!$C$2:$C$101,MATCH(C2170,Vendedores!$A$2:$A$101,0))</f>
        <v>L05</v>
      </c>
      <c r="E2170" s="3" t="str">
        <f aca="false">INDEX(Lojas!$E$2:$E$11,MATCH(D2170,Lojas!$A$2:$A$11,0))</f>
        <v>Sul</v>
      </c>
      <c r="F2170" s="2" t="s">
        <v>270</v>
      </c>
      <c r="G2170" s="3" t="str">
        <f aca="false">INDEX(Produtos!$B$2:$B$11,MATCH(F2170,Produtos!$A$2:$A$11,0))&amp;" "&amp;INDEX(Produtos!$C$2:$C$11,MATCH(F2170,Produtos!$A$2:$A$11,0))</f>
        <v>Controle de Videogame Xbox</v>
      </c>
      <c r="H2170" s="2" t="n">
        <v>1</v>
      </c>
      <c r="I2170" s="5" t="n">
        <f aca="false">INDEX(Produtos!$D$2:$D$11,MATCH(F2170,Produtos!$A$2:$A$11,0))</f>
        <v>349.9</v>
      </c>
      <c r="J2170" s="5" t="n">
        <f aca="false">H2170*I2170</f>
        <v>349.9</v>
      </c>
      <c r="K2170" s="5" t="n">
        <f aca="false">INDEX(Produtos!$E$2:$E$11,MATCH(F2170,Produtos!$A$2:$A$11,0))</f>
        <v>215</v>
      </c>
      <c r="L2170" s="5" t="n">
        <f aca="false">H2170*K2170</f>
        <v>215</v>
      </c>
    </row>
    <row r="2171" customFormat="false" ht="15" hidden="false" customHeight="false" outlineLevel="0" collapsed="false">
      <c r="A2171" s="2" t="s">
        <v>2453</v>
      </c>
      <c r="B2171" s="8" t="n">
        <v>46203</v>
      </c>
      <c r="C2171" s="2" t="s">
        <v>68</v>
      </c>
      <c r="D2171" s="3" t="str">
        <f aca="false">INDEX(Vendedores!$C$2:$C$101,MATCH(C2171,Vendedores!$A$2:$A$101,0))</f>
        <v>L01</v>
      </c>
      <c r="E2171" s="3" t="str">
        <f aca="false">INDEX(Lojas!$E$2:$E$11,MATCH(D2171,Lojas!$A$2:$A$11,0))</f>
        <v>Sudeste</v>
      </c>
      <c r="F2171" s="2" t="s">
        <v>252</v>
      </c>
      <c r="G2171" s="3" t="str">
        <f aca="false">INDEX(Produtos!$B$2:$B$11,MATCH(F2171,Produtos!$A$2:$A$11,0))&amp;" "&amp;INDEX(Produtos!$C$2:$C$11,MATCH(F2171,Produtos!$A$2:$A$11,0))</f>
        <v>Notebook Lenovo</v>
      </c>
      <c r="H2171" s="2" t="n">
        <v>1</v>
      </c>
      <c r="I2171" s="5" t="n">
        <f aca="false">INDEX(Produtos!$D$2:$D$11,MATCH(F2171,Produtos!$A$2:$A$11,0))</f>
        <v>3199</v>
      </c>
      <c r="J2171" s="5" t="n">
        <f aca="false">H2171*I2171</f>
        <v>3199</v>
      </c>
      <c r="K2171" s="5" t="n">
        <f aca="false">INDEX(Produtos!$E$2:$E$11,MATCH(F2171,Produtos!$A$2:$A$11,0))</f>
        <v>2350</v>
      </c>
      <c r="L2171" s="5" t="n">
        <f aca="false">H2171*K2171</f>
        <v>2350</v>
      </c>
    </row>
    <row r="2172" customFormat="false" ht="15" hidden="false" customHeight="false" outlineLevel="0" collapsed="false">
      <c r="A2172" s="2" t="s">
        <v>2454</v>
      </c>
      <c r="B2172" s="8" t="n">
        <v>46203</v>
      </c>
      <c r="C2172" s="2" t="s">
        <v>158</v>
      </c>
      <c r="D2172" s="3" t="str">
        <f aca="false">INDEX(Vendedores!$C$2:$C$101,MATCH(C2172,Vendedores!$A$2:$A$101,0))</f>
        <v>L06</v>
      </c>
      <c r="E2172" s="3" t="str">
        <f aca="false">INDEX(Lojas!$E$2:$E$11,MATCH(D2172,Lojas!$A$2:$A$11,0))</f>
        <v>Sul</v>
      </c>
      <c r="F2172" s="2" t="s">
        <v>262</v>
      </c>
      <c r="G2172" s="3" t="str">
        <f aca="false">INDEX(Produtos!$B$2:$B$11,MATCH(F2172,Produtos!$A$2:$A$11,0))&amp;" "&amp;INDEX(Produtos!$C$2:$C$11,MATCH(F2172,Produtos!$A$2:$A$11,0))</f>
        <v>Fone de Ouvido De Celular</v>
      </c>
      <c r="H2172" s="2" t="n">
        <v>1</v>
      </c>
      <c r="I2172" s="5" t="n">
        <f aca="false">INDEX(Produtos!$D$2:$D$11,MATCH(F2172,Produtos!$A$2:$A$11,0))</f>
        <v>59.9</v>
      </c>
      <c r="J2172" s="5" t="n">
        <f aca="false">H2172*I2172</f>
        <v>59.9</v>
      </c>
      <c r="K2172" s="5" t="n">
        <f aca="false">INDEX(Produtos!$E$2:$E$11,MATCH(F2172,Produtos!$A$2:$A$11,0))</f>
        <v>28</v>
      </c>
      <c r="L2172" s="5" t="n">
        <f aca="false">H2172*K2172</f>
        <v>28</v>
      </c>
    </row>
    <row r="2173" customFormat="false" ht="15" hidden="false" customHeight="false" outlineLevel="0" collapsed="false">
      <c r="A2173" s="2" t="s">
        <v>2455</v>
      </c>
      <c r="B2173" s="8" t="n">
        <v>46203</v>
      </c>
      <c r="C2173" s="2" t="s">
        <v>96</v>
      </c>
      <c r="D2173" s="3" t="str">
        <f aca="false">INDEX(Vendedores!$C$2:$C$101,MATCH(C2173,Vendedores!$A$2:$A$101,0))</f>
        <v>L03</v>
      </c>
      <c r="E2173" s="3" t="str">
        <f aca="false">INDEX(Lojas!$E$2:$E$11,MATCH(D2173,Lojas!$A$2:$A$11,0))</f>
        <v>Sudeste</v>
      </c>
      <c r="F2173" s="2" t="s">
        <v>273</v>
      </c>
      <c r="G2173" s="3" t="str">
        <f aca="false">INDEX(Produtos!$B$2:$B$11,MATCH(F2173,Produtos!$A$2:$A$11,0))&amp;" "&amp;INDEX(Produtos!$C$2:$C$11,MATCH(F2173,Produtos!$A$2:$A$11,0))</f>
        <v>Controle de Videogame PS4</v>
      </c>
      <c r="H2173" s="2" t="n">
        <v>1</v>
      </c>
      <c r="I2173" s="5" t="n">
        <f aca="false">INDEX(Produtos!$D$2:$D$11,MATCH(F2173,Produtos!$A$2:$A$11,0))</f>
        <v>299.9</v>
      </c>
      <c r="J2173" s="5" t="n">
        <f aca="false">H2173*I2173</f>
        <v>299.9</v>
      </c>
      <c r="K2173" s="5" t="n">
        <f aca="false">INDEX(Produtos!$E$2:$E$11,MATCH(F2173,Produtos!$A$2:$A$11,0))</f>
        <v>175</v>
      </c>
      <c r="L2173" s="5" t="n">
        <f aca="false">H2173*K2173</f>
        <v>175</v>
      </c>
    </row>
    <row r="2174" customFormat="false" ht="15" hidden="false" customHeight="false" outlineLevel="0" collapsed="false">
      <c r="A2174" s="2" t="s">
        <v>2456</v>
      </c>
      <c r="B2174" s="8" t="n">
        <v>46203</v>
      </c>
      <c r="C2174" s="2" t="s">
        <v>60</v>
      </c>
      <c r="D2174" s="3" t="str">
        <f aca="false">INDEX(Vendedores!$C$2:$C$101,MATCH(C2174,Vendedores!$A$2:$A$101,0))</f>
        <v>L01</v>
      </c>
      <c r="E2174" s="3" t="str">
        <f aca="false">INDEX(Lojas!$E$2:$E$11,MATCH(D2174,Lojas!$A$2:$A$11,0))</f>
        <v>Sudeste</v>
      </c>
      <c r="F2174" s="2" t="s">
        <v>270</v>
      </c>
      <c r="G2174" s="3" t="str">
        <f aca="false">INDEX(Produtos!$B$2:$B$11,MATCH(F2174,Produtos!$A$2:$A$11,0))&amp;" "&amp;INDEX(Produtos!$C$2:$C$11,MATCH(F2174,Produtos!$A$2:$A$11,0))</f>
        <v>Controle de Videogame Xbox</v>
      </c>
      <c r="H2174" s="2" t="n">
        <v>1</v>
      </c>
      <c r="I2174" s="5" t="n">
        <f aca="false">INDEX(Produtos!$D$2:$D$11,MATCH(F2174,Produtos!$A$2:$A$11,0))</f>
        <v>349.9</v>
      </c>
      <c r="J2174" s="5" t="n">
        <f aca="false">H2174*I2174</f>
        <v>349.9</v>
      </c>
      <c r="K2174" s="5" t="n">
        <f aca="false">INDEX(Produtos!$E$2:$E$11,MATCH(F2174,Produtos!$A$2:$A$11,0))</f>
        <v>215</v>
      </c>
      <c r="L2174" s="5" t="n">
        <f aca="false">H2174*K2174</f>
        <v>215</v>
      </c>
    </row>
    <row r="2175" customFormat="false" ht="15" hidden="false" customHeight="false" outlineLevel="0" collapsed="false">
      <c r="A2175" s="2" t="s">
        <v>2457</v>
      </c>
      <c r="B2175" s="8" t="n">
        <v>46203</v>
      </c>
      <c r="C2175" s="2" t="s">
        <v>203</v>
      </c>
      <c r="D2175" s="3" t="str">
        <f aca="false">INDEX(Vendedores!$C$2:$C$101,MATCH(C2175,Vendedores!$A$2:$A$101,0))</f>
        <v>L08</v>
      </c>
      <c r="E2175" s="3" t="str">
        <f aca="false">INDEX(Lojas!$E$2:$E$11,MATCH(D2175,Lojas!$A$2:$A$11,0))</f>
        <v>Nordeste</v>
      </c>
      <c r="F2175" s="2" t="s">
        <v>262</v>
      </c>
      <c r="G2175" s="3" t="str">
        <f aca="false">INDEX(Produtos!$B$2:$B$11,MATCH(F2175,Produtos!$A$2:$A$11,0))&amp;" "&amp;INDEX(Produtos!$C$2:$C$11,MATCH(F2175,Produtos!$A$2:$A$11,0))</f>
        <v>Fone de Ouvido De Celular</v>
      </c>
      <c r="H2175" s="2" t="n">
        <v>1</v>
      </c>
      <c r="I2175" s="5" t="n">
        <f aca="false">INDEX(Produtos!$D$2:$D$11,MATCH(F2175,Produtos!$A$2:$A$11,0))</f>
        <v>59.9</v>
      </c>
      <c r="J2175" s="5" t="n">
        <f aca="false">H2175*I2175</f>
        <v>59.9</v>
      </c>
      <c r="K2175" s="5" t="n">
        <f aca="false">INDEX(Produtos!$E$2:$E$11,MATCH(F2175,Produtos!$A$2:$A$11,0))</f>
        <v>28</v>
      </c>
      <c r="L2175" s="5" t="n">
        <f aca="false">H2175*K2175</f>
        <v>28</v>
      </c>
    </row>
    <row r="2176" customFormat="false" ht="15" hidden="false" customHeight="false" outlineLevel="0" collapsed="false">
      <c r="A2176" s="2" t="s">
        <v>2458</v>
      </c>
      <c r="B2176" s="8" t="n">
        <v>46203</v>
      </c>
      <c r="C2176" s="2" t="s">
        <v>144</v>
      </c>
      <c r="D2176" s="3" t="str">
        <f aca="false">INDEX(Vendedores!$C$2:$C$101,MATCH(C2176,Vendedores!$A$2:$A$101,0))</f>
        <v>L05</v>
      </c>
      <c r="E2176" s="3" t="str">
        <f aca="false">INDEX(Lojas!$E$2:$E$11,MATCH(D2176,Lojas!$A$2:$A$11,0))</f>
        <v>Sul</v>
      </c>
      <c r="F2176" s="2" t="s">
        <v>260</v>
      </c>
      <c r="G2176" s="3" t="str">
        <f aca="false">INDEX(Produtos!$B$2:$B$11,MATCH(F2176,Produtos!$A$2:$A$11,0))&amp;" "&amp;INDEX(Produtos!$C$2:$C$11,MATCH(F2176,Produtos!$A$2:$A$11,0))</f>
        <v>Celular Motorola</v>
      </c>
      <c r="H2176" s="2" t="n">
        <v>2</v>
      </c>
      <c r="I2176" s="5" t="n">
        <f aca="false">INDEX(Produtos!$D$2:$D$11,MATCH(F2176,Produtos!$A$2:$A$11,0))</f>
        <v>1799</v>
      </c>
      <c r="J2176" s="5" t="n">
        <f aca="false">H2176*I2176</f>
        <v>3598</v>
      </c>
      <c r="K2176" s="5" t="n">
        <f aca="false">INDEX(Produtos!$E$2:$E$11,MATCH(F2176,Produtos!$A$2:$A$11,0))</f>
        <v>1250</v>
      </c>
      <c r="L2176" s="5" t="n">
        <f aca="false">H2176*K2176</f>
        <v>2500</v>
      </c>
    </row>
    <row r="2177" customFormat="false" ht="15" hidden="false" customHeight="false" outlineLevel="0" collapsed="false">
      <c r="A2177" s="2" t="s">
        <v>2459</v>
      </c>
      <c r="B2177" s="8" t="n">
        <v>46203</v>
      </c>
      <c r="C2177" s="2" t="s">
        <v>137</v>
      </c>
      <c r="D2177" s="3" t="str">
        <f aca="false">INDEX(Vendedores!$C$2:$C$101,MATCH(C2177,Vendedores!$A$2:$A$101,0))</f>
        <v>L05</v>
      </c>
      <c r="E2177" s="3" t="str">
        <f aca="false">INDEX(Lojas!$E$2:$E$11,MATCH(D2177,Lojas!$A$2:$A$11,0))</f>
        <v>Sul</v>
      </c>
      <c r="F2177" s="2" t="s">
        <v>270</v>
      </c>
      <c r="G2177" s="3" t="str">
        <f aca="false">INDEX(Produtos!$B$2:$B$11,MATCH(F2177,Produtos!$A$2:$A$11,0))&amp;" "&amp;INDEX(Produtos!$C$2:$C$11,MATCH(F2177,Produtos!$A$2:$A$11,0))</f>
        <v>Controle de Videogame Xbox</v>
      </c>
      <c r="H2177" s="2" t="n">
        <v>1</v>
      </c>
      <c r="I2177" s="5" t="n">
        <f aca="false">INDEX(Produtos!$D$2:$D$11,MATCH(F2177,Produtos!$A$2:$A$11,0))</f>
        <v>349.9</v>
      </c>
      <c r="J2177" s="5" t="n">
        <f aca="false">H2177*I2177</f>
        <v>349.9</v>
      </c>
      <c r="K2177" s="5" t="n">
        <f aca="false">INDEX(Produtos!$E$2:$E$11,MATCH(F2177,Produtos!$A$2:$A$11,0))</f>
        <v>215</v>
      </c>
      <c r="L2177" s="5" t="n">
        <f aca="false">H2177*K2177</f>
        <v>215</v>
      </c>
    </row>
    <row r="2178" customFormat="false" ht="15" hidden="false" customHeight="false" outlineLevel="0" collapsed="false">
      <c r="A2178" s="2" t="s">
        <v>2460</v>
      </c>
      <c r="B2178" s="8" t="n">
        <v>46203</v>
      </c>
      <c r="C2178" s="2" t="s">
        <v>120</v>
      </c>
      <c r="D2178" s="3" t="str">
        <f aca="false">INDEX(Vendedores!$C$2:$C$101,MATCH(C2178,Vendedores!$A$2:$A$101,0))</f>
        <v>L04</v>
      </c>
      <c r="E2178" s="3" t="str">
        <f aca="false">INDEX(Lojas!$E$2:$E$11,MATCH(D2178,Lojas!$A$2:$A$11,0))</f>
        <v>Sudeste</v>
      </c>
      <c r="F2178" s="2" t="s">
        <v>270</v>
      </c>
      <c r="G2178" s="3" t="str">
        <f aca="false">INDEX(Produtos!$B$2:$B$11,MATCH(F2178,Produtos!$A$2:$A$11,0))&amp;" "&amp;INDEX(Produtos!$C$2:$C$11,MATCH(F2178,Produtos!$A$2:$A$11,0))</f>
        <v>Controle de Videogame Xbox</v>
      </c>
      <c r="H2178" s="2" t="n">
        <v>1</v>
      </c>
      <c r="I2178" s="5" t="n">
        <f aca="false">INDEX(Produtos!$D$2:$D$11,MATCH(F2178,Produtos!$A$2:$A$11,0))</f>
        <v>349.9</v>
      </c>
      <c r="J2178" s="5" t="n">
        <f aca="false">H2178*I2178</f>
        <v>349.9</v>
      </c>
      <c r="K2178" s="5" t="n">
        <f aca="false">INDEX(Produtos!$E$2:$E$11,MATCH(F2178,Produtos!$A$2:$A$11,0))</f>
        <v>215</v>
      </c>
      <c r="L2178" s="5" t="n">
        <f aca="false">H2178*K2178</f>
        <v>215</v>
      </c>
    </row>
    <row r="2179" customFormat="false" ht="15" hidden="false" customHeight="false" outlineLevel="0" collapsed="false">
      <c r="A2179" s="2" t="s">
        <v>2461</v>
      </c>
      <c r="B2179" s="8" t="n">
        <v>46203</v>
      </c>
      <c r="C2179" s="2" t="s">
        <v>241</v>
      </c>
      <c r="D2179" s="3" t="str">
        <f aca="false">INDEX(Vendedores!$C$2:$C$101,MATCH(C2179,Vendedores!$A$2:$A$101,0))</f>
        <v>L10</v>
      </c>
      <c r="E2179" s="3" t="str">
        <f aca="false">INDEX(Lojas!$E$2:$E$11,MATCH(D2179,Lojas!$A$2:$A$11,0))</f>
        <v>Nordeste</v>
      </c>
      <c r="F2179" s="2" t="s">
        <v>267</v>
      </c>
      <c r="G2179" s="3" t="str">
        <f aca="false">INDEX(Produtos!$B$2:$B$11,MATCH(F2179,Produtos!$A$2:$A$11,0))&amp;" "&amp;INDEX(Produtos!$C$2:$C$11,MATCH(F2179,Produtos!$A$2:$A$11,0))</f>
        <v>Carregador de Celular Tipo C</v>
      </c>
      <c r="H2179" s="2" t="n">
        <v>2</v>
      </c>
      <c r="I2179" s="5" t="n">
        <f aca="false">INDEX(Produtos!$D$2:$D$11,MATCH(F2179,Produtos!$A$2:$A$11,0))</f>
        <v>44.9</v>
      </c>
      <c r="J2179" s="5" t="n">
        <f aca="false">H2179*I2179</f>
        <v>89.8</v>
      </c>
      <c r="K2179" s="5" t="n">
        <f aca="false">INDEX(Produtos!$E$2:$E$11,MATCH(F2179,Produtos!$A$2:$A$11,0))</f>
        <v>18</v>
      </c>
      <c r="L2179" s="5" t="n">
        <f aca="false">H2179*K2179</f>
        <v>36</v>
      </c>
    </row>
    <row r="2180" customFormat="false" ht="15" hidden="false" customHeight="false" outlineLevel="0" collapsed="false">
      <c r="A2180" s="2" t="s">
        <v>2462</v>
      </c>
      <c r="B2180" s="8" t="n">
        <v>46203</v>
      </c>
      <c r="C2180" s="2" t="s">
        <v>66</v>
      </c>
      <c r="D2180" s="3" t="str">
        <f aca="false">INDEX(Vendedores!$C$2:$C$101,MATCH(C2180,Vendedores!$A$2:$A$101,0))</f>
        <v>L01</v>
      </c>
      <c r="E2180" s="3" t="str">
        <f aca="false">INDEX(Lojas!$E$2:$E$11,MATCH(D2180,Lojas!$A$2:$A$11,0))</f>
        <v>Sudeste</v>
      </c>
      <c r="F2180" s="2" t="s">
        <v>257</v>
      </c>
      <c r="G2180" s="3" t="str">
        <f aca="false">INDEX(Produtos!$B$2:$B$11,MATCH(F2180,Produtos!$A$2:$A$11,0))&amp;" "&amp;INDEX(Produtos!$C$2:$C$11,MATCH(F2180,Produtos!$A$2:$A$11,0))</f>
        <v>Celular Samsung</v>
      </c>
      <c r="H2180" s="2" t="n">
        <v>1</v>
      </c>
      <c r="I2180" s="5" t="n">
        <f aca="false">INDEX(Produtos!$D$2:$D$11,MATCH(F2180,Produtos!$A$2:$A$11,0))</f>
        <v>2499</v>
      </c>
      <c r="J2180" s="5" t="n">
        <f aca="false">H2180*I2180</f>
        <v>2499</v>
      </c>
      <c r="K2180" s="5" t="n">
        <f aca="false">INDEX(Produtos!$E$2:$E$11,MATCH(F2180,Produtos!$A$2:$A$11,0))</f>
        <v>1800</v>
      </c>
      <c r="L2180" s="5" t="n">
        <f aca="false">H2180*K2180</f>
        <v>1800</v>
      </c>
    </row>
    <row r="2181" customFormat="false" ht="15" hidden="false" customHeight="false" outlineLevel="0" collapsed="false">
      <c r="A2181" s="2" t="s">
        <v>2463</v>
      </c>
      <c r="B2181" s="8" t="n">
        <v>46203</v>
      </c>
      <c r="C2181" s="2" t="s">
        <v>138</v>
      </c>
      <c r="D2181" s="3" t="str">
        <f aca="false">INDEX(Vendedores!$C$2:$C$101,MATCH(C2181,Vendedores!$A$2:$A$101,0))</f>
        <v>L05</v>
      </c>
      <c r="E2181" s="3" t="str">
        <f aca="false">INDEX(Lojas!$E$2:$E$11,MATCH(D2181,Lojas!$A$2:$A$11,0))</f>
        <v>Sul</v>
      </c>
      <c r="F2181" s="2" t="s">
        <v>270</v>
      </c>
      <c r="G2181" s="3" t="str">
        <f aca="false">INDEX(Produtos!$B$2:$B$11,MATCH(F2181,Produtos!$A$2:$A$11,0))&amp;" "&amp;INDEX(Produtos!$C$2:$C$11,MATCH(F2181,Produtos!$A$2:$A$11,0))</f>
        <v>Controle de Videogame Xbox</v>
      </c>
      <c r="H2181" s="2" t="n">
        <v>1</v>
      </c>
      <c r="I2181" s="5" t="n">
        <f aca="false">INDEX(Produtos!$D$2:$D$11,MATCH(F2181,Produtos!$A$2:$A$11,0))</f>
        <v>349.9</v>
      </c>
      <c r="J2181" s="5" t="n">
        <f aca="false">H2181*I2181</f>
        <v>349.9</v>
      </c>
      <c r="K2181" s="5" t="n">
        <f aca="false">INDEX(Produtos!$E$2:$E$11,MATCH(F2181,Produtos!$A$2:$A$11,0))</f>
        <v>215</v>
      </c>
      <c r="L2181" s="5" t="n">
        <f aca="false">H2181*K2181</f>
        <v>215</v>
      </c>
    </row>
  </sheetData>
  <autoFilter ref="A1:L2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48</v>
      </c>
      <c r="B1" s="1" t="s">
        <v>49</v>
      </c>
      <c r="C1" s="1" t="s">
        <v>0</v>
      </c>
      <c r="D1" s="1" t="s">
        <v>4</v>
      </c>
      <c r="E1" s="1" t="s">
        <v>2464</v>
      </c>
      <c r="F1" s="1" t="s">
        <v>2465</v>
      </c>
      <c r="G1" s="1" t="s">
        <v>2466</v>
      </c>
    </row>
    <row r="2" customFormat="false" ht="15" hidden="false" customHeight="false" outlineLevel="0" collapsed="false">
      <c r="A2" s="2" t="s">
        <v>50</v>
      </c>
      <c r="B2" s="3" t="str">
        <f aca="false">INDEX(Vendedores!$B$2:$B$101,MATCH(A2,Vendedores!$A$2:$A$101,0))</f>
        <v>Hugo Silva</v>
      </c>
      <c r="C2" s="3" t="str">
        <f aca="false">INDEX(Vendedores!$C$2:$C$101,MATCH(A2,Vendedores!$A$2:$A$101,0))</f>
        <v>L01</v>
      </c>
      <c r="D2" s="3" t="str">
        <f aca="false">INDEX(Vendedores!$E$2:$E$101,MATCH(A2,Vendedores!$A$2:$A$101,0))</f>
        <v>Sudeste</v>
      </c>
      <c r="E2" s="3" t="n">
        <f aca="false">COUNTIF(Vendas!$C$2:$C$2181,A2)</f>
        <v>10</v>
      </c>
      <c r="F2" s="5" t="n">
        <f aca="false">SUMIF(Vendas!$C$2:$C$2181,A2,Vendas!$J$2:$J$2181)</f>
        <v>18903.4</v>
      </c>
      <c r="G2" s="5" t="n">
        <f aca="false">IFERROR(F2/E2,0)</f>
        <v>1890.34</v>
      </c>
    </row>
    <row r="3" customFormat="false" ht="15" hidden="false" customHeight="false" outlineLevel="0" collapsed="false">
      <c r="A3" s="2" t="s">
        <v>52</v>
      </c>
      <c r="B3" s="3" t="str">
        <f aca="false">INDEX(Vendedores!$B$2:$B$101,MATCH(A3,Vendedores!$A$2:$A$101,0))</f>
        <v>Rafael Almeida</v>
      </c>
      <c r="C3" s="3" t="str">
        <f aca="false">INDEX(Vendedores!$C$2:$C$101,MATCH(A3,Vendedores!$A$2:$A$101,0))</f>
        <v>L01</v>
      </c>
      <c r="D3" s="3" t="str">
        <f aca="false">INDEX(Vendedores!$E$2:$E$101,MATCH(A3,Vendedores!$A$2:$A$101,0))</f>
        <v>Sudeste</v>
      </c>
      <c r="E3" s="3" t="n">
        <f aca="false">COUNTIF(Vendas!$C$2:$C$2181,A3)</f>
        <v>14</v>
      </c>
      <c r="F3" s="5" t="n">
        <f aca="false">SUMIF(Vendas!$C$2:$C$2181,A3,Vendas!$J$2:$J$2181)</f>
        <v>31453.1</v>
      </c>
      <c r="G3" s="5" t="n">
        <f aca="false">IFERROR(F3/E3,0)</f>
        <v>2246.65</v>
      </c>
    </row>
    <row r="4" customFormat="false" ht="15" hidden="false" customHeight="false" outlineLevel="0" collapsed="false">
      <c r="A4" s="2" t="s">
        <v>54</v>
      </c>
      <c r="B4" s="3" t="str">
        <f aca="false">INDEX(Vendedores!$B$2:$B$101,MATCH(A4,Vendedores!$A$2:$A$101,0))</f>
        <v>Olívia Pereira</v>
      </c>
      <c r="C4" s="3" t="str">
        <f aca="false">INDEX(Vendedores!$C$2:$C$101,MATCH(A4,Vendedores!$A$2:$A$101,0))</f>
        <v>L01</v>
      </c>
      <c r="D4" s="3" t="str">
        <f aca="false">INDEX(Vendedores!$E$2:$E$101,MATCH(A4,Vendedores!$A$2:$A$101,0))</f>
        <v>Sudeste</v>
      </c>
      <c r="E4" s="3" t="n">
        <f aca="false">COUNTIF(Vendas!$C$2:$C$2181,A4)</f>
        <v>19</v>
      </c>
      <c r="F4" s="5" t="n">
        <f aca="false">SUMIF(Vendas!$C$2:$C$2181,A4,Vendas!$J$2:$J$2181)</f>
        <v>33357.7</v>
      </c>
      <c r="G4" s="5" t="n">
        <f aca="false">IFERROR(F4/E4,0)</f>
        <v>1755.66842105263</v>
      </c>
    </row>
    <row r="5" customFormat="false" ht="15" hidden="false" customHeight="false" outlineLevel="0" collapsed="false">
      <c r="A5" s="2" t="s">
        <v>56</v>
      </c>
      <c r="B5" s="3" t="str">
        <f aca="false">INDEX(Vendedores!$B$2:$B$101,MATCH(A5,Vendedores!$A$2:$A$101,0))</f>
        <v>Gabriela Alves</v>
      </c>
      <c r="C5" s="3" t="str">
        <f aca="false">INDEX(Vendedores!$C$2:$C$101,MATCH(A5,Vendedores!$A$2:$A$101,0))</f>
        <v>L01</v>
      </c>
      <c r="D5" s="3" t="str">
        <f aca="false">INDEX(Vendedores!$E$2:$E$101,MATCH(A5,Vendedores!$A$2:$A$101,0))</f>
        <v>Sudeste</v>
      </c>
      <c r="E5" s="3" t="n">
        <f aca="false">COUNTIF(Vendas!$C$2:$C$2181,A5)</f>
        <v>10</v>
      </c>
      <c r="F5" s="5" t="n">
        <f aca="false">SUMIF(Vendas!$C$2:$C$2181,A5,Vendas!$J$2:$J$2181)</f>
        <v>9121.9</v>
      </c>
      <c r="G5" s="5" t="n">
        <f aca="false">IFERROR(F5/E5,0)</f>
        <v>912.19</v>
      </c>
    </row>
    <row r="6" customFormat="false" ht="15" hidden="false" customHeight="false" outlineLevel="0" collapsed="false">
      <c r="A6" s="2" t="s">
        <v>58</v>
      </c>
      <c r="B6" s="3" t="str">
        <f aca="false">INDEX(Vendedores!$B$2:$B$101,MATCH(A6,Vendedores!$A$2:$A$101,0))</f>
        <v>Fabio Monteiro</v>
      </c>
      <c r="C6" s="3" t="str">
        <f aca="false">INDEX(Vendedores!$C$2:$C$101,MATCH(A6,Vendedores!$A$2:$A$101,0))</f>
        <v>L01</v>
      </c>
      <c r="D6" s="3" t="str">
        <f aca="false">INDEX(Vendedores!$E$2:$E$101,MATCH(A6,Vendedores!$A$2:$A$101,0))</f>
        <v>Sudeste</v>
      </c>
      <c r="E6" s="3" t="n">
        <f aca="false">COUNTIF(Vendas!$C$2:$C$2181,A6)</f>
        <v>9</v>
      </c>
      <c r="F6" s="5" t="n">
        <f aca="false">SUMIF(Vendas!$C$2:$C$2181,A6,Vendas!$J$2:$J$2181)</f>
        <v>16984</v>
      </c>
      <c r="G6" s="5" t="n">
        <f aca="false">IFERROR(F6/E6,0)</f>
        <v>1887.11111111111</v>
      </c>
    </row>
    <row r="7" customFormat="false" ht="15" hidden="false" customHeight="false" outlineLevel="0" collapsed="false">
      <c r="A7" s="2" t="s">
        <v>60</v>
      </c>
      <c r="B7" s="3" t="str">
        <f aca="false">INDEX(Vendedores!$B$2:$B$101,MATCH(A7,Vendedores!$A$2:$A$101,0))</f>
        <v>Bernardo Souza</v>
      </c>
      <c r="C7" s="3" t="str">
        <f aca="false">INDEX(Vendedores!$C$2:$C$101,MATCH(A7,Vendedores!$A$2:$A$101,0))</f>
        <v>L01</v>
      </c>
      <c r="D7" s="3" t="str">
        <f aca="false">INDEX(Vendedores!$E$2:$E$101,MATCH(A7,Vendedores!$A$2:$A$101,0))</f>
        <v>Sudeste</v>
      </c>
      <c r="E7" s="3" t="n">
        <f aca="false">COUNTIF(Vendas!$C$2:$C$2181,A7)</f>
        <v>23</v>
      </c>
      <c r="F7" s="5" t="n">
        <f aca="false">SUMIF(Vendas!$C$2:$C$2181,A7,Vendas!$J$2:$J$2181)</f>
        <v>39514.6</v>
      </c>
      <c r="G7" s="5" t="n">
        <f aca="false">IFERROR(F7/E7,0)</f>
        <v>1718.02608695652</v>
      </c>
    </row>
    <row r="8" customFormat="false" ht="15" hidden="false" customHeight="false" outlineLevel="0" collapsed="false">
      <c r="A8" s="2" t="s">
        <v>62</v>
      </c>
      <c r="B8" s="3" t="str">
        <f aca="false">INDEX(Vendedores!$B$2:$B$101,MATCH(A8,Vendedores!$A$2:$A$101,0))</f>
        <v>Bruno Oliveira</v>
      </c>
      <c r="C8" s="3" t="str">
        <f aca="false">INDEX(Vendedores!$C$2:$C$101,MATCH(A8,Vendedores!$A$2:$A$101,0))</f>
        <v>L01</v>
      </c>
      <c r="D8" s="3" t="str">
        <f aca="false">INDEX(Vendedores!$E$2:$E$101,MATCH(A8,Vendedores!$A$2:$A$101,0))</f>
        <v>Sudeste</v>
      </c>
      <c r="E8" s="3" t="n">
        <f aca="false">COUNTIF(Vendas!$C$2:$C$2181,A8)</f>
        <v>22</v>
      </c>
      <c r="F8" s="5" t="n">
        <f aca="false">SUMIF(Vendas!$C$2:$C$2181,A8,Vendas!$J$2:$J$2181)</f>
        <v>33996.4</v>
      </c>
      <c r="G8" s="5" t="n">
        <f aca="false">IFERROR(F8/E8,0)</f>
        <v>1545.29090909091</v>
      </c>
    </row>
    <row r="9" customFormat="false" ht="15" hidden="false" customHeight="false" outlineLevel="0" collapsed="false">
      <c r="A9" s="2" t="s">
        <v>64</v>
      </c>
      <c r="B9" s="3" t="str">
        <f aca="false">INDEX(Vendedores!$B$2:$B$101,MATCH(A9,Vendedores!$A$2:$A$101,0))</f>
        <v>Nelson Almeida</v>
      </c>
      <c r="C9" s="3" t="str">
        <f aca="false">INDEX(Vendedores!$C$2:$C$101,MATCH(A9,Vendedores!$A$2:$A$101,0))</f>
        <v>L01</v>
      </c>
      <c r="D9" s="3" t="str">
        <f aca="false">INDEX(Vendedores!$E$2:$E$101,MATCH(A9,Vendedores!$A$2:$A$101,0))</f>
        <v>Sudeste</v>
      </c>
      <c r="E9" s="3" t="n">
        <f aca="false">COUNTIF(Vendas!$C$2:$C$2181,A9)</f>
        <v>13</v>
      </c>
      <c r="F9" s="5" t="n">
        <f aca="false">SUMIF(Vendas!$C$2:$C$2181,A9,Vendas!$J$2:$J$2181)</f>
        <v>30587</v>
      </c>
      <c r="G9" s="5" t="n">
        <f aca="false">IFERROR(F9/E9,0)</f>
        <v>2352.84615384615</v>
      </c>
    </row>
    <row r="10" customFormat="false" ht="15" hidden="false" customHeight="false" outlineLevel="0" collapsed="false">
      <c r="A10" s="2" t="s">
        <v>66</v>
      </c>
      <c r="B10" s="3" t="str">
        <f aca="false">INDEX(Vendedores!$B$2:$B$101,MATCH(A10,Vendedores!$A$2:$A$101,0))</f>
        <v>Giovana Barbosa</v>
      </c>
      <c r="C10" s="3" t="str">
        <f aca="false">INDEX(Vendedores!$C$2:$C$101,MATCH(A10,Vendedores!$A$2:$A$101,0))</f>
        <v>L01</v>
      </c>
      <c r="D10" s="3" t="str">
        <f aca="false">INDEX(Vendedores!$E$2:$E$101,MATCH(A10,Vendedores!$A$2:$A$101,0))</f>
        <v>Sudeste</v>
      </c>
      <c r="E10" s="3" t="n">
        <f aca="false">COUNTIF(Vendas!$C$2:$C$2181,A10)</f>
        <v>17</v>
      </c>
      <c r="F10" s="5" t="n">
        <f aca="false">SUMIF(Vendas!$C$2:$C$2181,A10,Vendas!$J$2:$J$2181)</f>
        <v>49349.2</v>
      </c>
      <c r="G10" s="5" t="n">
        <f aca="false">IFERROR(F10/E10,0)</f>
        <v>2902.89411764706</v>
      </c>
    </row>
    <row r="11" customFormat="false" ht="15" hidden="false" customHeight="false" outlineLevel="0" collapsed="false">
      <c r="A11" s="2" t="s">
        <v>68</v>
      </c>
      <c r="B11" s="3" t="str">
        <f aca="false">INDEX(Vendedores!$B$2:$B$101,MATCH(A11,Vendedores!$A$2:$A$101,0))</f>
        <v>Bruno Alves</v>
      </c>
      <c r="C11" s="3" t="str">
        <f aca="false">INDEX(Vendedores!$C$2:$C$101,MATCH(A11,Vendedores!$A$2:$A$101,0))</f>
        <v>L01</v>
      </c>
      <c r="D11" s="3" t="str">
        <f aca="false">INDEX(Vendedores!$E$2:$E$101,MATCH(A11,Vendedores!$A$2:$A$101,0))</f>
        <v>Sudeste</v>
      </c>
      <c r="E11" s="3" t="n">
        <f aca="false">COUNTIF(Vendas!$C$2:$C$2181,A11)</f>
        <v>20</v>
      </c>
      <c r="F11" s="5" t="n">
        <f aca="false">SUMIF(Vendas!$C$2:$C$2181,A11,Vendas!$J$2:$J$2181)</f>
        <v>44013.7</v>
      </c>
      <c r="G11" s="5" t="n">
        <f aca="false">IFERROR(F11/E11,0)</f>
        <v>2200.685</v>
      </c>
    </row>
    <row r="12" customFormat="false" ht="15" hidden="false" customHeight="false" outlineLevel="0" collapsed="false">
      <c r="A12" s="2" t="s">
        <v>70</v>
      </c>
      <c r="B12" s="3" t="str">
        <f aca="false">INDEX(Vendedores!$B$2:$B$101,MATCH(A12,Vendedores!$A$2:$A$101,0))</f>
        <v>Mariana Alves</v>
      </c>
      <c r="C12" s="3" t="str">
        <f aca="false">INDEX(Vendedores!$C$2:$C$101,MATCH(A12,Vendedores!$A$2:$A$101,0))</f>
        <v>L02</v>
      </c>
      <c r="D12" s="3" t="str">
        <f aca="false">INDEX(Vendedores!$E$2:$E$101,MATCH(A12,Vendedores!$A$2:$A$101,0))</f>
        <v>Sudeste</v>
      </c>
      <c r="E12" s="3" t="n">
        <f aca="false">COUNTIF(Vendas!$C$2:$C$2181,A12)</f>
        <v>21</v>
      </c>
      <c r="F12" s="5" t="n">
        <f aca="false">SUMIF(Vendas!$C$2:$C$2181,A12,Vendas!$J$2:$J$2181)</f>
        <v>34366.5</v>
      </c>
      <c r="G12" s="5" t="n">
        <f aca="false">IFERROR(F12/E12,0)</f>
        <v>1636.5</v>
      </c>
    </row>
    <row r="13" customFormat="false" ht="15" hidden="false" customHeight="false" outlineLevel="0" collapsed="false">
      <c r="A13" s="2" t="s">
        <v>72</v>
      </c>
      <c r="B13" s="3" t="str">
        <f aca="false">INDEX(Vendedores!$B$2:$B$101,MATCH(A13,Vendedores!$A$2:$A$101,0))</f>
        <v>Aline Almeida</v>
      </c>
      <c r="C13" s="3" t="str">
        <f aca="false">INDEX(Vendedores!$C$2:$C$101,MATCH(A13,Vendedores!$A$2:$A$101,0))</f>
        <v>L02</v>
      </c>
      <c r="D13" s="3" t="str">
        <f aca="false">INDEX(Vendedores!$E$2:$E$101,MATCH(A13,Vendedores!$A$2:$A$101,0))</f>
        <v>Sudeste</v>
      </c>
      <c r="E13" s="3" t="n">
        <f aca="false">COUNTIF(Vendas!$C$2:$C$2181,A13)</f>
        <v>12</v>
      </c>
      <c r="F13" s="5" t="n">
        <f aca="false">SUMIF(Vendas!$C$2:$C$2181,A13,Vendas!$J$2:$J$2181)</f>
        <v>19193</v>
      </c>
      <c r="G13" s="5" t="n">
        <f aca="false">IFERROR(F13/E13,0)</f>
        <v>1599.41666666667</v>
      </c>
    </row>
    <row r="14" customFormat="false" ht="15" hidden="false" customHeight="false" outlineLevel="0" collapsed="false">
      <c r="A14" s="2" t="s">
        <v>74</v>
      </c>
      <c r="B14" s="3" t="str">
        <f aca="false">INDEX(Vendedores!$B$2:$B$101,MATCH(A14,Vendedores!$A$2:$A$101,0))</f>
        <v>Camila Monteiro</v>
      </c>
      <c r="C14" s="3" t="str">
        <f aca="false">INDEX(Vendedores!$C$2:$C$101,MATCH(A14,Vendedores!$A$2:$A$101,0))</f>
        <v>L02</v>
      </c>
      <c r="D14" s="3" t="str">
        <f aca="false">INDEX(Vendedores!$E$2:$E$101,MATCH(A14,Vendedores!$A$2:$A$101,0))</f>
        <v>Sudeste</v>
      </c>
      <c r="E14" s="3" t="n">
        <f aca="false">COUNTIF(Vendas!$C$2:$C$2181,A14)</f>
        <v>21</v>
      </c>
      <c r="F14" s="5" t="n">
        <f aca="false">SUMIF(Vendas!$C$2:$C$2181,A14,Vendas!$J$2:$J$2181)</f>
        <v>28274.4</v>
      </c>
      <c r="G14" s="5" t="n">
        <f aca="false">IFERROR(F14/E14,0)</f>
        <v>1346.4</v>
      </c>
    </row>
    <row r="15" customFormat="false" ht="15" hidden="false" customHeight="false" outlineLevel="0" collapsed="false">
      <c r="A15" s="2" t="s">
        <v>76</v>
      </c>
      <c r="B15" s="3" t="str">
        <f aca="false">INDEX(Vendedores!$B$2:$B$101,MATCH(A15,Vendedores!$A$2:$A$101,0))</f>
        <v>Rafael Silva</v>
      </c>
      <c r="C15" s="3" t="str">
        <f aca="false">INDEX(Vendedores!$C$2:$C$101,MATCH(A15,Vendedores!$A$2:$A$101,0))</f>
        <v>L02</v>
      </c>
      <c r="D15" s="3" t="str">
        <f aca="false">INDEX(Vendedores!$E$2:$E$101,MATCH(A15,Vendedores!$A$2:$A$101,0))</f>
        <v>Sudeste</v>
      </c>
      <c r="E15" s="3" t="n">
        <f aca="false">COUNTIF(Vendas!$C$2:$C$2181,A15)</f>
        <v>14</v>
      </c>
      <c r="F15" s="5" t="n">
        <f aca="false">SUMIF(Vendas!$C$2:$C$2181,A15,Vendas!$J$2:$J$2181)</f>
        <v>16888.6</v>
      </c>
      <c r="G15" s="5" t="n">
        <f aca="false">IFERROR(F15/E15,0)</f>
        <v>1206.32857142857</v>
      </c>
    </row>
    <row r="16" customFormat="false" ht="15" hidden="false" customHeight="false" outlineLevel="0" collapsed="false">
      <c r="A16" s="2" t="s">
        <v>78</v>
      </c>
      <c r="B16" s="3" t="str">
        <f aca="false">INDEX(Vendedores!$B$2:$B$101,MATCH(A16,Vendedores!$A$2:$A$101,0))</f>
        <v>Karina Gomes</v>
      </c>
      <c r="C16" s="3" t="str">
        <f aca="false">INDEX(Vendedores!$C$2:$C$101,MATCH(A16,Vendedores!$A$2:$A$101,0))</f>
        <v>L02</v>
      </c>
      <c r="D16" s="3" t="str">
        <f aca="false">INDEX(Vendedores!$E$2:$E$101,MATCH(A16,Vendedores!$A$2:$A$101,0))</f>
        <v>Sudeste</v>
      </c>
      <c r="E16" s="3" t="n">
        <f aca="false">COUNTIF(Vendas!$C$2:$C$2181,A16)</f>
        <v>9</v>
      </c>
      <c r="F16" s="5" t="n">
        <f aca="false">SUMIF(Vendas!$C$2:$C$2181,A16,Vendas!$J$2:$J$2181)</f>
        <v>19037.3</v>
      </c>
      <c r="G16" s="5" t="n">
        <f aca="false">IFERROR(F16/E16,0)</f>
        <v>2115.25555555556</v>
      </c>
    </row>
    <row r="17" customFormat="false" ht="15" hidden="false" customHeight="false" outlineLevel="0" collapsed="false">
      <c r="A17" s="2" t="s">
        <v>80</v>
      </c>
      <c r="B17" s="3" t="str">
        <f aca="false">INDEX(Vendedores!$B$2:$B$101,MATCH(A17,Vendedores!$A$2:$A$101,0))</f>
        <v>Vitor Nascimento</v>
      </c>
      <c r="C17" s="3" t="str">
        <f aca="false">INDEX(Vendedores!$C$2:$C$101,MATCH(A17,Vendedores!$A$2:$A$101,0))</f>
        <v>L02</v>
      </c>
      <c r="D17" s="3" t="str">
        <f aca="false">INDEX(Vendedores!$E$2:$E$101,MATCH(A17,Vendedores!$A$2:$A$101,0))</f>
        <v>Sudeste</v>
      </c>
      <c r="E17" s="3" t="n">
        <f aca="false">COUNTIF(Vendas!$C$2:$C$2181,A17)</f>
        <v>15</v>
      </c>
      <c r="F17" s="5" t="n">
        <f aca="false">SUMIF(Vendas!$C$2:$C$2181,A17,Vendas!$J$2:$J$2181)</f>
        <v>17997.5</v>
      </c>
      <c r="G17" s="5" t="n">
        <f aca="false">IFERROR(F17/E17,0)</f>
        <v>1199.83333333333</v>
      </c>
    </row>
    <row r="18" customFormat="false" ht="15" hidden="false" customHeight="false" outlineLevel="0" collapsed="false">
      <c r="A18" s="2" t="s">
        <v>82</v>
      </c>
      <c r="B18" s="3" t="str">
        <f aca="false">INDEX(Vendedores!$B$2:$B$101,MATCH(A18,Vendedores!$A$2:$A$101,0))</f>
        <v>João Rodrigues</v>
      </c>
      <c r="C18" s="3" t="str">
        <f aca="false">INDEX(Vendedores!$C$2:$C$101,MATCH(A18,Vendedores!$A$2:$A$101,0))</f>
        <v>L02</v>
      </c>
      <c r="D18" s="3" t="str">
        <f aca="false">INDEX(Vendedores!$E$2:$E$101,MATCH(A18,Vendedores!$A$2:$A$101,0))</f>
        <v>Sudeste</v>
      </c>
      <c r="E18" s="3" t="n">
        <f aca="false">COUNTIF(Vendas!$C$2:$C$2181,A18)</f>
        <v>25</v>
      </c>
      <c r="F18" s="5" t="n">
        <f aca="false">SUMIF(Vendas!$C$2:$C$2181,A18,Vendas!$J$2:$J$2181)</f>
        <v>36516.5</v>
      </c>
      <c r="G18" s="5" t="n">
        <f aca="false">IFERROR(F18/E18,0)</f>
        <v>1460.66</v>
      </c>
    </row>
    <row r="19" customFormat="false" ht="15" hidden="false" customHeight="false" outlineLevel="0" collapsed="false">
      <c r="A19" s="2" t="s">
        <v>84</v>
      </c>
      <c r="B19" s="3" t="str">
        <f aca="false">INDEX(Vendedores!$B$2:$B$101,MATCH(A19,Vendedores!$A$2:$A$101,0))</f>
        <v>Vitor Santos</v>
      </c>
      <c r="C19" s="3" t="str">
        <f aca="false">INDEX(Vendedores!$C$2:$C$101,MATCH(A19,Vendedores!$A$2:$A$101,0))</f>
        <v>L02</v>
      </c>
      <c r="D19" s="3" t="str">
        <f aca="false">INDEX(Vendedores!$E$2:$E$101,MATCH(A19,Vendedores!$A$2:$A$101,0))</f>
        <v>Sudeste</v>
      </c>
      <c r="E19" s="3" t="n">
        <f aca="false">COUNTIF(Vendas!$C$2:$C$2181,A19)</f>
        <v>13</v>
      </c>
      <c r="F19" s="5" t="n">
        <f aca="false">SUMIF(Vendas!$C$2:$C$2181,A19,Vendas!$J$2:$J$2181)</f>
        <v>22986</v>
      </c>
      <c r="G19" s="5" t="n">
        <f aca="false">IFERROR(F19/E19,0)</f>
        <v>1768.15384615385</v>
      </c>
    </row>
    <row r="20" customFormat="false" ht="15" hidden="false" customHeight="false" outlineLevel="0" collapsed="false">
      <c r="A20" s="2" t="s">
        <v>86</v>
      </c>
      <c r="B20" s="3" t="str">
        <f aca="false">INDEX(Vendedores!$B$2:$B$101,MATCH(A20,Vendedores!$A$2:$A$101,0))</f>
        <v>Fabio Carvalho</v>
      </c>
      <c r="C20" s="3" t="str">
        <f aca="false">INDEX(Vendedores!$C$2:$C$101,MATCH(A20,Vendedores!$A$2:$A$101,0))</f>
        <v>L02</v>
      </c>
      <c r="D20" s="3" t="str">
        <f aca="false">INDEX(Vendedores!$E$2:$E$101,MATCH(A20,Vendedores!$A$2:$A$101,0))</f>
        <v>Sudeste</v>
      </c>
      <c r="E20" s="3" t="n">
        <f aca="false">COUNTIF(Vendas!$C$2:$C$2181,A20)</f>
        <v>22</v>
      </c>
      <c r="F20" s="5" t="n">
        <f aca="false">SUMIF(Vendas!$C$2:$C$2181,A20,Vendas!$J$2:$J$2181)</f>
        <v>35181.2</v>
      </c>
      <c r="G20" s="5" t="n">
        <f aca="false">IFERROR(F20/E20,0)</f>
        <v>1599.14545454545</v>
      </c>
    </row>
    <row r="21" customFormat="false" ht="15" hidden="false" customHeight="false" outlineLevel="0" collapsed="false">
      <c r="A21" s="2" t="s">
        <v>88</v>
      </c>
      <c r="B21" s="3" t="str">
        <f aca="false">INDEX(Vendedores!$B$2:$B$101,MATCH(A21,Vendedores!$A$2:$A$101,0))</f>
        <v>Gabriela Fernandes</v>
      </c>
      <c r="C21" s="3" t="str">
        <f aca="false">INDEX(Vendedores!$C$2:$C$101,MATCH(A21,Vendedores!$A$2:$A$101,0))</f>
        <v>L02</v>
      </c>
      <c r="D21" s="3" t="str">
        <f aca="false">INDEX(Vendedores!$E$2:$E$101,MATCH(A21,Vendedores!$A$2:$A$101,0))</f>
        <v>Sudeste</v>
      </c>
      <c r="E21" s="3" t="n">
        <f aca="false">COUNTIF(Vendas!$C$2:$C$2181,A21)</f>
        <v>18</v>
      </c>
      <c r="F21" s="5" t="n">
        <f aca="false">SUMIF(Vendas!$C$2:$C$2181,A21,Vendas!$J$2:$J$2181)</f>
        <v>25710.6</v>
      </c>
      <c r="G21" s="5" t="n">
        <f aca="false">IFERROR(F21/E21,0)</f>
        <v>1428.36666666667</v>
      </c>
    </row>
    <row r="22" customFormat="false" ht="15" hidden="false" customHeight="false" outlineLevel="0" collapsed="false">
      <c r="A22" s="2" t="s">
        <v>90</v>
      </c>
      <c r="B22" s="3" t="str">
        <f aca="false">INDEX(Vendedores!$B$2:$B$101,MATCH(A22,Vendedores!$A$2:$A$101,0))</f>
        <v>Wanda Barbosa</v>
      </c>
      <c r="C22" s="3" t="str">
        <f aca="false">INDEX(Vendedores!$C$2:$C$101,MATCH(A22,Vendedores!$A$2:$A$101,0))</f>
        <v>L03</v>
      </c>
      <c r="D22" s="3" t="str">
        <f aca="false">INDEX(Vendedores!$E$2:$E$101,MATCH(A22,Vendedores!$A$2:$A$101,0))</f>
        <v>Sudeste</v>
      </c>
      <c r="E22" s="3" t="n">
        <f aca="false">COUNTIF(Vendas!$C$2:$C$2181,A22)</f>
        <v>19</v>
      </c>
      <c r="F22" s="5" t="n">
        <f aca="false">SUMIF(Vendas!$C$2:$C$2181,A22,Vendas!$J$2:$J$2181)</f>
        <v>36738.5</v>
      </c>
      <c r="G22" s="5" t="n">
        <f aca="false">IFERROR(F22/E22,0)</f>
        <v>1933.60526315789</v>
      </c>
    </row>
    <row r="23" customFormat="false" ht="15" hidden="false" customHeight="false" outlineLevel="0" collapsed="false">
      <c r="A23" s="2" t="s">
        <v>92</v>
      </c>
      <c r="B23" s="3" t="str">
        <f aca="false">INDEX(Vendedores!$B$2:$B$101,MATCH(A23,Vendedores!$A$2:$A$101,0))</f>
        <v>Queila Souza</v>
      </c>
      <c r="C23" s="3" t="str">
        <f aca="false">INDEX(Vendedores!$C$2:$C$101,MATCH(A23,Vendedores!$A$2:$A$101,0))</f>
        <v>L03</v>
      </c>
      <c r="D23" s="3" t="str">
        <f aca="false">INDEX(Vendedores!$E$2:$E$101,MATCH(A23,Vendedores!$A$2:$A$101,0))</f>
        <v>Sudeste</v>
      </c>
      <c r="E23" s="3" t="n">
        <f aca="false">COUNTIF(Vendas!$C$2:$C$2181,A23)</f>
        <v>24</v>
      </c>
      <c r="F23" s="5" t="n">
        <f aca="false">SUMIF(Vendas!$C$2:$C$2181,A23,Vendas!$J$2:$J$2181)</f>
        <v>42700</v>
      </c>
      <c r="G23" s="5" t="n">
        <f aca="false">IFERROR(F23/E23,0)</f>
        <v>1779.16666666667</v>
      </c>
    </row>
    <row r="24" customFormat="false" ht="15" hidden="false" customHeight="false" outlineLevel="0" collapsed="false">
      <c r="A24" s="2" t="s">
        <v>94</v>
      </c>
      <c r="B24" s="3" t="str">
        <f aca="false">INDEX(Vendedores!$B$2:$B$101,MATCH(A24,Vendedores!$A$2:$A$101,0))</f>
        <v>Daniel Alves</v>
      </c>
      <c r="C24" s="3" t="str">
        <f aca="false">INDEX(Vendedores!$C$2:$C$101,MATCH(A24,Vendedores!$A$2:$A$101,0))</f>
        <v>L03</v>
      </c>
      <c r="D24" s="3" t="str">
        <f aca="false">INDEX(Vendedores!$E$2:$E$101,MATCH(A24,Vendedores!$A$2:$A$101,0))</f>
        <v>Sudeste</v>
      </c>
      <c r="E24" s="3" t="n">
        <f aca="false">COUNTIF(Vendas!$C$2:$C$2181,A24)</f>
        <v>14</v>
      </c>
      <c r="F24" s="5" t="n">
        <f aca="false">SUMIF(Vendas!$C$2:$C$2181,A24,Vendas!$J$2:$J$2181)</f>
        <v>16043.8</v>
      </c>
      <c r="G24" s="5" t="n">
        <f aca="false">IFERROR(F24/E24,0)</f>
        <v>1145.98571428571</v>
      </c>
    </row>
    <row r="25" customFormat="false" ht="15" hidden="false" customHeight="false" outlineLevel="0" collapsed="false">
      <c r="A25" s="2" t="s">
        <v>96</v>
      </c>
      <c r="B25" s="3" t="str">
        <f aca="false">INDEX(Vendedores!$B$2:$B$101,MATCH(A25,Vendedores!$A$2:$A$101,0))</f>
        <v>Hugo Carvalho</v>
      </c>
      <c r="C25" s="3" t="str">
        <f aca="false">INDEX(Vendedores!$C$2:$C$101,MATCH(A25,Vendedores!$A$2:$A$101,0))</f>
        <v>L03</v>
      </c>
      <c r="D25" s="3" t="str">
        <f aca="false">INDEX(Vendedores!$E$2:$E$101,MATCH(A25,Vendedores!$A$2:$A$101,0))</f>
        <v>Sudeste</v>
      </c>
      <c r="E25" s="3" t="n">
        <f aca="false">COUNTIF(Vendas!$C$2:$C$2181,A25)</f>
        <v>20</v>
      </c>
      <c r="F25" s="5" t="n">
        <f aca="false">SUMIF(Vendas!$C$2:$C$2181,A25,Vendas!$J$2:$J$2181)</f>
        <v>40058.6</v>
      </c>
      <c r="G25" s="5" t="n">
        <f aca="false">IFERROR(F25/E25,0)</f>
        <v>2002.93</v>
      </c>
    </row>
    <row r="26" customFormat="false" ht="15" hidden="false" customHeight="false" outlineLevel="0" collapsed="false">
      <c r="A26" s="2" t="s">
        <v>98</v>
      </c>
      <c r="B26" s="3" t="str">
        <f aca="false">INDEX(Vendedores!$B$2:$B$101,MATCH(A26,Vendedores!$A$2:$A$101,0))</f>
        <v>Fabio Alves</v>
      </c>
      <c r="C26" s="3" t="str">
        <f aca="false">INDEX(Vendedores!$C$2:$C$101,MATCH(A26,Vendedores!$A$2:$A$101,0))</f>
        <v>L03</v>
      </c>
      <c r="D26" s="3" t="str">
        <f aca="false">INDEX(Vendedores!$E$2:$E$101,MATCH(A26,Vendedores!$A$2:$A$101,0))</f>
        <v>Sudeste</v>
      </c>
      <c r="E26" s="3" t="n">
        <f aca="false">COUNTIF(Vendas!$C$2:$C$2181,A26)</f>
        <v>26</v>
      </c>
      <c r="F26" s="5" t="n">
        <f aca="false">SUMIF(Vendas!$C$2:$C$2181,A26,Vendas!$J$2:$J$2181)</f>
        <v>48005.2</v>
      </c>
      <c r="G26" s="5" t="n">
        <f aca="false">IFERROR(F26/E26,0)</f>
        <v>1846.35384615385</v>
      </c>
    </row>
    <row r="27" customFormat="false" ht="15" hidden="false" customHeight="false" outlineLevel="0" collapsed="false">
      <c r="A27" s="2" t="s">
        <v>100</v>
      </c>
      <c r="B27" s="3" t="str">
        <f aca="false">INDEX(Vendedores!$B$2:$B$101,MATCH(A27,Vendedores!$A$2:$A$101,0))</f>
        <v>Sofia Barbosa</v>
      </c>
      <c r="C27" s="3" t="str">
        <f aca="false">INDEX(Vendedores!$C$2:$C$101,MATCH(A27,Vendedores!$A$2:$A$101,0))</f>
        <v>L03</v>
      </c>
      <c r="D27" s="3" t="str">
        <f aca="false">INDEX(Vendedores!$E$2:$E$101,MATCH(A27,Vendedores!$A$2:$A$101,0))</f>
        <v>Sudeste</v>
      </c>
      <c r="E27" s="3" t="n">
        <f aca="false">COUNTIF(Vendas!$C$2:$C$2181,A27)</f>
        <v>19</v>
      </c>
      <c r="F27" s="5" t="n">
        <f aca="false">SUMIF(Vendas!$C$2:$C$2181,A27,Vendas!$J$2:$J$2181)</f>
        <v>28623.8</v>
      </c>
      <c r="G27" s="5" t="n">
        <f aca="false">IFERROR(F27/E27,0)</f>
        <v>1506.51578947368</v>
      </c>
    </row>
    <row r="28" customFormat="false" ht="15" hidden="false" customHeight="false" outlineLevel="0" collapsed="false">
      <c r="A28" s="2" t="s">
        <v>102</v>
      </c>
      <c r="B28" s="3" t="str">
        <f aca="false">INDEX(Vendedores!$B$2:$B$101,MATCH(A28,Vendedores!$A$2:$A$101,0))</f>
        <v>Xavier Monteiro</v>
      </c>
      <c r="C28" s="3" t="str">
        <f aca="false">INDEX(Vendedores!$C$2:$C$101,MATCH(A28,Vendedores!$A$2:$A$101,0))</f>
        <v>L03</v>
      </c>
      <c r="D28" s="3" t="str">
        <f aca="false">INDEX(Vendedores!$E$2:$E$101,MATCH(A28,Vendedores!$A$2:$A$101,0))</f>
        <v>Sudeste</v>
      </c>
      <c r="E28" s="3" t="n">
        <f aca="false">COUNTIF(Vendas!$C$2:$C$2181,A28)</f>
        <v>20</v>
      </c>
      <c r="F28" s="5" t="n">
        <f aca="false">SUMIF(Vendas!$C$2:$C$2181,A28,Vendas!$J$2:$J$2181)</f>
        <v>32512.1</v>
      </c>
      <c r="G28" s="5" t="n">
        <f aca="false">IFERROR(F28/E28,0)</f>
        <v>1625.605</v>
      </c>
    </row>
    <row r="29" customFormat="false" ht="15" hidden="false" customHeight="false" outlineLevel="0" collapsed="false">
      <c r="A29" s="2" t="s">
        <v>104</v>
      </c>
      <c r="B29" s="3" t="str">
        <f aca="false">INDEX(Vendedores!$B$2:$B$101,MATCH(A29,Vendedores!$A$2:$A$101,0))</f>
        <v>Mariana Oliveira</v>
      </c>
      <c r="C29" s="3" t="str">
        <f aca="false">INDEX(Vendedores!$C$2:$C$101,MATCH(A29,Vendedores!$A$2:$A$101,0))</f>
        <v>L03</v>
      </c>
      <c r="D29" s="3" t="str">
        <f aca="false">INDEX(Vendedores!$E$2:$E$101,MATCH(A29,Vendedores!$A$2:$A$101,0))</f>
        <v>Sudeste</v>
      </c>
      <c r="E29" s="3" t="n">
        <f aca="false">COUNTIF(Vendas!$C$2:$C$2181,A29)</f>
        <v>21</v>
      </c>
      <c r="F29" s="5" t="n">
        <f aca="false">SUMIF(Vendas!$C$2:$C$2181,A29,Vendas!$J$2:$J$2181)</f>
        <v>31392.7</v>
      </c>
      <c r="G29" s="5" t="n">
        <f aca="false">IFERROR(F29/E29,0)</f>
        <v>1494.89047619048</v>
      </c>
    </row>
    <row r="30" customFormat="false" ht="15" hidden="false" customHeight="false" outlineLevel="0" collapsed="false">
      <c r="A30" s="2" t="s">
        <v>106</v>
      </c>
      <c r="B30" s="3" t="str">
        <f aca="false">INDEX(Vendedores!$B$2:$B$101,MATCH(A30,Vendedores!$A$2:$A$101,0))</f>
        <v>Carla Almeida</v>
      </c>
      <c r="C30" s="3" t="str">
        <f aca="false">INDEX(Vendedores!$C$2:$C$101,MATCH(A30,Vendedores!$A$2:$A$101,0))</f>
        <v>L03</v>
      </c>
      <c r="D30" s="3" t="str">
        <f aca="false">INDEX(Vendedores!$E$2:$E$101,MATCH(A30,Vendedores!$A$2:$A$101,0))</f>
        <v>Sudeste</v>
      </c>
      <c r="E30" s="3" t="n">
        <f aca="false">COUNTIF(Vendas!$C$2:$C$2181,A30)</f>
        <v>20</v>
      </c>
      <c r="F30" s="5" t="n">
        <f aca="false">SUMIF(Vendas!$C$2:$C$2181,A30,Vendas!$J$2:$J$2181)</f>
        <v>33915.4</v>
      </c>
      <c r="G30" s="5" t="n">
        <f aca="false">IFERROR(F30/E30,0)</f>
        <v>1695.77</v>
      </c>
    </row>
    <row r="31" customFormat="false" ht="15" hidden="false" customHeight="false" outlineLevel="0" collapsed="false">
      <c r="A31" s="2" t="s">
        <v>108</v>
      </c>
      <c r="B31" s="3" t="str">
        <f aca="false">INDEX(Vendedores!$B$2:$B$101,MATCH(A31,Vendedores!$A$2:$A$101,0))</f>
        <v>Sofia Oliveira</v>
      </c>
      <c r="C31" s="3" t="str">
        <f aca="false">INDEX(Vendedores!$C$2:$C$101,MATCH(A31,Vendedores!$A$2:$A$101,0))</f>
        <v>L03</v>
      </c>
      <c r="D31" s="3" t="str">
        <f aca="false">INDEX(Vendedores!$E$2:$E$101,MATCH(A31,Vendedores!$A$2:$A$101,0))</f>
        <v>Sudeste</v>
      </c>
      <c r="E31" s="3" t="n">
        <f aca="false">COUNTIF(Vendas!$C$2:$C$2181,A31)</f>
        <v>18</v>
      </c>
      <c r="F31" s="5" t="n">
        <f aca="false">SUMIF(Vendas!$C$2:$C$2181,A31,Vendas!$J$2:$J$2181)</f>
        <v>22685.2</v>
      </c>
      <c r="G31" s="5" t="n">
        <f aca="false">IFERROR(F31/E31,0)</f>
        <v>1260.28888888889</v>
      </c>
    </row>
    <row r="32" customFormat="false" ht="15" hidden="false" customHeight="false" outlineLevel="0" collapsed="false">
      <c r="A32" s="2" t="s">
        <v>110</v>
      </c>
      <c r="B32" s="3" t="str">
        <f aca="false">INDEX(Vendedores!$B$2:$B$101,MATCH(A32,Vendedores!$A$2:$A$101,0))</f>
        <v>Olívia Santos</v>
      </c>
      <c r="C32" s="3" t="str">
        <f aca="false">INDEX(Vendedores!$C$2:$C$101,MATCH(A32,Vendedores!$A$2:$A$101,0))</f>
        <v>L04</v>
      </c>
      <c r="D32" s="3" t="str">
        <f aca="false">INDEX(Vendedores!$E$2:$E$101,MATCH(A32,Vendedores!$A$2:$A$101,0))</f>
        <v>Sudeste</v>
      </c>
      <c r="E32" s="3" t="n">
        <f aca="false">COUNTIF(Vendas!$C$2:$C$2181,A32)</f>
        <v>19</v>
      </c>
      <c r="F32" s="5" t="n">
        <f aca="false">SUMIF(Vendas!$C$2:$C$2181,A32,Vendas!$J$2:$J$2181)</f>
        <v>20287.1</v>
      </c>
      <c r="G32" s="5" t="n">
        <f aca="false">IFERROR(F32/E32,0)</f>
        <v>1067.74210526316</v>
      </c>
    </row>
    <row r="33" customFormat="false" ht="15" hidden="false" customHeight="false" outlineLevel="0" collapsed="false">
      <c r="A33" s="2" t="s">
        <v>112</v>
      </c>
      <c r="B33" s="3" t="str">
        <f aca="false">INDEX(Vendedores!$B$2:$B$101,MATCH(A33,Vendedores!$A$2:$A$101,0))</f>
        <v>Yasmin Nascimento</v>
      </c>
      <c r="C33" s="3" t="str">
        <f aca="false">INDEX(Vendedores!$C$2:$C$101,MATCH(A33,Vendedores!$A$2:$A$101,0))</f>
        <v>L04</v>
      </c>
      <c r="D33" s="3" t="str">
        <f aca="false">INDEX(Vendedores!$E$2:$E$101,MATCH(A33,Vendedores!$A$2:$A$101,0))</f>
        <v>Sudeste</v>
      </c>
      <c r="E33" s="3" t="n">
        <f aca="false">COUNTIF(Vendas!$C$2:$C$2181,A33)</f>
        <v>19</v>
      </c>
      <c r="F33" s="5" t="n">
        <f aca="false">SUMIF(Vendas!$C$2:$C$2181,A33,Vendas!$J$2:$J$2181)</f>
        <v>28963.3</v>
      </c>
      <c r="G33" s="5" t="n">
        <f aca="false">IFERROR(F33/E33,0)</f>
        <v>1524.38421052632</v>
      </c>
    </row>
    <row r="34" customFormat="false" ht="15" hidden="false" customHeight="false" outlineLevel="0" collapsed="false">
      <c r="A34" s="2" t="s">
        <v>114</v>
      </c>
      <c r="B34" s="3" t="str">
        <f aca="false">INDEX(Vendedores!$B$2:$B$101,MATCH(A34,Vendedores!$A$2:$A$101,0))</f>
        <v>Daniel Fernandes</v>
      </c>
      <c r="C34" s="3" t="str">
        <f aca="false">INDEX(Vendedores!$C$2:$C$101,MATCH(A34,Vendedores!$A$2:$A$101,0))</f>
        <v>L04</v>
      </c>
      <c r="D34" s="3" t="str">
        <f aca="false">INDEX(Vendedores!$E$2:$E$101,MATCH(A34,Vendedores!$A$2:$A$101,0))</f>
        <v>Sudeste</v>
      </c>
      <c r="E34" s="3" t="n">
        <f aca="false">COUNTIF(Vendas!$C$2:$C$2181,A34)</f>
        <v>12</v>
      </c>
      <c r="F34" s="5" t="n">
        <f aca="false">SUMIF(Vendas!$C$2:$C$2181,A34,Vendas!$J$2:$J$2181)</f>
        <v>15594</v>
      </c>
      <c r="G34" s="5" t="n">
        <f aca="false">IFERROR(F34/E34,0)</f>
        <v>1299.5</v>
      </c>
    </row>
    <row r="35" customFormat="false" ht="15" hidden="false" customHeight="false" outlineLevel="0" collapsed="false">
      <c r="A35" s="2" t="s">
        <v>116</v>
      </c>
      <c r="B35" s="3" t="str">
        <f aca="false">INDEX(Vendedores!$B$2:$B$101,MATCH(A35,Vendedores!$A$2:$A$101,0))</f>
        <v>Karina Fernandes</v>
      </c>
      <c r="C35" s="3" t="str">
        <f aca="false">INDEX(Vendedores!$C$2:$C$101,MATCH(A35,Vendedores!$A$2:$A$101,0))</f>
        <v>L04</v>
      </c>
      <c r="D35" s="3" t="str">
        <f aca="false">INDEX(Vendedores!$E$2:$E$101,MATCH(A35,Vendedores!$A$2:$A$101,0))</f>
        <v>Sudeste</v>
      </c>
      <c r="E35" s="3" t="n">
        <f aca="false">COUNTIF(Vendas!$C$2:$C$2181,A35)</f>
        <v>17</v>
      </c>
      <c r="F35" s="5" t="n">
        <f aca="false">SUMIF(Vendas!$C$2:$C$2181,A35,Vendas!$J$2:$J$2181)</f>
        <v>27694.9</v>
      </c>
      <c r="G35" s="5" t="n">
        <f aca="false">IFERROR(F35/E35,0)</f>
        <v>1629.11176470588</v>
      </c>
    </row>
    <row r="36" customFormat="false" ht="15" hidden="false" customHeight="false" outlineLevel="0" collapsed="false">
      <c r="A36" s="2" t="s">
        <v>118</v>
      </c>
      <c r="B36" s="3" t="str">
        <f aca="false">INDEX(Vendedores!$B$2:$B$101,MATCH(A36,Vendedores!$A$2:$A$101,0))</f>
        <v>Wanda Rodrigues</v>
      </c>
      <c r="C36" s="3" t="str">
        <f aca="false">INDEX(Vendedores!$C$2:$C$101,MATCH(A36,Vendedores!$A$2:$A$101,0))</f>
        <v>L04</v>
      </c>
      <c r="D36" s="3" t="str">
        <f aca="false">INDEX(Vendedores!$E$2:$E$101,MATCH(A36,Vendedores!$A$2:$A$101,0))</f>
        <v>Sudeste</v>
      </c>
      <c r="E36" s="3" t="n">
        <f aca="false">COUNTIF(Vendas!$C$2:$C$2181,A36)</f>
        <v>20</v>
      </c>
      <c r="F36" s="5" t="n">
        <f aca="false">SUMIF(Vendas!$C$2:$C$2181,A36,Vendas!$J$2:$J$2181)</f>
        <v>36182.5</v>
      </c>
      <c r="G36" s="5" t="n">
        <f aca="false">IFERROR(F36/E36,0)</f>
        <v>1809.125</v>
      </c>
    </row>
    <row r="37" customFormat="false" ht="15" hidden="false" customHeight="false" outlineLevel="0" collapsed="false">
      <c r="A37" s="2" t="s">
        <v>120</v>
      </c>
      <c r="B37" s="3" t="str">
        <f aca="false">INDEX(Vendedores!$B$2:$B$101,MATCH(A37,Vendedores!$A$2:$A$101,0))</f>
        <v>Rafael Oliveira</v>
      </c>
      <c r="C37" s="3" t="str">
        <f aca="false">INDEX(Vendedores!$C$2:$C$101,MATCH(A37,Vendedores!$A$2:$A$101,0))</f>
        <v>L04</v>
      </c>
      <c r="D37" s="3" t="str">
        <f aca="false">INDEX(Vendedores!$E$2:$E$101,MATCH(A37,Vendedores!$A$2:$A$101,0))</f>
        <v>Sudeste</v>
      </c>
      <c r="E37" s="3" t="n">
        <f aca="false">COUNTIF(Vendas!$C$2:$C$2181,A37)</f>
        <v>23</v>
      </c>
      <c r="F37" s="5" t="n">
        <f aca="false">SUMIF(Vendas!$C$2:$C$2181,A37,Vendas!$J$2:$J$2181)</f>
        <v>49128.8</v>
      </c>
      <c r="G37" s="5" t="n">
        <f aca="false">IFERROR(F37/E37,0)</f>
        <v>2136.0347826087</v>
      </c>
    </row>
    <row r="38" customFormat="false" ht="15" hidden="false" customHeight="false" outlineLevel="0" collapsed="false">
      <c r="A38" s="2" t="s">
        <v>122</v>
      </c>
      <c r="B38" s="3" t="str">
        <f aca="false">INDEX(Vendedores!$B$2:$B$101,MATCH(A38,Vendedores!$A$2:$A$101,0))</f>
        <v>Marcela Costa</v>
      </c>
      <c r="C38" s="3" t="str">
        <f aca="false">INDEX(Vendedores!$C$2:$C$101,MATCH(A38,Vendedores!$A$2:$A$101,0))</f>
        <v>L04</v>
      </c>
      <c r="D38" s="3" t="str">
        <f aca="false">INDEX(Vendedores!$E$2:$E$101,MATCH(A38,Vendedores!$A$2:$A$101,0))</f>
        <v>Sudeste</v>
      </c>
      <c r="E38" s="3" t="n">
        <f aca="false">COUNTIF(Vendas!$C$2:$C$2181,A38)</f>
        <v>27</v>
      </c>
      <c r="F38" s="5" t="n">
        <f aca="false">SUMIF(Vendas!$C$2:$C$2181,A38,Vendas!$J$2:$J$2181)</f>
        <v>19731.8</v>
      </c>
      <c r="G38" s="5" t="n">
        <f aca="false">IFERROR(F38/E38,0)</f>
        <v>730.807407407407</v>
      </c>
    </row>
    <row r="39" customFormat="false" ht="15" hidden="false" customHeight="false" outlineLevel="0" collapsed="false">
      <c r="A39" s="2" t="s">
        <v>124</v>
      </c>
      <c r="B39" s="3" t="str">
        <f aca="false">INDEX(Vendedores!$B$2:$B$101,MATCH(A39,Vendedores!$A$2:$A$101,0))</f>
        <v>Ingrid Almeida</v>
      </c>
      <c r="C39" s="3" t="str">
        <f aca="false">INDEX(Vendedores!$C$2:$C$101,MATCH(A39,Vendedores!$A$2:$A$101,0))</f>
        <v>L04</v>
      </c>
      <c r="D39" s="3" t="str">
        <f aca="false">INDEX(Vendedores!$E$2:$E$101,MATCH(A39,Vendedores!$A$2:$A$101,0))</f>
        <v>Sudeste</v>
      </c>
      <c r="E39" s="3" t="n">
        <f aca="false">COUNTIF(Vendas!$C$2:$C$2181,A39)</f>
        <v>15</v>
      </c>
      <c r="F39" s="5" t="n">
        <f aca="false">SUMIF(Vendas!$C$2:$C$2181,A39,Vendas!$J$2:$J$2181)</f>
        <v>27764.3</v>
      </c>
      <c r="G39" s="5" t="n">
        <f aca="false">IFERROR(F39/E39,0)</f>
        <v>1850.95333333333</v>
      </c>
    </row>
    <row r="40" customFormat="false" ht="15" hidden="false" customHeight="false" outlineLevel="0" collapsed="false">
      <c r="A40" s="2" t="s">
        <v>126</v>
      </c>
      <c r="B40" s="3" t="str">
        <f aca="false">INDEX(Vendedores!$B$2:$B$101,MATCH(A40,Vendedores!$A$2:$A$101,0))</f>
        <v>Karina Martins</v>
      </c>
      <c r="C40" s="3" t="str">
        <f aca="false">INDEX(Vendedores!$C$2:$C$101,MATCH(A40,Vendedores!$A$2:$A$101,0))</f>
        <v>L04</v>
      </c>
      <c r="D40" s="3" t="str">
        <f aca="false">INDEX(Vendedores!$E$2:$E$101,MATCH(A40,Vendedores!$A$2:$A$101,0))</f>
        <v>Sudeste</v>
      </c>
      <c r="E40" s="3" t="n">
        <f aca="false">COUNTIF(Vendas!$C$2:$C$2181,A40)</f>
        <v>22</v>
      </c>
      <c r="F40" s="5" t="n">
        <f aca="false">SUMIF(Vendas!$C$2:$C$2181,A40,Vendas!$J$2:$J$2181)</f>
        <v>38186.2</v>
      </c>
      <c r="G40" s="5" t="n">
        <f aca="false">IFERROR(F40/E40,0)</f>
        <v>1735.73636363636</v>
      </c>
    </row>
    <row r="41" customFormat="false" ht="15" hidden="false" customHeight="false" outlineLevel="0" collapsed="false">
      <c r="A41" s="2" t="s">
        <v>128</v>
      </c>
      <c r="B41" s="3" t="str">
        <f aca="false">INDEX(Vendedores!$B$2:$B$101,MATCH(A41,Vendedores!$A$2:$A$101,0))</f>
        <v>Yasmin Nascimento</v>
      </c>
      <c r="C41" s="3" t="str">
        <f aca="false">INDEX(Vendedores!$C$2:$C$101,MATCH(A41,Vendedores!$A$2:$A$101,0))</f>
        <v>L04</v>
      </c>
      <c r="D41" s="3" t="str">
        <f aca="false">INDEX(Vendedores!$E$2:$E$101,MATCH(A41,Vendedores!$A$2:$A$101,0))</f>
        <v>Sudeste</v>
      </c>
      <c r="E41" s="3" t="n">
        <f aca="false">COUNTIF(Vendas!$C$2:$C$2181,A41)</f>
        <v>16</v>
      </c>
      <c r="F41" s="5" t="n">
        <f aca="false">SUMIF(Vendas!$C$2:$C$2181,A41,Vendas!$J$2:$J$2181)</f>
        <v>11270.3</v>
      </c>
      <c r="G41" s="5" t="n">
        <f aca="false">IFERROR(F41/E41,0)</f>
        <v>704.39375</v>
      </c>
    </row>
    <row r="42" customFormat="false" ht="15" hidden="false" customHeight="false" outlineLevel="0" collapsed="false">
      <c r="A42" s="2" t="s">
        <v>129</v>
      </c>
      <c r="B42" s="3" t="str">
        <f aca="false">INDEX(Vendedores!$B$2:$B$101,MATCH(A42,Vendedores!$A$2:$A$101,0))</f>
        <v>Jorge Almeida</v>
      </c>
      <c r="C42" s="3" t="str">
        <f aca="false">INDEX(Vendedores!$C$2:$C$101,MATCH(A42,Vendedores!$A$2:$A$101,0))</f>
        <v>L05</v>
      </c>
      <c r="D42" s="3" t="str">
        <f aca="false">INDEX(Vendedores!$E$2:$E$101,MATCH(A42,Vendedores!$A$2:$A$101,0))</f>
        <v>Sul</v>
      </c>
      <c r="E42" s="3" t="n">
        <f aca="false">COUNTIF(Vendas!$C$2:$C$2181,A42)</f>
        <v>18</v>
      </c>
      <c r="F42" s="5" t="n">
        <f aca="false">SUMIF(Vendas!$C$2:$C$2181,A42,Vendas!$J$2:$J$2181)</f>
        <v>15722.4</v>
      </c>
      <c r="G42" s="5" t="n">
        <f aca="false">IFERROR(F42/E42,0)</f>
        <v>873.466666666667</v>
      </c>
    </row>
    <row r="43" customFormat="false" ht="15" hidden="false" customHeight="false" outlineLevel="0" collapsed="false">
      <c r="A43" s="2" t="s">
        <v>131</v>
      </c>
      <c r="B43" s="3" t="str">
        <f aca="false">INDEX(Vendedores!$B$2:$B$101,MATCH(A43,Vendedores!$A$2:$A$101,0))</f>
        <v>Ursula Souza</v>
      </c>
      <c r="C43" s="3" t="str">
        <f aca="false">INDEX(Vendedores!$C$2:$C$101,MATCH(A43,Vendedores!$A$2:$A$101,0))</f>
        <v>L05</v>
      </c>
      <c r="D43" s="3" t="str">
        <f aca="false">INDEX(Vendedores!$E$2:$E$101,MATCH(A43,Vendedores!$A$2:$A$101,0))</f>
        <v>Sul</v>
      </c>
      <c r="E43" s="3" t="n">
        <f aca="false">COUNTIF(Vendas!$C$2:$C$2181,A43)</f>
        <v>23</v>
      </c>
      <c r="F43" s="5" t="n">
        <f aca="false">SUMIF(Vendas!$C$2:$C$2181,A43,Vendas!$J$2:$J$2181)</f>
        <v>31513.6</v>
      </c>
      <c r="G43" s="5" t="n">
        <f aca="false">IFERROR(F43/E43,0)</f>
        <v>1370.15652173913</v>
      </c>
    </row>
    <row r="44" customFormat="false" ht="15" hidden="false" customHeight="false" outlineLevel="0" collapsed="false">
      <c r="A44" s="2" t="s">
        <v>133</v>
      </c>
      <c r="B44" s="3" t="str">
        <f aca="false">INDEX(Vendedores!$B$2:$B$101,MATCH(A44,Vendedores!$A$2:$A$101,0))</f>
        <v>Olívia Souza</v>
      </c>
      <c r="C44" s="3" t="str">
        <f aca="false">INDEX(Vendedores!$C$2:$C$101,MATCH(A44,Vendedores!$A$2:$A$101,0))</f>
        <v>L05</v>
      </c>
      <c r="D44" s="3" t="str">
        <f aca="false">INDEX(Vendedores!$E$2:$E$101,MATCH(A44,Vendedores!$A$2:$A$101,0))</f>
        <v>Sul</v>
      </c>
      <c r="E44" s="3" t="n">
        <f aca="false">COUNTIF(Vendas!$C$2:$C$2181,A44)</f>
        <v>29</v>
      </c>
      <c r="F44" s="5" t="n">
        <f aca="false">SUMIF(Vendas!$C$2:$C$2181,A44,Vendas!$J$2:$J$2181)</f>
        <v>19451.9</v>
      </c>
      <c r="G44" s="5" t="n">
        <f aca="false">IFERROR(F44/E44,0)</f>
        <v>670.755172413793</v>
      </c>
    </row>
    <row r="45" customFormat="false" ht="15" hidden="false" customHeight="false" outlineLevel="0" collapsed="false">
      <c r="A45" s="2" t="s">
        <v>135</v>
      </c>
      <c r="B45" s="3" t="str">
        <f aca="false">INDEX(Vendedores!$B$2:$B$101,MATCH(A45,Vendedores!$A$2:$A$101,0))</f>
        <v>Ursula Carvalho</v>
      </c>
      <c r="C45" s="3" t="str">
        <f aca="false">INDEX(Vendedores!$C$2:$C$101,MATCH(A45,Vendedores!$A$2:$A$101,0))</f>
        <v>L05</v>
      </c>
      <c r="D45" s="3" t="str">
        <f aca="false">INDEX(Vendedores!$E$2:$E$101,MATCH(A45,Vendedores!$A$2:$A$101,0))</f>
        <v>Sul</v>
      </c>
      <c r="E45" s="3" t="n">
        <f aca="false">COUNTIF(Vendas!$C$2:$C$2181,A45)</f>
        <v>25</v>
      </c>
      <c r="F45" s="5" t="n">
        <f aca="false">SUMIF(Vendas!$C$2:$C$2181,A45,Vendas!$J$2:$J$2181)</f>
        <v>16283.2</v>
      </c>
      <c r="G45" s="5" t="n">
        <f aca="false">IFERROR(F45/E45,0)</f>
        <v>651.328</v>
      </c>
    </row>
    <row r="46" customFormat="false" ht="15" hidden="false" customHeight="false" outlineLevel="0" collapsed="false">
      <c r="A46" s="2" t="s">
        <v>137</v>
      </c>
      <c r="B46" s="3" t="str">
        <f aca="false">INDEX(Vendedores!$B$2:$B$101,MATCH(A46,Vendedores!$A$2:$A$101,0))</f>
        <v>Rafael Oliveira</v>
      </c>
      <c r="C46" s="3" t="str">
        <f aca="false">INDEX(Vendedores!$C$2:$C$101,MATCH(A46,Vendedores!$A$2:$A$101,0))</f>
        <v>L05</v>
      </c>
      <c r="D46" s="3" t="str">
        <f aca="false">INDEX(Vendedores!$E$2:$E$101,MATCH(A46,Vendedores!$A$2:$A$101,0))</f>
        <v>Sul</v>
      </c>
      <c r="E46" s="3" t="n">
        <f aca="false">COUNTIF(Vendas!$C$2:$C$2181,A46)</f>
        <v>30</v>
      </c>
      <c r="F46" s="5" t="n">
        <f aca="false">SUMIF(Vendas!$C$2:$C$2181,A46,Vendas!$J$2:$J$2181)</f>
        <v>30292</v>
      </c>
      <c r="G46" s="5" t="n">
        <f aca="false">IFERROR(F46/E46,0)</f>
        <v>1009.73333333333</v>
      </c>
    </row>
    <row r="47" customFormat="false" ht="15" hidden="false" customHeight="false" outlineLevel="0" collapsed="false">
      <c r="A47" s="2" t="s">
        <v>138</v>
      </c>
      <c r="B47" s="3" t="str">
        <f aca="false">INDEX(Vendedores!$B$2:$B$101,MATCH(A47,Vendedores!$A$2:$A$101,0))</f>
        <v>Nelson Monteiro</v>
      </c>
      <c r="C47" s="3" t="str">
        <f aca="false">INDEX(Vendedores!$C$2:$C$101,MATCH(A47,Vendedores!$A$2:$A$101,0))</f>
        <v>L05</v>
      </c>
      <c r="D47" s="3" t="str">
        <f aca="false">INDEX(Vendedores!$E$2:$E$101,MATCH(A47,Vendedores!$A$2:$A$101,0))</f>
        <v>Sul</v>
      </c>
      <c r="E47" s="3" t="n">
        <f aca="false">COUNTIF(Vendas!$C$2:$C$2181,A47)</f>
        <v>32</v>
      </c>
      <c r="F47" s="5" t="n">
        <f aca="false">SUMIF(Vendas!$C$2:$C$2181,A47,Vendas!$J$2:$J$2181)</f>
        <v>29806.8</v>
      </c>
      <c r="G47" s="5" t="n">
        <f aca="false">IFERROR(F47/E47,0)</f>
        <v>931.4625</v>
      </c>
    </row>
    <row r="48" customFormat="false" ht="15" hidden="false" customHeight="false" outlineLevel="0" collapsed="false">
      <c r="A48" s="2" t="s">
        <v>140</v>
      </c>
      <c r="B48" s="3" t="str">
        <f aca="false">INDEX(Vendedores!$B$2:$B$101,MATCH(A48,Vendedores!$A$2:$A$101,0))</f>
        <v>Ursula Rodrigues</v>
      </c>
      <c r="C48" s="3" t="str">
        <f aca="false">INDEX(Vendedores!$C$2:$C$101,MATCH(A48,Vendedores!$A$2:$A$101,0))</f>
        <v>L05</v>
      </c>
      <c r="D48" s="3" t="str">
        <f aca="false">INDEX(Vendedores!$E$2:$E$101,MATCH(A48,Vendedores!$A$2:$A$101,0))</f>
        <v>Sul</v>
      </c>
      <c r="E48" s="3" t="n">
        <f aca="false">COUNTIF(Vendas!$C$2:$C$2181,A48)</f>
        <v>21</v>
      </c>
      <c r="F48" s="5" t="n">
        <f aca="false">SUMIF(Vendas!$C$2:$C$2181,A48,Vendas!$J$2:$J$2181)</f>
        <v>20451.5</v>
      </c>
      <c r="G48" s="5" t="n">
        <f aca="false">IFERROR(F48/E48,0)</f>
        <v>973.880952380952</v>
      </c>
    </row>
    <row r="49" customFormat="false" ht="15" hidden="false" customHeight="false" outlineLevel="0" collapsed="false">
      <c r="A49" s="2" t="s">
        <v>142</v>
      </c>
      <c r="B49" s="3" t="str">
        <f aca="false">INDEX(Vendedores!$B$2:$B$101,MATCH(A49,Vendedores!$A$2:$A$101,0))</f>
        <v>Felipe Carvalho</v>
      </c>
      <c r="C49" s="3" t="str">
        <f aca="false">INDEX(Vendedores!$C$2:$C$101,MATCH(A49,Vendedores!$A$2:$A$101,0))</f>
        <v>L05</v>
      </c>
      <c r="D49" s="3" t="str">
        <f aca="false">INDEX(Vendedores!$E$2:$E$101,MATCH(A49,Vendedores!$A$2:$A$101,0))</f>
        <v>Sul</v>
      </c>
      <c r="E49" s="3" t="n">
        <f aca="false">COUNTIF(Vendas!$C$2:$C$2181,A49)</f>
        <v>23</v>
      </c>
      <c r="F49" s="5" t="n">
        <f aca="false">SUMIF(Vendas!$C$2:$C$2181,A49,Vendas!$J$2:$J$2181)</f>
        <v>15723.4</v>
      </c>
      <c r="G49" s="5" t="n">
        <f aca="false">IFERROR(F49/E49,0)</f>
        <v>683.626086956522</v>
      </c>
    </row>
    <row r="50" customFormat="false" ht="15" hidden="false" customHeight="false" outlineLevel="0" collapsed="false">
      <c r="A50" s="2" t="s">
        <v>144</v>
      </c>
      <c r="B50" s="3" t="str">
        <f aca="false">INDEX(Vendedores!$B$2:$B$101,MATCH(A50,Vendedores!$A$2:$A$101,0))</f>
        <v>Daniel Pereira</v>
      </c>
      <c r="C50" s="3" t="str">
        <f aca="false">INDEX(Vendedores!$C$2:$C$101,MATCH(A50,Vendedores!$A$2:$A$101,0))</f>
        <v>L05</v>
      </c>
      <c r="D50" s="3" t="str">
        <f aca="false">INDEX(Vendedores!$E$2:$E$101,MATCH(A50,Vendedores!$A$2:$A$101,0))</f>
        <v>Sul</v>
      </c>
      <c r="E50" s="3" t="n">
        <f aca="false">COUNTIF(Vendas!$C$2:$C$2181,A50)</f>
        <v>18</v>
      </c>
      <c r="F50" s="5" t="n">
        <f aca="false">SUMIF(Vendas!$C$2:$C$2181,A50,Vendas!$J$2:$J$2181)</f>
        <v>21220.2</v>
      </c>
      <c r="G50" s="5" t="n">
        <f aca="false">IFERROR(F50/E50,0)</f>
        <v>1178.9</v>
      </c>
    </row>
    <row r="51" customFormat="false" ht="15" hidden="false" customHeight="false" outlineLevel="0" collapsed="false">
      <c r="A51" s="2" t="s">
        <v>146</v>
      </c>
      <c r="B51" s="3" t="str">
        <f aca="false">INDEX(Vendedores!$B$2:$B$101,MATCH(A51,Vendedores!$A$2:$A$101,0))</f>
        <v>Queila Pereira</v>
      </c>
      <c r="C51" s="3" t="str">
        <f aca="false">INDEX(Vendedores!$C$2:$C$101,MATCH(A51,Vendedores!$A$2:$A$101,0))</f>
        <v>L05</v>
      </c>
      <c r="D51" s="3" t="str">
        <f aca="false">INDEX(Vendedores!$E$2:$E$101,MATCH(A51,Vendedores!$A$2:$A$101,0))</f>
        <v>Sul</v>
      </c>
      <c r="E51" s="3" t="n">
        <f aca="false">COUNTIF(Vendas!$C$2:$C$2181,A51)</f>
        <v>34</v>
      </c>
      <c r="F51" s="5" t="n">
        <f aca="false">SUMIF(Vendas!$C$2:$C$2181,A51,Vendas!$J$2:$J$2181)</f>
        <v>29306.6</v>
      </c>
      <c r="G51" s="5" t="n">
        <f aca="false">IFERROR(F51/E51,0)</f>
        <v>861.958823529412</v>
      </c>
    </row>
    <row r="52" customFormat="false" ht="15" hidden="false" customHeight="false" outlineLevel="0" collapsed="false">
      <c r="A52" s="2" t="s">
        <v>148</v>
      </c>
      <c r="B52" s="3" t="str">
        <f aca="false">INDEX(Vendedores!$B$2:$B$101,MATCH(A52,Vendedores!$A$2:$A$101,0))</f>
        <v>Pedro Alves</v>
      </c>
      <c r="C52" s="3" t="str">
        <f aca="false">INDEX(Vendedores!$C$2:$C$101,MATCH(A52,Vendedores!$A$2:$A$101,0))</f>
        <v>L06</v>
      </c>
      <c r="D52" s="3" t="str">
        <f aca="false">INDEX(Vendedores!$E$2:$E$101,MATCH(A52,Vendedores!$A$2:$A$101,0))</f>
        <v>Sul</v>
      </c>
      <c r="E52" s="3" t="n">
        <f aca="false">COUNTIF(Vendas!$C$2:$C$2181,A52)</f>
        <v>25</v>
      </c>
      <c r="F52" s="5" t="n">
        <f aca="false">SUMIF(Vendas!$C$2:$C$2181,A52,Vendas!$J$2:$J$2181)</f>
        <v>16408</v>
      </c>
      <c r="G52" s="5" t="n">
        <f aca="false">IFERROR(F52/E52,0)</f>
        <v>656.32</v>
      </c>
    </row>
    <row r="53" customFormat="false" ht="15" hidden="false" customHeight="false" outlineLevel="0" collapsed="false">
      <c r="A53" s="2" t="s">
        <v>150</v>
      </c>
      <c r="B53" s="3" t="str">
        <f aca="false">INDEX(Vendedores!$B$2:$B$101,MATCH(A53,Vendedores!$A$2:$A$101,0))</f>
        <v>Ingrid Nascimento</v>
      </c>
      <c r="C53" s="3" t="str">
        <f aca="false">INDEX(Vendedores!$C$2:$C$101,MATCH(A53,Vendedores!$A$2:$A$101,0))</f>
        <v>L06</v>
      </c>
      <c r="D53" s="3" t="str">
        <f aca="false">INDEX(Vendedores!$E$2:$E$101,MATCH(A53,Vendedores!$A$2:$A$101,0))</f>
        <v>Sul</v>
      </c>
      <c r="E53" s="3" t="n">
        <f aca="false">COUNTIF(Vendas!$C$2:$C$2181,A53)</f>
        <v>11</v>
      </c>
      <c r="F53" s="5" t="n">
        <f aca="false">SUMIF(Vendas!$C$2:$C$2181,A53,Vendas!$J$2:$J$2181)</f>
        <v>5927</v>
      </c>
      <c r="G53" s="5" t="n">
        <f aca="false">IFERROR(F53/E53,0)</f>
        <v>538.818181818182</v>
      </c>
    </row>
    <row r="54" customFormat="false" ht="15" hidden="false" customHeight="false" outlineLevel="0" collapsed="false">
      <c r="A54" s="2" t="s">
        <v>152</v>
      </c>
      <c r="B54" s="3" t="str">
        <f aca="false">INDEX(Vendedores!$B$2:$B$101,MATCH(A54,Vendedores!$A$2:$A$101,0))</f>
        <v>Leonardo Gomes</v>
      </c>
      <c r="C54" s="3" t="str">
        <f aca="false">INDEX(Vendedores!$C$2:$C$101,MATCH(A54,Vendedores!$A$2:$A$101,0))</f>
        <v>L06</v>
      </c>
      <c r="D54" s="3" t="str">
        <f aca="false">INDEX(Vendedores!$E$2:$E$101,MATCH(A54,Vendedores!$A$2:$A$101,0))</f>
        <v>Sul</v>
      </c>
      <c r="E54" s="3" t="n">
        <f aca="false">COUNTIF(Vendas!$C$2:$C$2181,A54)</f>
        <v>24</v>
      </c>
      <c r="F54" s="5" t="n">
        <f aca="false">SUMIF(Vendas!$C$2:$C$2181,A54,Vendas!$J$2:$J$2181)</f>
        <v>21875.6</v>
      </c>
      <c r="G54" s="5" t="n">
        <f aca="false">IFERROR(F54/E54,0)</f>
        <v>911.483333333333</v>
      </c>
    </row>
    <row r="55" customFormat="false" ht="15" hidden="false" customHeight="false" outlineLevel="0" collapsed="false">
      <c r="A55" s="2" t="s">
        <v>154</v>
      </c>
      <c r="B55" s="3" t="str">
        <f aca="false">INDEX(Vendedores!$B$2:$B$101,MATCH(A55,Vendedores!$A$2:$A$101,0))</f>
        <v>Leonardo Carvalho</v>
      </c>
      <c r="C55" s="3" t="str">
        <f aca="false">INDEX(Vendedores!$C$2:$C$101,MATCH(A55,Vendedores!$A$2:$A$101,0))</f>
        <v>L06</v>
      </c>
      <c r="D55" s="3" t="str">
        <f aca="false">INDEX(Vendedores!$E$2:$E$101,MATCH(A55,Vendedores!$A$2:$A$101,0))</f>
        <v>Sul</v>
      </c>
      <c r="E55" s="3" t="n">
        <f aca="false">COUNTIF(Vendas!$C$2:$C$2181,A55)</f>
        <v>28</v>
      </c>
      <c r="F55" s="5" t="n">
        <f aca="false">SUMIF(Vendas!$C$2:$C$2181,A55,Vendas!$J$2:$J$2181)</f>
        <v>26853.2</v>
      </c>
      <c r="G55" s="5" t="n">
        <f aca="false">IFERROR(F55/E55,0)</f>
        <v>959.042857142857</v>
      </c>
    </row>
    <row r="56" customFormat="false" ht="15" hidden="false" customHeight="false" outlineLevel="0" collapsed="false">
      <c r="A56" s="2" t="s">
        <v>156</v>
      </c>
      <c r="B56" s="3" t="str">
        <f aca="false">INDEX(Vendedores!$B$2:$B$101,MATCH(A56,Vendedores!$A$2:$A$101,0))</f>
        <v>Xavier Almeida</v>
      </c>
      <c r="C56" s="3" t="str">
        <f aca="false">INDEX(Vendedores!$C$2:$C$101,MATCH(A56,Vendedores!$A$2:$A$101,0))</f>
        <v>L06</v>
      </c>
      <c r="D56" s="3" t="str">
        <f aca="false">INDEX(Vendedores!$E$2:$E$101,MATCH(A56,Vendedores!$A$2:$A$101,0))</f>
        <v>Sul</v>
      </c>
      <c r="E56" s="3" t="n">
        <f aca="false">COUNTIF(Vendas!$C$2:$C$2181,A56)</f>
        <v>22</v>
      </c>
      <c r="F56" s="5" t="n">
        <f aca="false">SUMIF(Vendas!$C$2:$C$2181,A56,Vendas!$J$2:$J$2181)</f>
        <v>23335.4</v>
      </c>
      <c r="G56" s="5" t="n">
        <f aca="false">IFERROR(F56/E56,0)</f>
        <v>1060.7</v>
      </c>
    </row>
    <row r="57" customFormat="false" ht="15" hidden="false" customHeight="false" outlineLevel="0" collapsed="false">
      <c r="A57" s="2" t="s">
        <v>158</v>
      </c>
      <c r="B57" s="3" t="str">
        <f aca="false">INDEX(Vendedores!$B$2:$B$101,MATCH(A57,Vendedores!$A$2:$A$101,0))</f>
        <v>Isabela Ribeiro</v>
      </c>
      <c r="C57" s="3" t="str">
        <f aca="false">INDEX(Vendedores!$C$2:$C$101,MATCH(A57,Vendedores!$A$2:$A$101,0))</f>
        <v>L06</v>
      </c>
      <c r="D57" s="3" t="str">
        <f aca="false">INDEX(Vendedores!$E$2:$E$101,MATCH(A57,Vendedores!$A$2:$A$101,0))</f>
        <v>Sul</v>
      </c>
      <c r="E57" s="3" t="n">
        <f aca="false">COUNTIF(Vendas!$C$2:$C$2181,A57)</f>
        <v>34</v>
      </c>
      <c r="F57" s="5" t="n">
        <f aca="false">SUMIF(Vendas!$C$2:$C$2181,A57,Vendas!$J$2:$J$2181)</f>
        <v>29753.4</v>
      </c>
      <c r="G57" s="5" t="n">
        <f aca="false">IFERROR(F57/E57,0)</f>
        <v>875.1</v>
      </c>
    </row>
    <row r="58" customFormat="false" ht="15" hidden="false" customHeight="false" outlineLevel="0" collapsed="false">
      <c r="A58" s="2" t="s">
        <v>160</v>
      </c>
      <c r="B58" s="3" t="str">
        <f aca="false">INDEX(Vendedores!$B$2:$B$101,MATCH(A58,Vendedores!$A$2:$A$101,0))</f>
        <v>Felipe Oliveira</v>
      </c>
      <c r="C58" s="3" t="str">
        <f aca="false">INDEX(Vendedores!$C$2:$C$101,MATCH(A58,Vendedores!$A$2:$A$101,0))</f>
        <v>L06</v>
      </c>
      <c r="D58" s="3" t="str">
        <f aca="false">INDEX(Vendedores!$E$2:$E$101,MATCH(A58,Vendedores!$A$2:$A$101,0))</f>
        <v>Sul</v>
      </c>
      <c r="E58" s="3" t="n">
        <f aca="false">COUNTIF(Vendas!$C$2:$C$2181,A58)</f>
        <v>21</v>
      </c>
      <c r="F58" s="5" t="n">
        <f aca="false">SUMIF(Vendas!$C$2:$C$2181,A58,Vendas!$J$2:$J$2181)</f>
        <v>23415.5</v>
      </c>
      <c r="G58" s="5" t="n">
        <f aca="false">IFERROR(F58/E58,0)</f>
        <v>1115.02380952381</v>
      </c>
    </row>
    <row r="59" customFormat="false" ht="15" hidden="false" customHeight="false" outlineLevel="0" collapsed="false">
      <c r="A59" s="2" t="s">
        <v>162</v>
      </c>
      <c r="B59" s="3" t="str">
        <f aca="false">INDEX(Vendedores!$B$2:$B$101,MATCH(A59,Vendedores!$A$2:$A$101,0))</f>
        <v>Diego Santos</v>
      </c>
      <c r="C59" s="3" t="str">
        <f aca="false">INDEX(Vendedores!$C$2:$C$101,MATCH(A59,Vendedores!$A$2:$A$101,0))</f>
        <v>L06</v>
      </c>
      <c r="D59" s="3" t="str">
        <f aca="false">INDEX(Vendedores!$E$2:$E$101,MATCH(A59,Vendedores!$A$2:$A$101,0))</f>
        <v>Sul</v>
      </c>
      <c r="E59" s="3" t="n">
        <f aca="false">COUNTIF(Vendas!$C$2:$C$2181,A59)</f>
        <v>20</v>
      </c>
      <c r="F59" s="5" t="n">
        <f aca="false">SUMIF(Vendas!$C$2:$C$2181,A59,Vendas!$J$2:$J$2181)</f>
        <v>13088.8</v>
      </c>
      <c r="G59" s="5" t="n">
        <f aca="false">IFERROR(F59/E59,0)</f>
        <v>654.44</v>
      </c>
    </row>
    <row r="60" customFormat="false" ht="15" hidden="false" customHeight="false" outlineLevel="0" collapsed="false">
      <c r="A60" s="2" t="s">
        <v>164</v>
      </c>
      <c r="B60" s="3" t="str">
        <f aca="false">INDEX(Vendedores!$B$2:$B$101,MATCH(A60,Vendedores!$A$2:$A$101,0))</f>
        <v>João Costa</v>
      </c>
      <c r="C60" s="3" t="str">
        <f aca="false">INDEX(Vendedores!$C$2:$C$101,MATCH(A60,Vendedores!$A$2:$A$101,0))</f>
        <v>L06</v>
      </c>
      <c r="D60" s="3" t="str">
        <f aca="false">INDEX(Vendedores!$E$2:$E$101,MATCH(A60,Vendedores!$A$2:$A$101,0))</f>
        <v>Sul</v>
      </c>
      <c r="E60" s="3" t="n">
        <f aca="false">COUNTIF(Vendas!$C$2:$C$2181,A60)</f>
        <v>23</v>
      </c>
      <c r="F60" s="5" t="n">
        <f aca="false">SUMIF(Vendas!$C$2:$C$2181,A60,Vendas!$J$2:$J$2181)</f>
        <v>31175.4</v>
      </c>
      <c r="G60" s="5" t="n">
        <f aca="false">IFERROR(F60/E60,0)</f>
        <v>1355.45217391304</v>
      </c>
    </row>
    <row r="61" customFormat="false" ht="15" hidden="false" customHeight="false" outlineLevel="0" collapsed="false">
      <c r="A61" s="2" t="s">
        <v>166</v>
      </c>
      <c r="B61" s="3" t="str">
        <f aca="false">INDEX(Vendedores!$B$2:$B$101,MATCH(A61,Vendedores!$A$2:$A$101,0))</f>
        <v>Bernardo Barbosa</v>
      </c>
      <c r="C61" s="3" t="str">
        <f aca="false">INDEX(Vendedores!$C$2:$C$101,MATCH(A61,Vendedores!$A$2:$A$101,0))</f>
        <v>L06</v>
      </c>
      <c r="D61" s="3" t="str">
        <f aca="false">INDEX(Vendedores!$E$2:$E$101,MATCH(A61,Vendedores!$A$2:$A$101,0))</f>
        <v>Sul</v>
      </c>
      <c r="E61" s="3" t="n">
        <f aca="false">COUNTIF(Vendas!$C$2:$C$2181,A61)</f>
        <v>27</v>
      </c>
      <c r="F61" s="5" t="n">
        <f aca="false">SUMIF(Vendas!$C$2:$C$2181,A61,Vendas!$J$2:$J$2181)</f>
        <v>25253.6</v>
      </c>
      <c r="G61" s="5" t="n">
        <f aca="false">IFERROR(F61/E61,0)</f>
        <v>935.318518518518</v>
      </c>
    </row>
    <row r="62" customFormat="false" ht="15" hidden="false" customHeight="false" outlineLevel="0" collapsed="false">
      <c r="A62" s="2" t="s">
        <v>168</v>
      </c>
      <c r="B62" s="3" t="str">
        <f aca="false">INDEX(Vendedores!$B$2:$B$101,MATCH(A62,Vendedores!$A$2:$A$101,0))</f>
        <v>Elaine Carvalho</v>
      </c>
      <c r="C62" s="3" t="str">
        <f aca="false">INDEX(Vendedores!$C$2:$C$101,MATCH(A62,Vendedores!$A$2:$A$101,0))</f>
        <v>L07</v>
      </c>
      <c r="D62" s="3" t="str">
        <f aca="false">INDEX(Vendedores!$E$2:$E$101,MATCH(A62,Vendedores!$A$2:$A$101,0))</f>
        <v>Sul</v>
      </c>
      <c r="E62" s="3" t="n">
        <f aca="false">COUNTIF(Vendas!$C$2:$C$2181,A62)</f>
        <v>35</v>
      </c>
      <c r="F62" s="5" t="n">
        <f aca="false">SUMIF(Vendas!$C$2:$C$2181,A62,Vendas!$J$2:$J$2181)</f>
        <v>40676.1</v>
      </c>
      <c r="G62" s="5" t="n">
        <f aca="false">IFERROR(F62/E62,0)</f>
        <v>1162.17428571429</v>
      </c>
    </row>
    <row r="63" customFormat="false" ht="15" hidden="false" customHeight="false" outlineLevel="0" collapsed="false">
      <c r="A63" s="2" t="s">
        <v>170</v>
      </c>
      <c r="B63" s="3" t="str">
        <f aca="false">INDEX(Vendedores!$B$2:$B$101,MATCH(A63,Vendedores!$A$2:$A$101,0))</f>
        <v>Yasmin Barbosa</v>
      </c>
      <c r="C63" s="3" t="str">
        <f aca="false">INDEX(Vendedores!$C$2:$C$101,MATCH(A63,Vendedores!$A$2:$A$101,0))</f>
        <v>L07</v>
      </c>
      <c r="D63" s="3" t="str">
        <f aca="false">INDEX(Vendedores!$E$2:$E$101,MATCH(A63,Vendedores!$A$2:$A$101,0))</f>
        <v>Sul</v>
      </c>
      <c r="E63" s="3" t="n">
        <f aca="false">COUNTIF(Vendas!$C$2:$C$2181,A63)</f>
        <v>25</v>
      </c>
      <c r="F63" s="5" t="n">
        <f aca="false">SUMIF(Vendas!$C$2:$C$2181,A63,Vendas!$J$2:$J$2181)</f>
        <v>21111</v>
      </c>
      <c r="G63" s="5" t="n">
        <f aca="false">IFERROR(F63/E63,0)</f>
        <v>844.44</v>
      </c>
    </row>
    <row r="64" customFormat="false" ht="15" hidden="false" customHeight="false" outlineLevel="0" collapsed="false">
      <c r="A64" s="2" t="s">
        <v>172</v>
      </c>
      <c r="B64" s="3" t="str">
        <f aca="false">INDEX(Vendedores!$B$2:$B$101,MATCH(A64,Vendedores!$A$2:$A$101,0))</f>
        <v>Daniel Ribeiro</v>
      </c>
      <c r="C64" s="3" t="str">
        <f aca="false">INDEX(Vendedores!$C$2:$C$101,MATCH(A64,Vendedores!$A$2:$A$101,0))</f>
        <v>L07</v>
      </c>
      <c r="D64" s="3" t="str">
        <f aca="false">INDEX(Vendedores!$E$2:$E$101,MATCH(A64,Vendedores!$A$2:$A$101,0))</f>
        <v>Sul</v>
      </c>
      <c r="E64" s="3" t="n">
        <f aca="false">COUNTIF(Vendas!$C$2:$C$2181,A64)</f>
        <v>25</v>
      </c>
      <c r="F64" s="5" t="n">
        <f aca="false">SUMIF(Vendas!$C$2:$C$2181,A64,Vendas!$J$2:$J$2181)</f>
        <v>18410.4</v>
      </c>
      <c r="G64" s="5" t="n">
        <f aca="false">IFERROR(F64/E64,0)</f>
        <v>736.416</v>
      </c>
    </row>
    <row r="65" customFormat="false" ht="15" hidden="false" customHeight="false" outlineLevel="0" collapsed="false">
      <c r="A65" s="2" t="s">
        <v>174</v>
      </c>
      <c r="B65" s="3" t="str">
        <f aca="false">INDEX(Vendedores!$B$2:$B$101,MATCH(A65,Vendedores!$A$2:$A$101,0))</f>
        <v>Queila Alves</v>
      </c>
      <c r="C65" s="3" t="str">
        <f aca="false">INDEX(Vendedores!$C$2:$C$101,MATCH(A65,Vendedores!$A$2:$A$101,0))</f>
        <v>L07</v>
      </c>
      <c r="D65" s="3" t="str">
        <f aca="false">INDEX(Vendedores!$E$2:$E$101,MATCH(A65,Vendedores!$A$2:$A$101,0))</f>
        <v>Sul</v>
      </c>
      <c r="E65" s="3" t="n">
        <f aca="false">COUNTIF(Vendas!$C$2:$C$2181,A65)</f>
        <v>25</v>
      </c>
      <c r="F65" s="5" t="n">
        <f aca="false">SUMIF(Vendas!$C$2:$C$2181,A65,Vendas!$J$2:$J$2181)</f>
        <v>20131.7</v>
      </c>
      <c r="G65" s="5" t="n">
        <f aca="false">IFERROR(F65/E65,0)</f>
        <v>805.268</v>
      </c>
    </row>
    <row r="66" customFormat="false" ht="15" hidden="false" customHeight="false" outlineLevel="0" collapsed="false">
      <c r="A66" s="2" t="s">
        <v>176</v>
      </c>
      <c r="B66" s="3" t="str">
        <f aca="false">INDEX(Vendedores!$B$2:$B$101,MATCH(A66,Vendedores!$A$2:$A$101,0))</f>
        <v>Ana Santos</v>
      </c>
      <c r="C66" s="3" t="str">
        <f aca="false">INDEX(Vendedores!$C$2:$C$101,MATCH(A66,Vendedores!$A$2:$A$101,0))</f>
        <v>L07</v>
      </c>
      <c r="D66" s="3" t="str">
        <f aca="false">INDEX(Vendedores!$E$2:$E$101,MATCH(A66,Vendedores!$A$2:$A$101,0))</f>
        <v>Sul</v>
      </c>
      <c r="E66" s="3" t="n">
        <f aca="false">COUNTIF(Vendas!$C$2:$C$2181,A66)</f>
        <v>25</v>
      </c>
      <c r="F66" s="5" t="n">
        <f aca="false">SUMIF(Vendas!$C$2:$C$2181,A66,Vendas!$J$2:$J$2181)</f>
        <v>25957.7</v>
      </c>
      <c r="G66" s="5" t="n">
        <f aca="false">IFERROR(F66/E66,0)</f>
        <v>1038.308</v>
      </c>
    </row>
    <row r="67" customFormat="false" ht="15" hidden="false" customHeight="false" outlineLevel="0" collapsed="false">
      <c r="A67" s="2" t="s">
        <v>178</v>
      </c>
      <c r="B67" s="3" t="str">
        <f aca="false">INDEX(Vendedores!$B$2:$B$101,MATCH(A67,Vendedores!$A$2:$A$101,0))</f>
        <v>Ingrid Nascimento</v>
      </c>
      <c r="C67" s="3" t="str">
        <f aca="false">INDEX(Vendedores!$C$2:$C$101,MATCH(A67,Vendedores!$A$2:$A$101,0))</f>
        <v>L07</v>
      </c>
      <c r="D67" s="3" t="str">
        <f aca="false">INDEX(Vendedores!$E$2:$E$101,MATCH(A67,Vendedores!$A$2:$A$101,0))</f>
        <v>Sul</v>
      </c>
      <c r="E67" s="3" t="n">
        <f aca="false">COUNTIF(Vendas!$C$2:$C$2181,A67)</f>
        <v>33</v>
      </c>
      <c r="F67" s="5" t="n">
        <f aca="false">SUMIF(Vendas!$C$2:$C$2181,A67,Vendas!$J$2:$J$2181)</f>
        <v>27979.4</v>
      </c>
      <c r="G67" s="5" t="n">
        <f aca="false">IFERROR(F67/E67,0)</f>
        <v>847.860606060606</v>
      </c>
    </row>
    <row r="68" customFormat="false" ht="15" hidden="false" customHeight="false" outlineLevel="0" collapsed="false">
      <c r="A68" s="2" t="s">
        <v>179</v>
      </c>
      <c r="B68" s="3" t="str">
        <f aca="false">INDEX(Vendedores!$B$2:$B$101,MATCH(A68,Vendedores!$A$2:$A$101,0))</f>
        <v>Vitor Santos</v>
      </c>
      <c r="C68" s="3" t="str">
        <f aca="false">INDEX(Vendedores!$C$2:$C$101,MATCH(A68,Vendedores!$A$2:$A$101,0))</f>
        <v>L07</v>
      </c>
      <c r="D68" s="3" t="str">
        <f aca="false">INDEX(Vendedores!$E$2:$E$101,MATCH(A68,Vendedores!$A$2:$A$101,0))</f>
        <v>Sul</v>
      </c>
      <c r="E68" s="3" t="n">
        <f aca="false">COUNTIF(Vendas!$C$2:$C$2181,A68)</f>
        <v>24</v>
      </c>
      <c r="F68" s="5" t="n">
        <f aca="false">SUMIF(Vendas!$C$2:$C$2181,A68,Vendas!$J$2:$J$2181)</f>
        <v>22380.4</v>
      </c>
      <c r="G68" s="5" t="n">
        <f aca="false">IFERROR(F68/E68,0)</f>
        <v>932.516666666667</v>
      </c>
    </row>
    <row r="69" customFormat="false" ht="15" hidden="false" customHeight="false" outlineLevel="0" collapsed="false">
      <c r="A69" s="2" t="s">
        <v>180</v>
      </c>
      <c r="B69" s="3" t="str">
        <f aca="false">INDEX(Vendedores!$B$2:$B$101,MATCH(A69,Vendedores!$A$2:$A$101,0))</f>
        <v>Sofia Gomes</v>
      </c>
      <c r="C69" s="3" t="str">
        <f aca="false">INDEX(Vendedores!$C$2:$C$101,MATCH(A69,Vendedores!$A$2:$A$101,0))</f>
        <v>L07</v>
      </c>
      <c r="D69" s="3" t="str">
        <f aca="false">INDEX(Vendedores!$E$2:$E$101,MATCH(A69,Vendedores!$A$2:$A$101,0))</f>
        <v>Sul</v>
      </c>
      <c r="E69" s="3" t="n">
        <f aca="false">COUNTIF(Vendas!$C$2:$C$2181,A69)</f>
        <v>22</v>
      </c>
      <c r="F69" s="5" t="n">
        <f aca="false">SUMIF(Vendas!$C$2:$C$2181,A69,Vendas!$J$2:$J$2181)</f>
        <v>20445.8</v>
      </c>
      <c r="G69" s="5" t="n">
        <f aca="false">IFERROR(F69/E69,0)</f>
        <v>929.354545454546</v>
      </c>
    </row>
    <row r="70" customFormat="false" ht="15" hidden="false" customHeight="false" outlineLevel="0" collapsed="false">
      <c r="A70" s="2" t="s">
        <v>182</v>
      </c>
      <c r="B70" s="3" t="str">
        <f aca="false">INDEX(Vendedores!$B$2:$B$101,MATCH(A70,Vendedores!$A$2:$A$101,0))</f>
        <v>Karina Martins</v>
      </c>
      <c r="C70" s="3" t="str">
        <f aca="false">INDEX(Vendedores!$C$2:$C$101,MATCH(A70,Vendedores!$A$2:$A$101,0))</f>
        <v>L07</v>
      </c>
      <c r="D70" s="3" t="str">
        <f aca="false">INDEX(Vendedores!$E$2:$E$101,MATCH(A70,Vendedores!$A$2:$A$101,0))</f>
        <v>Sul</v>
      </c>
      <c r="E70" s="3" t="n">
        <f aca="false">COUNTIF(Vendas!$C$2:$C$2181,A70)</f>
        <v>23</v>
      </c>
      <c r="F70" s="5" t="n">
        <f aca="false">SUMIF(Vendas!$C$2:$C$2181,A70,Vendas!$J$2:$J$2181)</f>
        <v>36131.2</v>
      </c>
      <c r="G70" s="5" t="n">
        <f aca="false">IFERROR(F70/E70,0)</f>
        <v>1570.92173913043</v>
      </c>
    </row>
    <row r="71" customFormat="false" ht="15" hidden="false" customHeight="false" outlineLevel="0" collapsed="false">
      <c r="A71" s="2" t="s">
        <v>183</v>
      </c>
      <c r="B71" s="3" t="str">
        <f aca="false">INDEX(Vendedores!$B$2:$B$101,MATCH(A71,Vendedores!$A$2:$A$101,0))</f>
        <v>Ana Nascimento</v>
      </c>
      <c r="C71" s="3" t="str">
        <f aca="false">INDEX(Vendedores!$C$2:$C$101,MATCH(A71,Vendedores!$A$2:$A$101,0))</f>
        <v>L07</v>
      </c>
      <c r="D71" s="3" t="str">
        <f aca="false">INDEX(Vendedores!$E$2:$E$101,MATCH(A71,Vendedores!$A$2:$A$101,0))</f>
        <v>Sul</v>
      </c>
      <c r="E71" s="3" t="n">
        <f aca="false">COUNTIF(Vendas!$C$2:$C$2181,A71)</f>
        <v>19</v>
      </c>
      <c r="F71" s="5" t="n">
        <f aca="false">SUMIF(Vendas!$C$2:$C$2181,A71,Vendas!$J$2:$J$2181)</f>
        <v>13464.8</v>
      </c>
      <c r="G71" s="5" t="n">
        <f aca="false">IFERROR(F71/E71,0)</f>
        <v>708.673684210526</v>
      </c>
    </row>
    <row r="72" customFormat="false" ht="15" hidden="false" customHeight="false" outlineLevel="0" collapsed="false">
      <c r="A72" s="2" t="s">
        <v>185</v>
      </c>
      <c r="B72" s="3" t="str">
        <f aca="false">INDEX(Vendedores!$B$2:$B$101,MATCH(A72,Vendedores!$A$2:$A$101,0))</f>
        <v>Giovana Costa</v>
      </c>
      <c r="C72" s="3" t="str">
        <f aca="false">INDEX(Vendedores!$C$2:$C$101,MATCH(A72,Vendedores!$A$2:$A$101,0))</f>
        <v>L08</v>
      </c>
      <c r="D72" s="3" t="str">
        <f aca="false">INDEX(Vendedores!$E$2:$E$101,MATCH(A72,Vendedores!$A$2:$A$101,0))</f>
        <v>Nordeste</v>
      </c>
      <c r="E72" s="3" t="n">
        <f aca="false">COUNTIF(Vendas!$C$2:$C$2181,A72)</f>
        <v>30</v>
      </c>
      <c r="F72" s="5" t="n">
        <f aca="false">SUMIF(Vendas!$C$2:$C$2181,A72,Vendas!$J$2:$J$2181)</f>
        <v>47960.5</v>
      </c>
      <c r="G72" s="5" t="n">
        <f aca="false">IFERROR(F72/E72,0)</f>
        <v>1598.68333333333</v>
      </c>
    </row>
    <row r="73" customFormat="false" ht="15" hidden="false" customHeight="false" outlineLevel="0" collapsed="false">
      <c r="A73" s="2" t="s">
        <v>187</v>
      </c>
      <c r="B73" s="3" t="str">
        <f aca="false">INDEX(Vendedores!$B$2:$B$101,MATCH(A73,Vendedores!$A$2:$A$101,0))</f>
        <v>Giovana Santos</v>
      </c>
      <c r="C73" s="3" t="str">
        <f aca="false">INDEX(Vendedores!$C$2:$C$101,MATCH(A73,Vendedores!$A$2:$A$101,0))</f>
        <v>L08</v>
      </c>
      <c r="D73" s="3" t="str">
        <f aca="false">INDEX(Vendedores!$E$2:$E$101,MATCH(A73,Vendedores!$A$2:$A$101,0))</f>
        <v>Nordeste</v>
      </c>
      <c r="E73" s="3" t="n">
        <f aca="false">COUNTIF(Vendas!$C$2:$C$2181,A73)</f>
        <v>34</v>
      </c>
      <c r="F73" s="5" t="n">
        <f aca="false">SUMIF(Vendas!$C$2:$C$2181,A73,Vendas!$J$2:$J$2181)</f>
        <v>37917.8</v>
      </c>
      <c r="G73" s="5" t="n">
        <f aca="false">IFERROR(F73/E73,0)</f>
        <v>1115.22941176471</v>
      </c>
    </row>
    <row r="74" customFormat="false" ht="15" hidden="false" customHeight="false" outlineLevel="0" collapsed="false">
      <c r="A74" s="2" t="s">
        <v>189</v>
      </c>
      <c r="B74" s="3" t="str">
        <f aca="false">INDEX(Vendedores!$B$2:$B$101,MATCH(A74,Vendedores!$A$2:$A$101,0))</f>
        <v>Thiago Ribeiro</v>
      </c>
      <c r="C74" s="3" t="str">
        <f aca="false">INDEX(Vendedores!$C$2:$C$101,MATCH(A74,Vendedores!$A$2:$A$101,0))</f>
        <v>L08</v>
      </c>
      <c r="D74" s="3" t="str">
        <f aca="false">INDEX(Vendedores!$E$2:$E$101,MATCH(A74,Vendedores!$A$2:$A$101,0))</f>
        <v>Nordeste</v>
      </c>
      <c r="E74" s="3" t="n">
        <f aca="false">COUNTIF(Vendas!$C$2:$C$2181,A74)</f>
        <v>22</v>
      </c>
      <c r="F74" s="5" t="n">
        <f aca="false">SUMIF(Vendas!$C$2:$C$2181,A74,Vendas!$J$2:$J$2181)</f>
        <v>40614.6</v>
      </c>
      <c r="G74" s="5" t="n">
        <f aca="false">IFERROR(F74/E74,0)</f>
        <v>1846.11818181818</v>
      </c>
    </row>
    <row r="75" customFormat="false" ht="15" hidden="false" customHeight="false" outlineLevel="0" collapsed="false">
      <c r="A75" s="2" t="s">
        <v>191</v>
      </c>
      <c r="B75" s="3" t="str">
        <f aca="false">INDEX(Vendedores!$B$2:$B$101,MATCH(A75,Vendedores!$A$2:$A$101,0))</f>
        <v>Marcela Rodrigues</v>
      </c>
      <c r="C75" s="3" t="str">
        <f aca="false">INDEX(Vendedores!$C$2:$C$101,MATCH(A75,Vendedores!$A$2:$A$101,0))</f>
        <v>L08</v>
      </c>
      <c r="D75" s="3" t="str">
        <f aca="false">INDEX(Vendedores!$E$2:$E$101,MATCH(A75,Vendedores!$A$2:$A$101,0))</f>
        <v>Nordeste</v>
      </c>
      <c r="E75" s="3" t="n">
        <f aca="false">COUNTIF(Vendas!$C$2:$C$2181,A75)</f>
        <v>20</v>
      </c>
      <c r="F75" s="5" t="n">
        <f aca="false">SUMIF(Vendas!$C$2:$C$2181,A75,Vendas!$J$2:$J$2181)</f>
        <v>29612.3</v>
      </c>
      <c r="G75" s="5" t="n">
        <f aca="false">IFERROR(F75/E75,0)</f>
        <v>1480.615</v>
      </c>
    </row>
    <row r="76" customFormat="false" ht="15" hidden="false" customHeight="false" outlineLevel="0" collapsed="false">
      <c r="A76" s="2" t="s">
        <v>193</v>
      </c>
      <c r="B76" s="3" t="str">
        <f aca="false">INDEX(Vendedores!$B$2:$B$101,MATCH(A76,Vendedores!$A$2:$A$101,0))</f>
        <v>João Fernandes</v>
      </c>
      <c r="C76" s="3" t="str">
        <f aca="false">INDEX(Vendedores!$C$2:$C$101,MATCH(A76,Vendedores!$A$2:$A$101,0))</f>
        <v>L08</v>
      </c>
      <c r="D76" s="3" t="str">
        <f aca="false">INDEX(Vendedores!$E$2:$E$101,MATCH(A76,Vendedores!$A$2:$A$101,0))</f>
        <v>Nordeste</v>
      </c>
      <c r="E76" s="3" t="n">
        <f aca="false">COUNTIF(Vendas!$C$2:$C$2181,A76)</f>
        <v>32</v>
      </c>
      <c r="F76" s="5" t="n">
        <f aca="false">SUMIF(Vendas!$C$2:$C$2181,A76,Vendas!$J$2:$J$2181)</f>
        <v>42854.3</v>
      </c>
      <c r="G76" s="5" t="n">
        <f aca="false">IFERROR(F76/E76,0)</f>
        <v>1339.196875</v>
      </c>
    </row>
    <row r="77" customFormat="false" ht="15" hidden="false" customHeight="false" outlineLevel="0" collapsed="false">
      <c r="A77" s="2" t="s">
        <v>195</v>
      </c>
      <c r="B77" s="3" t="str">
        <f aca="false">INDEX(Vendedores!$B$2:$B$101,MATCH(A77,Vendedores!$A$2:$A$101,0))</f>
        <v>Karina Alves</v>
      </c>
      <c r="C77" s="3" t="str">
        <f aca="false">INDEX(Vendedores!$C$2:$C$101,MATCH(A77,Vendedores!$A$2:$A$101,0))</f>
        <v>L08</v>
      </c>
      <c r="D77" s="3" t="str">
        <f aca="false">INDEX(Vendedores!$E$2:$E$101,MATCH(A77,Vendedores!$A$2:$A$101,0))</f>
        <v>Nordeste</v>
      </c>
      <c r="E77" s="3" t="n">
        <f aca="false">COUNTIF(Vendas!$C$2:$C$2181,A77)</f>
        <v>25</v>
      </c>
      <c r="F77" s="5" t="n">
        <f aca="false">SUMIF(Vendas!$C$2:$C$2181,A77,Vendas!$J$2:$J$2181)</f>
        <v>35843.8</v>
      </c>
      <c r="G77" s="5" t="n">
        <f aca="false">IFERROR(F77/E77,0)</f>
        <v>1433.752</v>
      </c>
    </row>
    <row r="78" customFormat="false" ht="15" hidden="false" customHeight="false" outlineLevel="0" collapsed="false">
      <c r="A78" s="2" t="s">
        <v>197</v>
      </c>
      <c r="B78" s="3" t="str">
        <f aca="false">INDEX(Vendedores!$B$2:$B$101,MATCH(A78,Vendedores!$A$2:$A$101,0))</f>
        <v>Henrique Silva</v>
      </c>
      <c r="C78" s="3" t="str">
        <f aca="false">INDEX(Vendedores!$C$2:$C$101,MATCH(A78,Vendedores!$A$2:$A$101,0))</f>
        <v>L08</v>
      </c>
      <c r="D78" s="3" t="str">
        <f aca="false">INDEX(Vendedores!$E$2:$E$101,MATCH(A78,Vendedores!$A$2:$A$101,0))</f>
        <v>Nordeste</v>
      </c>
      <c r="E78" s="3" t="n">
        <f aca="false">COUNTIF(Vendas!$C$2:$C$2181,A78)</f>
        <v>13</v>
      </c>
      <c r="F78" s="5" t="n">
        <f aca="false">SUMIF(Vendas!$C$2:$C$2181,A78,Vendas!$J$2:$J$2181)</f>
        <v>34562.4</v>
      </c>
      <c r="G78" s="5" t="n">
        <f aca="false">IFERROR(F78/E78,0)</f>
        <v>2658.64615384615</v>
      </c>
    </row>
    <row r="79" customFormat="false" ht="15" hidden="false" customHeight="false" outlineLevel="0" collapsed="false">
      <c r="A79" s="2" t="s">
        <v>199</v>
      </c>
      <c r="B79" s="3" t="str">
        <f aca="false">INDEX(Vendedores!$B$2:$B$101,MATCH(A79,Vendedores!$A$2:$A$101,0))</f>
        <v>Marcela Araújo</v>
      </c>
      <c r="C79" s="3" t="str">
        <f aca="false">INDEX(Vendedores!$C$2:$C$101,MATCH(A79,Vendedores!$A$2:$A$101,0))</f>
        <v>L08</v>
      </c>
      <c r="D79" s="3" t="str">
        <f aca="false">INDEX(Vendedores!$E$2:$E$101,MATCH(A79,Vendedores!$A$2:$A$101,0))</f>
        <v>Nordeste</v>
      </c>
      <c r="E79" s="3" t="n">
        <f aca="false">COUNTIF(Vendas!$C$2:$C$2181,A79)</f>
        <v>23</v>
      </c>
      <c r="F79" s="5" t="n">
        <f aca="false">SUMIF(Vendas!$C$2:$C$2181,A79,Vendas!$J$2:$J$2181)</f>
        <v>39738.7</v>
      </c>
      <c r="G79" s="5" t="n">
        <f aca="false">IFERROR(F79/E79,0)</f>
        <v>1727.76956521739</v>
      </c>
    </row>
    <row r="80" customFormat="false" ht="15" hidden="false" customHeight="false" outlineLevel="0" collapsed="false">
      <c r="A80" s="2" t="s">
        <v>201</v>
      </c>
      <c r="B80" s="3" t="str">
        <f aca="false">INDEX(Vendedores!$B$2:$B$101,MATCH(A80,Vendedores!$A$2:$A$101,0))</f>
        <v>Felipe Silva</v>
      </c>
      <c r="C80" s="3" t="str">
        <f aca="false">INDEX(Vendedores!$C$2:$C$101,MATCH(A80,Vendedores!$A$2:$A$101,0))</f>
        <v>L08</v>
      </c>
      <c r="D80" s="3" t="str">
        <f aca="false">INDEX(Vendedores!$E$2:$E$101,MATCH(A80,Vendedores!$A$2:$A$101,0))</f>
        <v>Nordeste</v>
      </c>
      <c r="E80" s="3" t="n">
        <f aca="false">COUNTIF(Vendas!$C$2:$C$2181,A80)</f>
        <v>21</v>
      </c>
      <c r="F80" s="5" t="n">
        <f aca="false">SUMIF(Vendas!$C$2:$C$2181,A80,Vendas!$J$2:$J$2181)</f>
        <v>32695.4</v>
      </c>
      <c r="G80" s="5" t="n">
        <f aca="false">IFERROR(F80/E80,0)</f>
        <v>1556.92380952381</v>
      </c>
    </row>
    <row r="81" customFormat="false" ht="15" hidden="false" customHeight="false" outlineLevel="0" collapsed="false">
      <c r="A81" s="2" t="s">
        <v>203</v>
      </c>
      <c r="B81" s="3" t="str">
        <f aca="false">INDEX(Vendedores!$B$2:$B$101,MATCH(A81,Vendedores!$A$2:$A$101,0))</f>
        <v>Hugo Fernandes</v>
      </c>
      <c r="C81" s="3" t="str">
        <f aca="false">INDEX(Vendedores!$C$2:$C$101,MATCH(A81,Vendedores!$A$2:$A$101,0))</f>
        <v>L08</v>
      </c>
      <c r="D81" s="3" t="str">
        <f aca="false">INDEX(Vendedores!$E$2:$E$101,MATCH(A81,Vendedores!$A$2:$A$101,0))</f>
        <v>Nordeste</v>
      </c>
      <c r="E81" s="3" t="n">
        <f aca="false">COUNTIF(Vendas!$C$2:$C$2181,A81)</f>
        <v>24</v>
      </c>
      <c r="F81" s="5" t="n">
        <f aca="false">SUMIF(Vendas!$C$2:$C$2181,A81,Vendas!$J$2:$J$2181)</f>
        <v>28112.9</v>
      </c>
      <c r="G81" s="5" t="n">
        <f aca="false">IFERROR(F81/E81,0)</f>
        <v>1171.37083333333</v>
      </c>
    </row>
    <row r="82" customFormat="false" ht="15" hidden="false" customHeight="false" outlineLevel="0" collapsed="false">
      <c r="A82" s="2" t="s">
        <v>205</v>
      </c>
      <c r="B82" s="3" t="str">
        <f aca="false">INDEX(Vendedores!$B$2:$B$101,MATCH(A82,Vendedores!$A$2:$A$101,0))</f>
        <v>Thiago Almeida</v>
      </c>
      <c r="C82" s="3" t="str">
        <f aca="false">INDEX(Vendedores!$C$2:$C$101,MATCH(A82,Vendedores!$A$2:$A$101,0))</f>
        <v>L09</v>
      </c>
      <c r="D82" s="3" t="str">
        <f aca="false">INDEX(Vendedores!$E$2:$E$101,MATCH(A82,Vendedores!$A$2:$A$101,0))</f>
        <v>Nordeste</v>
      </c>
      <c r="E82" s="3" t="n">
        <f aca="false">COUNTIF(Vendas!$C$2:$C$2181,A82)</f>
        <v>20</v>
      </c>
      <c r="F82" s="5" t="n">
        <f aca="false">SUMIF(Vendas!$C$2:$C$2181,A82,Vendas!$J$2:$J$2181)</f>
        <v>23957.4</v>
      </c>
      <c r="G82" s="5" t="n">
        <f aca="false">IFERROR(F82/E82,0)</f>
        <v>1197.87</v>
      </c>
    </row>
    <row r="83" customFormat="false" ht="15" hidden="false" customHeight="false" outlineLevel="0" collapsed="false">
      <c r="A83" s="2" t="s">
        <v>207</v>
      </c>
      <c r="B83" s="3" t="str">
        <f aca="false">INDEX(Vendedores!$B$2:$B$101,MATCH(A83,Vendedores!$A$2:$A$101,0))</f>
        <v>Diego Almeida</v>
      </c>
      <c r="C83" s="3" t="str">
        <f aca="false">INDEX(Vendedores!$C$2:$C$101,MATCH(A83,Vendedores!$A$2:$A$101,0))</f>
        <v>L09</v>
      </c>
      <c r="D83" s="3" t="str">
        <f aca="false">INDEX(Vendedores!$E$2:$E$101,MATCH(A83,Vendedores!$A$2:$A$101,0))</f>
        <v>Nordeste</v>
      </c>
      <c r="E83" s="3" t="n">
        <f aca="false">COUNTIF(Vendas!$C$2:$C$2181,A83)</f>
        <v>25</v>
      </c>
      <c r="F83" s="5" t="n">
        <f aca="false">SUMIF(Vendas!$C$2:$C$2181,A83,Vendas!$J$2:$J$2181)</f>
        <v>24837.5</v>
      </c>
      <c r="G83" s="5" t="n">
        <f aca="false">IFERROR(F83/E83,0)</f>
        <v>993.5</v>
      </c>
    </row>
    <row r="84" customFormat="false" ht="15" hidden="false" customHeight="false" outlineLevel="0" collapsed="false">
      <c r="A84" s="2" t="s">
        <v>209</v>
      </c>
      <c r="B84" s="3" t="str">
        <f aca="false">INDEX(Vendedores!$B$2:$B$101,MATCH(A84,Vendedores!$A$2:$A$101,0))</f>
        <v>Kelly Oliveira</v>
      </c>
      <c r="C84" s="3" t="str">
        <f aca="false">INDEX(Vendedores!$C$2:$C$101,MATCH(A84,Vendedores!$A$2:$A$101,0))</f>
        <v>L09</v>
      </c>
      <c r="D84" s="3" t="str">
        <f aca="false">INDEX(Vendedores!$E$2:$E$101,MATCH(A84,Vendedores!$A$2:$A$101,0))</f>
        <v>Nordeste</v>
      </c>
      <c r="E84" s="3" t="n">
        <f aca="false">COUNTIF(Vendas!$C$2:$C$2181,A84)</f>
        <v>18</v>
      </c>
      <c r="F84" s="5" t="n">
        <f aca="false">SUMIF(Vendas!$C$2:$C$2181,A84,Vendas!$J$2:$J$2181)</f>
        <v>16631.5</v>
      </c>
      <c r="G84" s="5" t="n">
        <f aca="false">IFERROR(F84/E84,0)</f>
        <v>923.972222222222</v>
      </c>
    </row>
    <row r="85" customFormat="false" ht="15" hidden="false" customHeight="false" outlineLevel="0" collapsed="false">
      <c r="A85" s="2" t="s">
        <v>211</v>
      </c>
      <c r="B85" s="3" t="str">
        <f aca="false">INDEX(Vendedores!$B$2:$B$101,MATCH(A85,Vendedores!$A$2:$A$101,0))</f>
        <v>Fabio Rocha</v>
      </c>
      <c r="C85" s="3" t="str">
        <f aca="false">INDEX(Vendedores!$C$2:$C$101,MATCH(A85,Vendedores!$A$2:$A$101,0))</f>
        <v>L09</v>
      </c>
      <c r="D85" s="3" t="str">
        <f aca="false">INDEX(Vendedores!$E$2:$E$101,MATCH(A85,Vendedores!$A$2:$A$101,0))</f>
        <v>Nordeste</v>
      </c>
      <c r="E85" s="3" t="n">
        <f aca="false">COUNTIF(Vendas!$C$2:$C$2181,A85)</f>
        <v>23</v>
      </c>
      <c r="F85" s="5" t="n">
        <f aca="false">SUMIF(Vendas!$C$2:$C$2181,A85,Vendas!$J$2:$J$2181)</f>
        <v>32569.5</v>
      </c>
      <c r="G85" s="5" t="n">
        <f aca="false">IFERROR(F85/E85,0)</f>
        <v>1416.0652173913</v>
      </c>
    </row>
    <row r="86" customFormat="false" ht="15" hidden="false" customHeight="false" outlineLevel="0" collapsed="false">
      <c r="A86" s="2" t="s">
        <v>213</v>
      </c>
      <c r="B86" s="3" t="str">
        <f aca="false">INDEX(Vendedores!$B$2:$B$101,MATCH(A86,Vendedores!$A$2:$A$101,0))</f>
        <v>Elaine Alves</v>
      </c>
      <c r="C86" s="3" t="str">
        <f aca="false">INDEX(Vendedores!$C$2:$C$101,MATCH(A86,Vendedores!$A$2:$A$101,0))</f>
        <v>L09</v>
      </c>
      <c r="D86" s="3" t="str">
        <f aca="false">INDEX(Vendedores!$E$2:$E$101,MATCH(A86,Vendedores!$A$2:$A$101,0))</f>
        <v>Nordeste</v>
      </c>
      <c r="E86" s="3" t="n">
        <f aca="false">COUNTIF(Vendas!$C$2:$C$2181,A86)</f>
        <v>34</v>
      </c>
      <c r="F86" s="5" t="n">
        <f aca="false">SUMIF(Vendas!$C$2:$C$2181,A86,Vendas!$J$2:$J$2181)</f>
        <v>47226.7</v>
      </c>
      <c r="G86" s="5" t="n">
        <f aca="false">IFERROR(F86/E86,0)</f>
        <v>1389.02058823529</v>
      </c>
    </row>
    <row r="87" customFormat="false" ht="15" hidden="false" customHeight="false" outlineLevel="0" collapsed="false">
      <c r="A87" s="2" t="s">
        <v>215</v>
      </c>
      <c r="B87" s="3" t="str">
        <f aca="false">INDEX(Vendedores!$B$2:$B$101,MATCH(A87,Vendedores!$A$2:$A$101,0))</f>
        <v>Isabela Pereira</v>
      </c>
      <c r="C87" s="3" t="str">
        <f aca="false">INDEX(Vendedores!$C$2:$C$101,MATCH(A87,Vendedores!$A$2:$A$101,0))</f>
        <v>L09</v>
      </c>
      <c r="D87" s="3" t="str">
        <f aca="false">INDEX(Vendedores!$E$2:$E$101,MATCH(A87,Vendedores!$A$2:$A$101,0))</f>
        <v>Nordeste</v>
      </c>
      <c r="E87" s="3" t="n">
        <f aca="false">COUNTIF(Vendas!$C$2:$C$2181,A87)</f>
        <v>22</v>
      </c>
      <c r="F87" s="5" t="n">
        <f aca="false">SUMIF(Vendas!$C$2:$C$2181,A87,Vendas!$J$2:$J$2181)</f>
        <v>35733.1</v>
      </c>
      <c r="G87" s="5" t="n">
        <f aca="false">IFERROR(F87/E87,0)</f>
        <v>1624.23181818182</v>
      </c>
    </row>
    <row r="88" customFormat="false" ht="15" hidden="false" customHeight="false" outlineLevel="0" collapsed="false">
      <c r="A88" s="2" t="s">
        <v>217</v>
      </c>
      <c r="B88" s="3" t="str">
        <f aca="false">INDEX(Vendedores!$B$2:$B$101,MATCH(A88,Vendedores!$A$2:$A$101,0))</f>
        <v>Eduarda Alves</v>
      </c>
      <c r="C88" s="3" t="str">
        <f aca="false">INDEX(Vendedores!$C$2:$C$101,MATCH(A88,Vendedores!$A$2:$A$101,0))</f>
        <v>L09</v>
      </c>
      <c r="D88" s="3" t="str">
        <f aca="false">INDEX(Vendedores!$E$2:$E$101,MATCH(A88,Vendedores!$A$2:$A$101,0))</f>
        <v>Nordeste</v>
      </c>
      <c r="E88" s="3" t="n">
        <f aca="false">COUNTIF(Vendas!$C$2:$C$2181,A88)</f>
        <v>17</v>
      </c>
      <c r="F88" s="5" t="n">
        <f aca="false">SUMIF(Vendas!$C$2:$C$2181,A88,Vendas!$J$2:$J$2181)</f>
        <v>14722.3</v>
      </c>
      <c r="G88" s="5" t="n">
        <f aca="false">IFERROR(F88/E88,0)</f>
        <v>866.017647058824</v>
      </c>
    </row>
    <row r="89" customFormat="false" ht="15" hidden="false" customHeight="false" outlineLevel="0" collapsed="false">
      <c r="A89" s="2" t="s">
        <v>219</v>
      </c>
      <c r="B89" s="3" t="str">
        <f aca="false">INDEX(Vendedores!$B$2:$B$101,MATCH(A89,Vendedores!$A$2:$A$101,0))</f>
        <v>Karina Nascimento</v>
      </c>
      <c r="C89" s="3" t="str">
        <f aca="false">INDEX(Vendedores!$C$2:$C$101,MATCH(A89,Vendedores!$A$2:$A$101,0))</f>
        <v>L09</v>
      </c>
      <c r="D89" s="3" t="str">
        <f aca="false">INDEX(Vendedores!$E$2:$E$101,MATCH(A89,Vendedores!$A$2:$A$101,0))</f>
        <v>Nordeste</v>
      </c>
      <c r="E89" s="3" t="n">
        <f aca="false">COUNTIF(Vendas!$C$2:$C$2181,A89)</f>
        <v>21</v>
      </c>
      <c r="F89" s="5" t="n">
        <f aca="false">SUMIF(Vendas!$C$2:$C$2181,A89,Vendas!$J$2:$J$2181)</f>
        <v>17807</v>
      </c>
      <c r="G89" s="5" t="n">
        <f aca="false">IFERROR(F89/E89,0)</f>
        <v>847.952380952381</v>
      </c>
    </row>
    <row r="90" customFormat="false" ht="15" hidden="false" customHeight="false" outlineLevel="0" collapsed="false">
      <c r="A90" s="2" t="s">
        <v>221</v>
      </c>
      <c r="B90" s="3" t="str">
        <f aca="false">INDEX(Vendedores!$B$2:$B$101,MATCH(A90,Vendedores!$A$2:$A$101,0))</f>
        <v>Henrique Barbosa</v>
      </c>
      <c r="C90" s="3" t="str">
        <f aca="false">INDEX(Vendedores!$C$2:$C$101,MATCH(A90,Vendedores!$A$2:$A$101,0))</f>
        <v>L09</v>
      </c>
      <c r="D90" s="3" t="str">
        <f aca="false">INDEX(Vendedores!$E$2:$E$101,MATCH(A90,Vendedores!$A$2:$A$101,0))</f>
        <v>Nordeste</v>
      </c>
      <c r="E90" s="3" t="n">
        <f aca="false">COUNTIF(Vendas!$C$2:$C$2181,A90)</f>
        <v>28</v>
      </c>
      <c r="F90" s="5" t="n">
        <f aca="false">SUMIF(Vendas!$C$2:$C$2181,A90,Vendas!$J$2:$J$2181)</f>
        <v>44374.9</v>
      </c>
      <c r="G90" s="5" t="n">
        <f aca="false">IFERROR(F90/E90,0)</f>
        <v>1584.81785714286</v>
      </c>
    </row>
    <row r="91" customFormat="false" ht="15" hidden="false" customHeight="false" outlineLevel="0" collapsed="false">
      <c r="A91" s="2" t="s">
        <v>223</v>
      </c>
      <c r="B91" s="3" t="str">
        <f aca="false">INDEX(Vendedores!$B$2:$B$101,MATCH(A91,Vendedores!$A$2:$A$101,0))</f>
        <v>Bernardo Rodrigues</v>
      </c>
      <c r="C91" s="3" t="str">
        <f aca="false">INDEX(Vendedores!$C$2:$C$101,MATCH(A91,Vendedores!$A$2:$A$101,0))</f>
        <v>L09</v>
      </c>
      <c r="D91" s="3" t="str">
        <f aca="false">INDEX(Vendedores!$E$2:$E$101,MATCH(A91,Vendedores!$A$2:$A$101,0))</f>
        <v>Nordeste</v>
      </c>
      <c r="E91" s="3" t="n">
        <f aca="false">COUNTIF(Vendas!$C$2:$C$2181,A91)</f>
        <v>22</v>
      </c>
      <c r="F91" s="5" t="n">
        <f aca="false">SUMIF(Vendas!$C$2:$C$2181,A91,Vendas!$J$2:$J$2181)</f>
        <v>26732.9</v>
      </c>
      <c r="G91" s="5" t="n">
        <f aca="false">IFERROR(F91/E91,0)</f>
        <v>1215.13181818182</v>
      </c>
    </row>
    <row r="92" customFormat="false" ht="15" hidden="false" customHeight="false" outlineLevel="0" collapsed="false">
      <c r="A92" s="2" t="s">
        <v>225</v>
      </c>
      <c r="B92" s="3" t="str">
        <f aca="false">INDEX(Vendedores!$B$2:$B$101,MATCH(A92,Vendedores!$A$2:$A$101,0))</f>
        <v>Ingrid Rodrigues</v>
      </c>
      <c r="C92" s="3" t="str">
        <f aca="false">INDEX(Vendedores!$C$2:$C$101,MATCH(A92,Vendedores!$A$2:$A$101,0))</f>
        <v>L10</v>
      </c>
      <c r="D92" s="3" t="str">
        <f aca="false">INDEX(Vendedores!$E$2:$E$101,MATCH(A92,Vendedores!$A$2:$A$101,0))</f>
        <v>Nordeste</v>
      </c>
      <c r="E92" s="3" t="n">
        <f aca="false">COUNTIF(Vendas!$C$2:$C$2181,A92)</f>
        <v>29</v>
      </c>
      <c r="F92" s="5" t="n">
        <f aca="false">SUMIF(Vendas!$C$2:$C$2181,A92,Vendas!$J$2:$J$2181)</f>
        <v>38017.6</v>
      </c>
      <c r="G92" s="5" t="n">
        <f aca="false">IFERROR(F92/E92,0)</f>
        <v>1310.95172413793</v>
      </c>
    </row>
    <row r="93" customFormat="false" ht="15" hidden="false" customHeight="false" outlineLevel="0" collapsed="false">
      <c r="A93" s="2" t="s">
        <v>227</v>
      </c>
      <c r="B93" s="3" t="str">
        <f aca="false">INDEX(Vendedores!$B$2:$B$101,MATCH(A93,Vendedores!$A$2:$A$101,0))</f>
        <v>Thiago Carvalho</v>
      </c>
      <c r="C93" s="3" t="str">
        <f aca="false">INDEX(Vendedores!$C$2:$C$101,MATCH(A93,Vendedores!$A$2:$A$101,0))</f>
        <v>L10</v>
      </c>
      <c r="D93" s="3" t="str">
        <f aca="false">INDEX(Vendedores!$E$2:$E$101,MATCH(A93,Vendedores!$A$2:$A$101,0))</f>
        <v>Nordeste</v>
      </c>
      <c r="E93" s="3" t="n">
        <f aca="false">COUNTIF(Vendas!$C$2:$C$2181,A93)</f>
        <v>20</v>
      </c>
      <c r="F93" s="5" t="n">
        <f aca="false">SUMIF(Vendas!$C$2:$C$2181,A93,Vendas!$J$2:$J$2181)</f>
        <v>30615.7</v>
      </c>
      <c r="G93" s="5" t="n">
        <f aca="false">IFERROR(F93/E93,0)</f>
        <v>1530.785</v>
      </c>
    </row>
    <row r="94" customFormat="false" ht="15" hidden="false" customHeight="false" outlineLevel="0" collapsed="false">
      <c r="A94" s="2" t="s">
        <v>229</v>
      </c>
      <c r="B94" s="3" t="str">
        <f aca="false">INDEX(Vendedores!$B$2:$B$101,MATCH(A94,Vendedores!$A$2:$A$101,0))</f>
        <v>Xavier Martins</v>
      </c>
      <c r="C94" s="3" t="str">
        <f aca="false">INDEX(Vendedores!$C$2:$C$101,MATCH(A94,Vendedores!$A$2:$A$101,0))</f>
        <v>L10</v>
      </c>
      <c r="D94" s="3" t="str">
        <f aca="false">INDEX(Vendedores!$E$2:$E$101,MATCH(A94,Vendedores!$A$2:$A$101,0))</f>
        <v>Nordeste</v>
      </c>
      <c r="E94" s="3" t="n">
        <f aca="false">COUNTIF(Vendas!$C$2:$C$2181,A94)</f>
        <v>22</v>
      </c>
      <c r="F94" s="5" t="n">
        <f aca="false">SUMIF(Vendas!$C$2:$C$2181,A94,Vendas!$J$2:$J$2181)</f>
        <v>19060.6</v>
      </c>
      <c r="G94" s="5" t="n">
        <f aca="false">IFERROR(F94/E94,0)</f>
        <v>866.390909090909</v>
      </c>
    </row>
    <row r="95" customFormat="false" ht="15" hidden="false" customHeight="false" outlineLevel="0" collapsed="false">
      <c r="A95" s="2" t="s">
        <v>231</v>
      </c>
      <c r="B95" s="3" t="str">
        <f aca="false">INDEX(Vendedores!$B$2:$B$101,MATCH(A95,Vendedores!$A$2:$A$101,0))</f>
        <v>Henrique Martins</v>
      </c>
      <c r="C95" s="3" t="str">
        <f aca="false">INDEX(Vendedores!$C$2:$C$101,MATCH(A95,Vendedores!$A$2:$A$101,0))</f>
        <v>L10</v>
      </c>
      <c r="D95" s="3" t="str">
        <f aca="false">INDEX(Vendedores!$E$2:$E$101,MATCH(A95,Vendedores!$A$2:$A$101,0))</f>
        <v>Nordeste</v>
      </c>
      <c r="E95" s="3" t="n">
        <f aca="false">COUNTIF(Vendas!$C$2:$C$2181,A95)</f>
        <v>32</v>
      </c>
      <c r="F95" s="5" t="n">
        <f aca="false">SUMIF(Vendas!$C$2:$C$2181,A95,Vendas!$J$2:$J$2181)</f>
        <v>49752.1</v>
      </c>
      <c r="G95" s="5" t="n">
        <f aca="false">IFERROR(F95/E95,0)</f>
        <v>1554.753125</v>
      </c>
    </row>
    <row r="96" customFormat="false" ht="15" hidden="false" customHeight="false" outlineLevel="0" collapsed="false">
      <c r="A96" s="2" t="s">
        <v>233</v>
      </c>
      <c r="B96" s="3" t="str">
        <f aca="false">INDEX(Vendedores!$B$2:$B$101,MATCH(A96,Vendedores!$A$2:$A$101,0))</f>
        <v>Hugo Almeida</v>
      </c>
      <c r="C96" s="3" t="str">
        <f aca="false">INDEX(Vendedores!$C$2:$C$101,MATCH(A96,Vendedores!$A$2:$A$101,0))</f>
        <v>L10</v>
      </c>
      <c r="D96" s="3" t="str">
        <f aca="false">INDEX(Vendedores!$E$2:$E$101,MATCH(A96,Vendedores!$A$2:$A$101,0))</f>
        <v>Nordeste</v>
      </c>
      <c r="E96" s="3" t="n">
        <f aca="false">COUNTIF(Vendas!$C$2:$C$2181,A96)</f>
        <v>22</v>
      </c>
      <c r="F96" s="5" t="n">
        <f aca="false">SUMIF(Vendas!$C$2:$C$2181,A96,Vendas!$J$2:$J$2181)</f>
        <v>24107.4</v>
      </c>
      <c r="G96" s="5" t="n">
        <f aca="false">IFERROR(F96/E96,0)</f>
        <v>1095.79090909091</v>
      </c>
    </row>
    <row r="97" customFormat="false" ht="15" hidden="false" customHeight="false" outlineLevel="0" collapsed="false">
      <c r="A97" s="2" t="s">
        <v>235</v>
      </c>
      <c r="B97" s="3" t="str">
        <f aca="false">INDEX(Vendedores!$B$2:$B$101,MATCH(A97,Vendedores!$A$2:$A$101,0))</f>
        <v>Olívia Oliveira</v>
      </c>
      <c r="C97" s="3" t="str">
        <f aca="false">INDEX(Vendedores!$C$2:$C$101,MATCH(A97,Vendedores!$A$2:$A$101,0))</f>
        <v>L10</v>
      </c>
      <c r="D97" s="3" t="str">
        <f aca="false">INDEX(Vendedores!$E$2:$E$101,MATCH(A97,Vendedores!$A$2:$A$101,0))</f>
        <v>Nordeste</v>
      </c>
      <c r="E97" s="3" t="n">
        <f aca="false">COUNTIF(Vendas!$C$2:$C$2181,A97)</f>
        <v>25</v>
      </c>
      <c r="F97" s="5" t="n">
        <f aca="false">SUMIF(Vendas!$C$2:$C$2181,A97,Vendas!$J$2:$J$2181)</f>
        <v>42731.1</v>
      </c>
      <c r="G97" s="5" t="n">
        <f aca="false">IFERROR(F97/E97,0)</f>
        <v>1709.244</v>
      </c>
    </row>
    <row r="98" customFormat="false" ht="15" hidden="false" customHeight="false" outlineLevel="0" collapsed="false">
      <c r="A98" s="2" t="s">
        <v>237</v>
      </c>
      <c r="B98" s="3" t="str">
        <f aca="false">INDEX(Vendedores!$B$2:$B$101,MATCH(A98,Vendedores!$A$2:$A$101,0))</f>
        <v>Vitor Silva</v>
      </c>
      <c r="C98" s="3" t="str">
        <f aca="false">INDEX(Vendedores!$C$2:$C$101,MATCH(A98,Vendedores!$A$2:$A$101,0))</f>
        <v>L10</v>
      </c>
      <c r="D98" s="3" t="str">
        <f aca="false">INDEX(Vendedores!$E$2:$E$101,MATCH(A98,Vendedores!$A$2:$A$101,0))</f>
        <v>Nordeste</v>
      </c>
      <c r="E98" s="3" t="n">
        <f aca="false">COUNTIF(Vendas!$C$2:$C$2181,A98)</f>
        <v>27</v>
      </c>
      <c r="F98" s="5" t="n">
        <f aca="false">SUMIF(Vendas!$C$2:$C$2181,A98,Vendas!$J$2:$J$2181)</f>
        <v>45104.1</v>
      </c>
      <c r="G98" s="5" t="n">
        <f aca="false">IFERROR(F98/E98,0)</f>
        <v>1670.52222222222</v>
      </c>
    </row>
    <row r="99" customFormat="false" ht="15" hidden="false" customHeight="false" outlineLevel="0" collapsed="false">
      <c r="A99" s="2" t="s">
        <v>239</v>
      </c>
      <c r="B99" s="3" t="str">
        <f aca="false">INDEX(Vendedores!$B$2:$B$101,MATCH(A99,Vendedores!$A$2:$A$101,0))</f>
        <v>Leonardo Alves</v>
      </c>
      <c r="C99" s="3" t="str">
        <f aca="false">INDEX(Vendedores!$C$2:$C$101,MATCH(A99,Vendedores!$A$2:$A$101,0))</f>
        <v>L10</v>
      </c>
      <c r="D99" s="3" t="str">
        <f aca="false">INDEX(Vendedores!$E$2:$E$101,MATCH(A99,Vendedores!$A$2:$A$101,0))</f>
        <v>Nordeste</v>
      </c>
      <c r="E99" s="3" t="n">
        <f aca="false">COUNTIF(Vendas!$C$2:$C$2181,A99)</f>
        <v>25</v>
      </c>
      <c r="F99" s="5" t="n">
        <f aca="false">SUMIF(Vendas!$C$2:$C$2181,A99,Vendas!$J$2:$J$2181)</f>
        <v>40410.4</v>
      </c>
      <c r="G99" s="5" t="n">
        <f aca="false">IFERROR(F99/E99,0)</f>
        <v>1616.416</v>
      </c>
    </row>
    <row r="100" customFormat="false" ht="15" hidden="false" customHeight="false" outlineLevel="0" collapsed="false">
      <c r="A100" s="2" t="s">
        <v>241</v>
      </c>
      <c r="B100" s="3" t="str">
        <f aca="false">INDEX(Vendedores!$B$2:$B$101,MATCH(A100,Vendedores!$A$2:$A$101,0))</f>
        <v>Olívia Monteiro</v>
      </c>
      <c r="C100" s="3" t="str">
        <f aca="false">INDEX(Vendedores!$C$2:$C$101,MATCH(A100,Vendedores!$A$2:$A$101,0))</f>
        <v>L10</v>
      </c>
      <c r="D100" s="3" t="str">
        <f aca="false">INDEX(Vendedores!$E$2:$E$101,MATCH(A100,Vendedores!$A$2:$A$101,0))</f>
        <v>Nordeste</v>
      </c>
      <c r="E100" s="3" t="n">
        <f aca="false">COUNTIF(Vendas!$C$2:$C$2181,A100)</f>
        <v>18</v>
      </c>
      <c r="F100" s="5" t="n">
        <f aca="false">SUMIF(Vendas!$C$2:$C$2181,A100,Vendas!$J$2:$J$2181)</f>
        <v>18741.3</v>
      </c>
      <c r="G100" s="5" t="n">
        <f aca="false">IFERROR(F100/E100,0)</f>
        <v>1041.18333333333</v>
      </c>
    </row>
    <row r="101" customFormat="false" ht="15" hidden="false" customHeight="false" outlineLevel="0" collapsed="false">
      <c r="A101" s="2" t="s">
        <v>243</v>
      </c>
      <c r="B101" s="3" t="str">
        <f aca="false">INDEX(Vendedores!$B$2:$B$101,MATCH(A101,Vendedores!$A$2:$A$101,0))</f>
        <v>Olívia Silva</v>
      </c>
      <c r="C101" s="3" t="str">
        <f aca="false">INDEX(Vendedores!$C$2:$C$101,MATCH(A101,Vendedores!$A$2:$A$101,0))</f>
        <v>L10</v>
      </c>
      <c r="D101" s="3" t="str">
        <f aca="false">INDEX(Vendedores!$E$2:$E$101,MATCH(A101,Vendedores!$A$2:$A$101,0))</f>
        <v>Nordeste</v>
      </c>
      <c r="E101" s="3" t="n">
        <f aca="false">COUNTIF(Vendas!$C$2:$C$2181,A101)</f>
        <v>24</v>
      </c>
      <c r="F101" s="5" t="n">
        <f aca="false">SUMIF(Vendas!$C$2:$C$2181,A101,Vendas!$J$2:$J$2181)</f>
        <v>46229.5</v>
      </c>
      <c r="G101" s="5" t="n">
        <f aca="false">IFERROR(F101/E101,0)</f>
        <v>1926.22916666667</v>
      </c>
    </row>
  </sheetData>
  <autoFilter ref="A1:G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245</v>
      </c>
      <c r="B1" s="1" t="s">
        <v>280</v>
      </c>
      <c r="C1" s="1" t="s">
        <v>2467</v>
      </c>
      <c r="D1" s="1" t="s">
        <v>2465</v>
      </c>
      <c r="E1" s="1" t="s">
        <v>2468</v>
      </c>
      <c r="F1" s="1" t="s">
        <v>2469</v>
      </c>
      <c r="G1" s="1" t="s">
        <v>251</v>
      </c>
      <c r="H1" s="1" t="s">
        <v>2470</v>
      </c>
      <c r="I1" s="1" t="s">
        <v>2471</v>
      </c>
      <c r="J1" s="1" t="s">
        <v>2472</v>
      </c>
      <c r="K1" s="1" t="s">
        <v>2473</v>
      </c>
    </row>
    <row r="2" customFormat="false" ht="15" hidden="false" customHeight="false" outlineLevel="0" collapsed="false">
      <c r="A2" s="2" t="s">
        <v>252</v>
      </c>
      <c r="B2" s="3" t="str">
        <f aca="false">INDEX(Produtos!$B$2:$B$11,MATCH(A2,Produtos!$A$2:$A$11,0))&amp;" "&amp;INDEX(Produtos!$C$2:$C$11,MATCH(A2,Produtos!$A$2:$A$11,0))</f>
        <v>Notebook Lenovo</v>
      </c>
      <c r="C2" s="3" t="n">
        <f aca="false">SUMIF(Vendas!$F$2:$F$2181,A2,Vendas!$H$2:$H$2181)</f>
        <v>212</v>
      </c>
      <c r="D2" s="5" t="n">
        <f aca="false">SUMIF(Vendas!$F$2:$F$2181,A2,Vendas!$J$2:$J$2181)</f>
        <v>678188</v>
      </c>
      <c r="E2" s="5" t="n">
        <f aca="false">SUMIF(Vendas!$F$2:$F$2181,A2,Vendas!$L$2:$L$2181)</f>
        <v>498200</v>
      </c>
      <c r="F2" s="5" t="n">
        <f aca="false">D2-E2</f>
        <v>179988</v>
      </c>
      <c r="G2" s="6" t="n">
        <f aca="false">IFERROR(F2/D2,0)</f>
        <v>0.265395436073773</v>
      </c>
      <c r="H2" s="5" t="n">
        <f aca="false">SUMIFS(Vendas!$J$2:$J$2181,Vendas!$F$2:$F$2181,A2,Vendas!$E$2:$E$2181,"Sudeste")</f>
        <v>415870</v>
      </c>
      <c r="I2" s="5" t="n">
        <f aca="false">SUMIFS(Vendas!$J$2:$J$2181,Vendas!$F$2:$F$2181,A2,Vendas!$E$2:$E$2181,"Sul")</f>
        <v>131159</v>
      </c>
      <c r="J2" s="5" t="n">
        <f aca="false">SUMIFS(Vendas!$J$2:$J$2181,Vendas!$F$2:$F$2181,A2,Vendas!$E$2:$E$2181,"Nordeste")</f>
        <v>131159</v>
      </c>
      <c r="K2" s="3" t="str">
        <f aca="false">INDEX({"Sudeste","Sul","Nordeste"},MATCH(MAX(H2:J2),H2:J2,0))</f>
        <v>Sudeste</v>
      </c>
    </row>
    <row r="3" customFormat="false" ht="15" hidden="false" customHeight="false" outlineLevel="0" collapsed="false">
      <c r="A3" s="2" t="s">
        <v>255</v>
      </c>
      <c r="B3" s="3" t="str">
        <f aca="false">INDEX(Produtos!$B$2:$B$11,MATCH(A3,Produtos!$A$2:$A$11,0))&amp;" "&amp;INDEX(Produtos!$C$2:$C$11,MATCH(A3,Produtos!$A$2:$A$11,0))</f>
        <v>Notebook Positivo</v>
      </c>
      <c r="C3" s="3" t="n">
        <f aca="false">SUMIF(Vendas!$F$2:$F$2181,A3,Vendas!$H$2:$H$2181)</f>
        <v>288</v>
      </c>
      <c r="D3" s="5" t="n">
        <f aca="false">SUMIF(Vendas!$F$2:$F$2181,A3,Vendas!$J$2:$J$2181)</f>
        <v>633312</v>
      </c>
      <c r="E3" s="5" t="n">
        <f aca="false">SUMIF(Vendas!$F$2:$F$2181,A3,Vendas!$L$2:$L$2181)</f>
        <v>446400</v>
      </c>
      <c r="F3" s="5" t="n">
        <f aca="false">D3-E3</f>
        <v>186912</v>
      </c>
      <c r="G3" s="6" t="n">
        <f aca="false">IFERROR(F3/D3,0)</f>
        <v>0.295134151887222</v>
      </c>
      <c r="H3" s="5" t="n">
        <f aca="false">SUMIFS(Vendas!$J$2:$J$2181,Vendas!$F$2:$F$2181,A3,Vendas!$E$2:$E$2181,"Sudeste")</f>
        <v>114348</v>
      </c>
      <c r="I3" s="5" t="n">
        <f aca="false">SUMIFS(Vendas!$J$2:$J$2181,Vendas!$F$2:$F$2181,A3,Vendas!$E$2:$E$2181,"Sul")</f>
        <v>142935</v>
      </c>
      <c r="J3" s="5" t="n">
        <f aca="false">SUMIFS(Vendas!$J$2:$J$2181,Vendas!$F$2:$F$2181,A3,Vendas!$E$2:$E$2181,"Nordeste")</f>
        <v>376029</v>
      </c>
      <c r="K3" s="3" t="str">
        <f aca="false">INDEX({"Sudeste","Sul","Nordeste"},MATCH(MAX(H3:J3),H3:J3,0))</f>
        <v>Nordeste</v>
      </c>
    </row>
    <row r="4" customFormat="false" ht="15" hidden="false" customHeight="false" outlineLevel="0" collapsed="false">
      <c r="A4" s="2" t="s">
        <v>257</v>
      </c>
      <c r="B4" s="3" t="str">
        <f aca="false">INDEX(Produtos!$B$2:$B$11,MATCH(A4,Produtos!$A$2:$A$11,0))&amp;" "&amp;INDEX(Produtos!$C$2:$C$11,MATCH(A4,Produtos!$A$2:$A$11,0))</f>
        <v>Celular Samsung</v>
      </c>
      <c r="C4" s="3" t="n">
        <f aca="false">SUMIF(Vendas!$F$2:$F$2181,A4,Vendas!$H$2:$H$2181)</f>
        <v>265</v>
      </c>
      <c r="D4" s="5" t="n">
        <f aca="false">SUMIF(Vendas!$F$2:$F$2181,A4,Vendas!$J$2:$J$2181)</f>
        <v>662235</v>
      </c>
      <c r="E4" s="5" t="n">
        <f aca="false">SUMIF(Vendas!$F$2:$F$2181,A4,Vendas!$L$2:$L$2181)</f>
        <v>477000</v>
      </c>
      <c r="F4" s="5" t="n">
        <f aca="false">D4-E4</f>
        <v>185235</v>
      </c>
      <c r="G4" s="6" t="n">
        <f aca="false">IFERROR(F4/D4,0)</f>
        <v>0.279711884753902</v>
      </c>
      <c r="H4" s="5" t="n">
        <f aca="false">SUMIFS(Vendas!$J$2:$J$2181,Vendas!$F$2:$F$2181,A4,Vendas!$E$2:$E$2181,"Sudeste")</f>
        <v>392343</v>
      </c>
      <c r="I4" s="5" t="n">
        <f aca="false">SUMIFS(Vendas!$J$2:$J$2181,Vendas!$F$2:$F$2181,A4,Vendas!$E$2:$E$2181,"Sul")</f>
        <v>129948</v>
      </c>
      <c r="J4" s="5" t="n">
        <f aca="false">SUMIFS(Vendas!$J$2:$J$2181,Vendas!$F$2:$F$2181,A4,Vendas!$E$2:$E$2181,"Nordeste")</f>
        <v>139944</v>
      </c>
      <c r="K4" s="3" t="str">
        <f aca="false">INDEX({"Sudeste","Sul","Nordeste"},MATCH(MAX(H4:J4),H4:J4,0))</f>
        <v>Sudeste</v>
      </c>
    </row>
    <row r="5" customFormat="false" ht="15" hidden="false" customHeight="false" outlineLevel="0" collapsed="false">
      <c r="A5" s="2" t="s">
        <v>260</v>
      </c>
      <c r="B5" s="3" t="str">
        <f aca="false">INDEX(Produtos!$B$2:$B$11,MATCH(A5,Produtos!$A$2:$A$11,0))&amp;" "&amp;INDEX(Produtos!$C$2:$C$11,MATCH(A5,Produtos!$A$2:$A$11,0))</f>
        <v>Celular Motorola</v>
      </c>
      <c r="C5" s="3" t="n">
        <f aca="false">SUMIF(Vendas!$F$2:$F$2181,A5,Vendas!$H$2:$H$2181)</f>
        <v>276</v>
      </c>
      <c r="D5" s="5" t="n">
        <f aca="false">SUMIF(Vendas!$F$2:$F$2181,A5,Vendas!$J$2:$J$2181)</f>
        <v>496524</v>
      </c>
      <c r="E5" s="5" t="n">
        <f aca="false">SUMIF(Vendas!$F$2:$F$2181,A5,Vendas!$L$2:$L$2181)</f>
        <v>345000</v>
      </c>
      <c r="F5" s="5" t="n">
        <f aca="false">D5-E5</f>
        <v>151524</v>
      </c>
      <c r="G5" s="6" t="n">
        <f aca="false">IFERROR(F5/D5,0)</f>
        <v>0.305169538632574</v>
      </c>
      <c r="H5" s="5" t="n">
        <f aca="false">SUMIFS(Vendas!$J$2:$J$2181,Vendas!$F$2:$F$2181,A5,Vendas!$E$2:$E$2181,"Sudeste")</f>
        <v>111538</v>
      </c>
      <c r="I5" s="5" t="n">
        <f aca="false">SUMIFS(Vendas!$J$2:$J$2181,Vendas!$F$2:$F$2181,A5,Vendas!$E$2:$E$2181,"Sul")</f>
        <v>113337</v>
      </c>
      <c r="J5" s="5" t="n">
        <f aca="false">SUMIFS(Vendas!$J$2:$J$2181,Vendas!$F$2:$F$2181,A5,Vendas!$E$2:$E$2181,"Nordeste")</f>
        <v>271649</v>
      </c>
      <c r="K5" s="3" t="str">
        <f aca="false">INDEX({"Sudeste","Sul","Nordeste"},MATCH(MAX(H5:J5),H5:J5,0))</f>
        <v>Nordeste</v>
      </c>
    </row>
    <row r="6" customFormat="false" ht="15" hidden="false" customHeight="false" outlineLevel="0" collapsed="false">
      <c r="A6" s="2" t="s">
        <v>262</v>
      </c>
      <c r="B6" s="3" t="str">
        <f aca="false">INDEX(Produtos!$B$2:$B$11,MATCH(A6,Produtos!$A$2:$A$11,0))&amp;" "&amp;INDEX(Produtos!$C$2:$C$11,MATCH(A6,Produtos!$A$2:$A$11,0))</f>
        <v>Fone de Ouvido De Celular</v>
      </c>
      <c r="C6" s="3" t="n">
        <f aca="false">SUMIF(Vendas!$F$2:$F$2181,A6,Vendas!$H$2:$H$2181)</f>
        <v>374</v>
      </c>
      <c r="D6" s="5" t="n">
        <f aca="false">SUMIF(Vendas!$F$2:$F$2181,A6,Vendas!$J$2:$J$2181)</f>
        <v>22402.6</v>
      </c>
      <c r="E6" s="5" t="n">
        <f aca="false">SUMIF(Vendas!$F$2:$F$2181,A6,Vendas!$L$2:$L$2181)</f>
        <v>10472</v>
      </c>
      <c r="F6" s="5" t="n">
        <f aca="false">D6-E6</f>
        <v>11930.6</v>
      </c>
      <c r="G6" s="6" t="n">
        <f aca="false">IFERROR(F6/D6,0)</f>
        <v>0.532554257095159</v>
      </c>
      <c r="H6" s="5" t="n">
        <f aca="false">SUMIFS(Vendas!$J$2:$J$2181,Vendas!$F$2:$F$2181,A6,Vendas!$E$2:$E$2181,"Sudeste")</f>
        <v>4971.7</v>
      </c>
      <c r="I6" s="5" t="n">
        <f aca="false">SUMIFS(Vendas!$J$2:$J$2181,Vendas!$F$2:$F$2181,A6,Vendas!$E$2:$E$2181,"Sul")</f>
        <v>13118.1</v>
      </c>
      <c r="J6" s="5" t="n">
        <f aca="false">SUMIFS(Vendas!$J$2:$J$2181,Vendas!$F$2:$F$2181,A6,Vendas!$E$2:$E$2181,"Nordeste")</f>
        <v>4312.8</v>
      </c>
      <c r="K6" s="3" t="str">
        <f aca="false">INDEX({"Sudeste","Sul","Nordeste"},MATCH(MAX(H6:J6),H6:J6,0))</f>
        <v>Sul</v>
      </c>
    </row>
    <row r="7" customFormat="false" ht="15" hidden="false" customHeight="false" outlineLevel="0" collapsed="false">
      <c r="A7" s="2" t="s">
        <v>265</v>
      </c>
      <c r="B7" s="3" t="str">
        <f aca="false">INDEX(Produtos!$B$2:$B$11,MATCH(A7,Produtos!$A$2:$A$11,0))&amp;" "&amp;INDEX(Produtos!$C$2:$C$11,MATCH(A7,Produtos!$A$2:$A$11,0))</f>
        <v>Fone de Ouvido Headset</v>
      </c>
      <c r="C7" s="3" t="n">
        <f aca="false">SUMIF(Vendas!$F$2:$F$2181,A7,Vendas!$H$2:$H$2181)</f>
        <v>209</v>
      </c>
      <c r="D7" s="5" t="n">
        <f aca="false">SUMIF(Vendas!$F$2:$F$2181,A7,Vendas!$J$2:$J$2181)</f>
        <v>52229.1</v>
      </c>
      <c r="E7" s="5" t="n">
        <f aca="false">SUMIF(Vendas!$F$2:$F$2181,A7,Vendas!$L$2:$L$2181)</f>
        <v>30305</v>
      </c>
      <c r="F7" s="5" t="n">
        <f aca="false">D7-E7</f>
        <v>21924.1</v>
      </c>
      <c r="G7" s="6" t="n">
        <f aca="false">IFERROR(F7/D7,0)</f>
        <v>0.419767907162865</v>
      </c>
      <c r="H7" s="5" t="n">
        <f aca="false">SUMIFS(Vendas!$J$2:$J$2181,Vendas!$F$2:$F$2181,A7,Vendas!$E$2:$E$2181,"Sudeste")</f>
        <v>27239.1</v>
      </c>
      <c r="I7" s="5" t="n">
        <f aca="false">SUMIFS(Vendas!$J$2:$J$2181,Vendas!$F$2:$F$2181,A7,Vendas!$E$2:$E$2181,"Sul")</f>
        <v>15493.8</v>
      </c>
      <c r="J7" s="5" t="n">
        <f aca="false">SUMIFS(Vendas!$J$2:$J$2181,Vendas!$F$2:$F$2181,A7,Vendas!$E$2:$E$2181,"Nordeste")</f>
        <v>9496.2</v>
      </c>
      <c r="K7" s="3" t="str">
        <f aca="false">INDEX({"Sudeste","Sul","Nordeste"},MATCH(MAX(H7:J7),H7:J7,0))</f>
        <v>Sudeste</v>
      </c>
    </row>
    <row r="8" customFormat="false" ht="15" hidden="false" customHeight="false" outlineLevel="0" collapsed="false">
      <c r="A8" s="2" t="s">
        <v>267</v>
      </c>
      <c r="B8" s="3" t="str">
        <f aca="false">INDEX(Produtos!$B$2:$B$11,MATCH(A8,Produtos!$A$2:$A$11,0))&amp;" "&amp;INDEX(Produtos!$C$2:$C$11,MATCH(A8,Produtos!$A$2:$A$11,0))</f>
        <v>Carregador de Celular Tipo C</v>
      </c>
      <c r="C8" s="3" t="n">
        <f aca="false">SUMIF(Vendas!$F$2:$F$2181,A8,Vendas!$H$2:$H$2181)</f>
        <v>435</v>
      </c>
      <c r="D8" s="5" t="n">
        <f aca="false">SUMIF(Vendas!$F$2:$F$2181,A8,Vendas!$J$2:$J$2181)</f>
        <v>19531.5</v>
      </c>
      <c r="E8" s="5" t="n">
        <f aca="false">SUMIF(Vendas!$F$2:$F$2181,A8,Vendas!$L$2:$L$2181)</f>
        <v>7830</v>
      </c>
      <c r="F8" s="5" t="n">
        <f aca="false">D8-E8</f>
        <v>11701.5</v>
      </c>
      <c r="G8" s="6" t="n">
        <f aca="false">IFERROR(F8/D8,0)</f>
        <v>0.599109131403118</v>
      </c>
      <c r="H8" s="5" t="n">
        <f aca="false">SUMIFS(Vendas!$J$2:$J$2181,Vendas!$F$2:$F$2181,A8,Vendas!$E$2:$E$2181,"Sudeste")</f>
        <v>3592</v>
      </c>
      <c r="I8" s="5" t="n">
        <f aca="false">SUMIFS(Vendas!$J$2:$J$2181,Vendas!$F$2:$F$2181,A8,Vendas!$E$2:$E$2181,"Sul")</f>
        <v>4445.1</v>
      </c>
      <c r="J8" s="5" t="n">
        <f aca="false">SUMIFS(Vendas!$J$2:$J$2181,Vendas!$F$2:$F$2181,A8,Vendas!$E$2:$E$2181,"Nordeste")</f>
        <v>11494.4</v>
      </c>
      <c r="K8" s="3" t="str">
        <f aca="false">INDEX({"Sudeste","Sul","Nordeste"},MATCH(MAX(H8:J8),H8:J8,0))</f>
        <v>Nordeste</v>
      </c>
    </row>
    <row r="9" customFormat="false" ht="15" hidden="false" customHeight="false" outlineLevel="0" collapsed="false">
      <c r="A9" s="2" t="s">
        <v>270</v>
      </c>
      <c r="B9" s="3" t="str">
        <f aca="false">INDEX(Produtos!$B$2:$B$11,MATCH(A9,Produtos!$A$2:$A$11,0))&amp;" "&amp;INDEX(Produtos!$C$2:$C$11,MATCH(A9,Produtos!$A$2:$A$11,0))</f>
        <v>Controle de Videogame Xbox</v>
      </c>
      <c r="C9" s="3" t="n">
        <f aca="false">SUMIF(Vendas!$F$2:$F$2181,A9,Vendas!$H$2:$H$2181)</f>
        <v>280</v>
      </c>
      <c r="D9" s="5" t="n">
        <f aca="false">SUMIF(Vendas!$F$2:$F$2181,A9,Vendas!$J$2:$J$2181)</f>
        <v>97972</v>
      </c>
      <c r="E9" s="5" t="n">
        <f aca="false">SUMIF(Vendas!$F$2:$F$2181,A9,Vendas!$L$2:$L$2181)</f>
        <v>60200</v>
      </c>
      <c r="F9" s="5" t="n">
        <f aca="false">D9-E9</f>
        <v>37772</v>
      </c>
      <c r="G9" s="6" t="n">
        <f aca="false">IFERROR(F9/D9,0)</f>
        <v>0.3855387253501</v>
      </c>
      <c r="H9" s="5" t="n">
        <f aca="false">SUMIFS(Vendas!$J$2:$J$2181,Vendas!$F$2:$F$2181,A9,Vendas!$E$2:$E$2181,"Sudeste")</f>
        <v>21693.8</v>
      </c>
      <c r="I9" s="5" t="n">
        <f aca="false">SUMIFS(Vendas!$J$2:$J$2181,Vendas!$F$2:$F$2181,A9,Vendas!$E$2:$E$2181,"Sul")</f>
        <v>58433.3</v>
      </c>
      <c r="J9" s="5" t="n">
        <f aca="false">SUMIFS(Vendas!$J$2:$J$2181,Vendas!$F$2:$F$2181,A9,Vendas!$E$2:$E$2181,"Nordeste")</f>
        <v>17844.9</v>
      </c>
      <c r="K9" s="3" t="str">
        <f aca="false">INDEX({"Sudeste","Sul","Nordeste"},MATCH(MAX(H9:J9),H9:J9,0))</f>
        <v>Sul</v>
      </c>
    </row>
    <row r="10" customFormat="false" ht="15" hidden="false" customHeight="false" outlineLevel="0" collapsed="false">
      <c r="A10" s="2" t="s">
        <v>273</v>
      </c>
      <c r="B10" s="3" t="str">
        <f aca="false">INDEX(Produtos!$B$2:$B$11,MATCH(A10,Produtos!$A$2:$A$11,0))&amp;" "&amp;INDEX(Produtos!$C$2:$C$11,MATCH(A10,Produtos!$A$2:$A$11,0))</f>
        <v>Controle de Videogame PS4</v>
      </c>
      <c r="C10" s="3" t="n">
        <f aca="false">SUMIF(Vendas!$F$2:$F$2181,A10,Vendas!$H$2:$H$2181)</f>
        <v>293</v>
      </c>
      <c r="D10" s="5" t="n">
        <f aca="false">SUMIF(Vendas!$F$2:$F$2181,A10,Vendas!$J$2:$J$2181)</f>
        <v>87870.7</v>
      </c>
      <c r="E10" s="5" t="n">
        <f aca="false">SUMIF(Vendas!$F$2:$F$2181,A10,Vendas!$L$2:$L$2181)</f>
        <v>51275</v>
      </c>
      <c r="F10" s="5" t="n">
        <f aca="false">D10-E10</f>
        <v>36595.7</v>
      </c>
      <c r="G10" s="6" t="n">
        <f aca="false">IFERROR(F10/D10,0)</f>
        <v>0.416472157385795</v>
      </c>
      <c r="H10" s="5" t="n">
        <f aca="false">SUMIFS(Vendas!$J$2:$J$2181,Vendas!$F$2:$F$2181,A10,Vendas!$E$2:$E$2181,"Sudeste")</f>
        <v>51582.8</v>
      </c>
      <c r="I10" s="5" t="n">
        <f aca="false">SUMIFS(Vendas!$J$2:$J$2181,Vendas!$F$2:$F$2181,A10,Vendas!$E$2:$E$2181,"Sul")</f>
        <v>14395.2</v>
      </c>
      <c r="J10" s="5" t="n">
        <f aca="false">SUMIFS(Vendas!$J$2:$J$2181,Vendas!$F$2:$F$2181,A10,Vendas!$E$2:$E$2181,"Nordeste")</f>
        <v>21892.7</v>
      </c>
      <c r="K10" s="3" t="str">
        <f aca="false">INDEX({"Sudeste","Sul","Nordeste"},MATCH(MAX(H10:J10),H10:J10,0))</f>
        <v>Sudeste</v>
      </c>
    </row>
    <row r="11" customFormat="false" ht="15" hidden="false" customHeight="false" outlineLevel="0" collapsed="false">
      <c r="A11" s="2" t="s">
        <v>275</v>
      </c>
      <c r="B11" s="3" t="str">
        <f aca="false">INDEX(Produtos!$B$2:$B$11,MATCH(A11,Produtos!$A$2:$A$11,0))&amp;" "&amp;INDEX(Produtos!$C$2:$C$11,MATCH(A11,Produtos!$A$2:$A$11,0))</f>
        <v>Controle de Videogame PS5</v>
      </c>
      <c r="C11" s="3" t="n">
        <f aca="false">SUMIF(Vendas!$F$2:$F$2181,A11,Vendas!$H$2:$H$2181)</f>
        <v>325</v>
      </c>
      <c r="D11" s="5" t="n">
        <f aca="false">SUMIF(Vendas!$F$2:$F$2181,A11,Vendas!$J$2:$J$2181)</f>
        <v>123467.5</v>
      </c>
      <c r="E11" s="5" t="n">
        <f aca="false">SUMIF(Vendas!$F$2:$F$2181,A11,Vendas!$L$2:$L$2181)</f>
        <v>76375</v>
      </c>
      <c r="F11" s="5" t="n">
        <f aca="false">D11-E11</f>
        <v>47092.5</v>
      </c>
      <c r="G11" s="6" t="n">
        <f aca="false">IFERROR(F11/D11,0)</f>
        <v>0.381416162147934</v>
      </c>
      <c r="H11" s="5" t="n">
        <f aca="false">SUMIFS(Vendas!$J$2:$J$2181,Vendas!$F$2:$F$2181,A11,Vendas!$E$2:$E$2181,"Sudeste")</f>
        <v>27732.7</v>
      </c>
      <c r="I11" s="5" t="n">
        <f aca="false">SUMIFS(Vendas!$J$2:$J$2181,Vendas!$F$2:$F$2181,A11,Vendas!$E$2:$E$2181,"Sul")</f>
        <v>70281.5</v>
      </c>
      <c r="J11" s="5" t="n">
        <f aca="false">SUMIFS(Vendas!$J$2:$J$2181,Vendas!$F$2:$F$2181,A11,Vendas!$E$2:$E$2181,"Nordeste")</f>
        <v>25453.3</v>
      </c>
      <c r="K11" s="3" t="str">
        <f aca="false">INDEX({"Sudeste","Sul","Nordeste"},MATCH(MAX(H11:J11),H11:J11,0))</f>
        <v>Sul</v>
      </c>
    </row>
    <row r="12" customFormat="false" ht="15" hidden="false" customHeight="false" outlineLevel="0" collapsed="false">
      <c r="A12" s="9" t="s">
        <v>2474</v>
      </c>
      <c r="B12" s="9"/>
      <c r="C12" s="9" t="n">
        <f aca="false">SUM(C2:C11)</f>
        <v>2957</v>
      </c>
      <c r="D12" s="10" t="n">
        <f aca="false">SUM(D2:D11)</f>
        <v>2873732.4</v>
      </c>
      <c r="E12" s="10" t="n">
        <f aca="false">SUM(E2:E11)</f>
        <v>2003057</v>
      </c>
      <c r="F12" s="10" t="n">
        <f aca="false">SUM(F2:F11)</f>
        <v>870675.4</v>
      </c>
      <c r="G12" s="11" t="n">
        <f aca="false">IFERROR(F12/D12,0)</f>
        <v>0.302977201356675</v>
      </c>
      <c r="H12" s="9"/>
      <c r="I12" s="9"/>
      <c r="J12" s="9"/>
      <c r="K12" s="9"/>
    </row>
    <row r="14" customFormat="false" ht="15" hidden="false" customHeight="false" outlineLevel="0" collapsed="false">
      <c r="A14" s="7" t="s">
        <v>2475</v>
      </c>
    </row>
  </sheetData>
  <autoFilter ref="A1:K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2026-07-26T16:01:18Z</dcterms:created>
  <dc:creator>openpyxl</dc:creator>
  <dc:description/>
  <dc:language>en-US</dc:language>
  <cp:lastModifiedBy/>
  <dcterms:modified xsi:type="dcterms:W3CDTF">2026-07-26T16:01:20Z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